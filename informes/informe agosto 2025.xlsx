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uancarloslondono/Desktop/"/>
    </mc:Choice>
  </mc:AlternateContent>
  <xr:revisionPtr revIDLastSave="0" documentId="13_ncr:1_{C98ABAF4-184C-2F40-830D-25A53FDACE85}" xr6:coauthVersionLast="47" xr6:coauthVersionMax="47" xr10:uidLastSave="{00000000-0000-0000-0000-000000000000}"/>
  <bookViews>
    <workbookView xWindow="0" yWindow="500" windowWidth="25600" windowHeight="15160" xr2:uid="{00000000-000D-0000-FFFF-FFFF00000000}"/>
  </bookViews>
  <sheets>
    <sheet name="Cuadre Diario" sheetId="2" r:id="rId1"/>
    <sheet name="Nomina" sheetId="6" r:id="rId2"/>
    <sheet name="Compras" sheetId="4" r:id="rId3"/>
    <sheet name="Servicios" sheetId="7" r:id="rId4"/>
    <sheet name="Otros Pagos" sheetId="3" r:id="rId5"/>
    <sheet name="CUENTA POR PAGAR" sheetId="8" r:id="rId6"/>
    <sheet name="Sueldos_ENERO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4" i="2" l="1"/>
  <c r="H402" i="4"/>
  <c r="G34" i="2" s="1"/>
  <c r="J34" i="2" s="1"/>
  <c r="E252" i="6"/>
  <c r="E243" i="6"/>
  <c r="E33" i="2" s="1"/>
  <c r="H393" i="4"/>
  <c r="G33" i="2" s="1"/>
  <c r="E237" i="6"/>
  <c r="E32" i="2" s="1"/>
  <c r="H377" i="4"/>
  <c r="G32" i="2" s="1"/>
  <c r="H362" i="4"/>
  <c r="G31" i="2" s="1"/>
  <c r="E230" i="6"/>
  <c r="E31" i="2" s="1"/>
  <c r="I30" i="2"/>
  <c r="H30" i="2"/>
  <c r="H349" i="4"/>
  <c r="G30" i="2" s="1"/>
  <c r="G15" i="3"/>
  <c r="E223" i="6"/>
  <c r="E30" i="2" s="1"/>
  <c r="E215" i="6"/>
  <c r="E29" i="2" s="1"/>
  <c r="H337" i="4"/>
  <c r="G29" i="2" s="1"/>
  <c r="H325" i="4"/>
  <c r="G28" i="2" s="1"/>
  <c r="E207" i="6"/>
  <c r="E28" i="2" s="1"/>
  <c r="H315" i="4"/>
  <c r="G27" i="2" s="1"/>
  <c r="E201" i="6"/>
  <c r="E27" i="2" s="1"/>
  <c r="H306" i="4"/>
  <c r="G26" i="2" s="1"/>
  <c r="E194" i="6"/>
  <c r="E26" i="2" s="1"/>
  <c r="E186" i="6"/>
  <c r="E25" i="2" s="1"/>
  <c r="H291" i="4"/>
  <c r="G25" i="2" s="1"/>
  <c r="E177" i="6"/>
  <c r="E24" i="2" s="1"/>
  <c r="H272" i="4"/>
  <c r="G24" i="2" s="1"/>
  <c r="H22" i="2"/>
  <c r="I23" i="2"/>
  <c r="E170" i="6"/>
  <c r="E23" i="2" s="1"/>
  <c r="H263" i="4"/>
  <c r="G23" i="2" s="1"/>
  <c r="G11" i="3"/>
  <c r="E157" i="6"/>
  <c r="E22" i="2" s="1"/>
  <c r="H252" i="4"/>
  <c r="G22" i="2" s="1"/>
  <c r="E150" i="6"/>
  <c r="E21" i="2" s="1"/>
  <c r="H241" i="4"/>
  <c r="G21" i="2" s="1"/>
  <c r="H226" i="4"/>
  <c r="G20" i="2" s="1"/>
  <c r="E141" i="6"/>
  <c r="E20" i="2" s="1"/>
  <c r="H214" i="4"/>
  <c r="G19" i="2" s="1"/>
  <c r="E132" i="6"/>
  <c r="E19" i="2" s="1"/>
  <c r="E126" i="6"/>
  <c r="E18" i="2" s="1"/>
  <c r="H197" i="4"/>
  <c r="G18" i="2" s="1"/>
  <c r="E118" i="6"/>
  <c r="E17" i="2" s="1"/>
  <c r="H182" i="4"/>
  <c r="G17" i="2" s="1"/>
  <c r="E109" i="6"/>
  <c r="E16" i="2" s="1"/>
  <c r="H173" i="4"/>
  <c r="G16" i="2" s="1"/>
  <c r="H162" i="4"/>
  <c r="G15" i="2" s="1"/>
  <c r="E101" i="6"/>
  <c r="E15" i="2" s="1"/>
  <c r="E93" i="6"/>
  <c r="E14" i="2" s="1"/>
  <c r="H153" i="4"/>
  <c r="G14" i="2" s="1"/>
  <c r="I13" i="2"/>
  <c r="E84" i="6"/>
  <c r="E13" i="2" s="1"/>
  <c r="H143" i="4"/>
  <c r="G13" i="2" s="1"/>
  <c r="G6" i="3"/>
  <c r="E76" i="6"/>
  <c r="E12" i="2" s="1"/>
  <c r="H130" i="4"/>
  <c r="G12" i="2" s="1"/>
  <c r="E69" i="6"/>
  <c r="E11" i="2" s="1"/>
  <c r="H115" i="4"/>
  <c r="G11" i="2" s="1"/>
  <c r="E62" i="6"/>
  <c r="E10" i="2" s="1"/>
  <c r="H103" i="4"/>
  <c r="G10" i="2" s="1"/>
  <c r="E55" i="6"/>
  <c r="E9" i="2" s="1"/>
  <c r="H90" i="4"/>
  <c r="G9" i="2" s="1"/>
  <c r="E47" i="6"/>
  <c r="E8" i="2" s="1"/>
  <c r="H75" i="4"/>
  <c r="G8" i="2" s="1"/>
  <c r="E40" i="6"/>
  <c r="E7" i="2" s="1"/>
  <c r="H64" i="4"/>
  <c r="G7" i="2" s="1"/>
  <c r="J33" i="2" l="1"/>
  <c r="J32" i="2"/>
  <c r="J31" i="2"/>
  <c r="J19" i="2"/>
  <c r="H50" i="4"/>
  <c r="G6" i="2" s="1"/>
  <c r="E31" i="6"/>
  <c r="E6" i="2" s="1"/>
  <c r="E22" i="6"/>
  <c r="E5" i="2" s="1"/>
  <c r="E12" i="6"/>
  <c r="E4" i="2" s="1"/>
  <c r="H36" i="4"/>
  <c r="G5" i="2" s="1"/>
  <c r="H22" i="4"/>
  <c r="G4" i="2" s="1"/>
  <c r="G148" i="3"/>
  <c r="J7" i="2"/>
  <c r="J8" i="2"/>
  <c r="J9" i="2"/>
  <c r="J10" i="2"/>
  <c r="J11" i="2"/>
  <c r="J12" i="2"/>
  <c r="J13" i="2"/>
  <c r="J14" i="2"/>
  <c r="J15" i="2"/>
  <c r="J16" i="2"/>
  <c r="J17" i="2"/>
  <c r="J18" i="2"/>
  <c r="J20" i="2"/>
  <c r="J21" i="2"/>
  <c r="J22" i="2"/>
  <c r="J23" i="2"/>
  <c r="J24" i="2"/>
  <c r="J25" i="2"/>
  <c r="J26" i="2"/>
  <c r="J27" i="2"/>
  <c r="J28" i="2"/>
  <c r="J29" i="2"/>
  <c r="J30" i="2"/>
  <c r="D36" i="2"/>
  <c r="D8" i="7"/>
  <c r="I36" i="2"/>
  <c r="H36" i="2"/>
  <c r="F36" i="2"/>
  <c r="C36" i="2"/>
  <c r="AO38" i="11"/>
  <c r="AI38" i="11"/>
  <c r="AC38" i="11"/>
  <c r="W38" i="11"/>
  <c r="K38" i="11"/>
  <c r="E38" i="11"/>
  <c r="Q38" i="11"/>
  <c r="B18" i="8"/>
  <c r="J6" i="2" l="1"/>
  <c r="E255" i="6"/>
  <c r="J5" i="2"/>
  <c r="J4" i="2"/>
  <c r="E36" i="2"/>
  <c r="G36" i="2"/>
  <c r="H411" i="4"/>
  <c r="J36" i="2" l="1"/>
  <c r="I41" i="2" s="1"/>
</calcChain>
</file>

<file path=xl/sharedStrings.xml><?xml version="1.0" encoding="utf-8"?>
<sst xmlns="http://schemas.openxmlformats.org/spreadsheetml/2006/main" count="846" uniqueCount="396">
  <si>
    <t>FECHA</t>
  </si>
  <si>
    <t>NOMBRE</t>
  </si>
  <si>
    <t>VALOR</t>
  </si>
  <si>
    <t>NIT O CC</t>
  </si>
  <si>
    <t>IVA</t>
  </si>
  <si>
    <t>TOTAL</t>
  </si>
  <si>
    <t>CONCEPTO</t>
  </si>
  <si>
    <t>CEDULA O NIT</t>
  </si>
  <si>
    <t>CAJA INICIO</t>
  </si>
  <si>
    <t>VENTAS DEL DIA</t>
  </si>
  <si>
    <t>COMPRAS</t>
  </si>
  <si>
    <t>NOMINA</t>
  </si>
  <si>
    <t>SERVICIOS</t>
  </si>
  <si>
    <t>OTROS PAGOS</t>
  </si>
  <si>
    <t>VALOR EN CAJA</t>
  </si>
  <si>
    <t>DETALLE</t>
  </si>
  <si>
    <t>NIT</t>
  </si>
  <si>
    <t>VENTA CON TARJETAS</t>
  </si>
  <si>
    <t xml:space="preserve"> </t>
  </si>
  <si>
    <t>CANTIDAD</t>
  </si>
  <si>
    <t>CUENTAS POR PAGAR</t>
  </si>
  <si>
    <t>PROVEEDOR</t>
  </si>
  <si>
    <t>DAVID MEJIA</t>
  </si>
  <si>
    <t>TICCHI CAFFE</t>
  </si>
  <si>
    <t>ARIAS  Y CIA</t>
  </si>
  <si>
    <t>Juan de Hoyos</t>
  </si>
  <si>
    <t>DESCUENTOS</t>
  </si>
  <si>
    <t>UTILID NETA</t>
  </si>
  <si>
    <t>MARIANA DELGADO</t>
  </si>
  <si>
    <t>GERALDINE LONDOÑO</t>
  </si>
  <si>
    <t>PAULA MARCELA RUA</t>
  </si>
  <si>
    <t>VANESSA CRUZ</t>
  </si>
  <si>
    <t>DANIELA GÓMEZ</t>
  </si>
  <si>
    <t>MARZO</t>
  </si>
  <si>
    <t>YISEL LONDOÑO</t>
  </si>
  <si>
    <t>Éxito</t>
  </si>
  <si>
    <t>Fay</t>
  </si>
  <si>
    <t>Totoa</t>
  </si>
  <si>
    <t>Hielo</t>
  </si>
  <si>
    <t>Azúcar</t>
  </si>
  <si>
    <t>Yessica Viscaya</t>
  </si>
  <si>
    <t>4 a 9 30</t>
  </si>
  <si>
    <t>Karen Vaquero</t>
  </si>
  <si>
    <t>3 a 9 30</t>
  </si>
  <si>
    <t>Yomara González</t>
  </si>
  <si>
    <t>1 a 8</t>
  </si>
  <si>
    <t>Natalia Ríos</t>
  </si>
  <si>
    <t>10 a 4 30</t>
  </si>
  <si>
    <t>Natalia</t>
  </si>
  <si>
    <t>Dedillos</t>
  </si>
  <si>
    <t>51 5798000</t>
  </si>
  <si>
    <t>Laura Pulecio</t>
  </si>
  <si>
    <t>9 30 a 3 30</t>
  </si>
  <si>
    <t>Panadería</t>
  </si>
  <si>
    <t>Rapiplástricos</t>
  </si>
  <si>
    <t>Desechables</t>
  </si>
  <si>
    <t xml:space="preserve">Cervezas frutas </t>
  </si>
  <si>
    <t>dólar City</t>
  </si>
  <si>
    <t>Sodas</t>
  </si>
  <si>
    <t>Olga Pulecio</t>
  </si>
  <si>
    <t>Pago</t>
  </si>
  <si>
    <t>Coordinadora de hielo</t>
  </si>
  <si>
    <t>Postobón</t>
  </si>
  <si>
    <t>Tres cordilleras</t>
  </si>
  <si>
    <t>Dislicores</t>
  </si>
  <si>
    <t>Whisky corona</t>
  </si>
  <si>
    <t>Frugy</t>
  </si>
  <si>
    <t>pulpas</t>
  </si>
  <si>
    <t>Hit</t>
  </si>
  <si>
    <t>femsa</t>
  </si>
  <si>
    <t>Agua</t>
  </si>
  <si>
    <t>TOTAL COMPRAS 01/8/2025</t>
  </si>
  <si>
    <t>PAGO NÓMINA DEL 01/8/2025</t>
  </si>
  <si>
    <t>2 a 9</t>
  </si>
  <si>
    <t>10 a 8 3074611</t>
  </si>
  <si>
    <t>3 a 9</t>
  </si>
  <si>
    <t>9 30 a 6 30</t>
  </si>
  <si>
    <t>2 a 6</t>
  </si>
  <si>
    <t>Mariela Hurtado</t>
  </si>
  <si>
    <t>Varios</t>
  </si>
  <si>
    <t>Ara</t>
  </si>
  <si>
    <t>Brownies</t>
  </si>
  <si>
    <t>Milo leche</t>
  </si>
  <si>
    <t>Magia</t>
  </si>
  <si>
    <t>Recibos de caja</t>
  </si>
  <si>
    <t>Dólar City</t>
  </si>
  <si>
    <t>Panamericana</t>
  </si>
  <si>
    <t>Rollos lápiz</t>
  </si>
  <si>
    <t>51 56 42 71</t>
  </si>
  <si>
    <t>TOTAL COMPRAS 02/8/2025</t>
  </si>
  <si>
    <t>PAGO NÓMINA DEL 02/8/2025</t>
  </si>
  <si>
    <t>Mercaldas</t>
  </si>
  <si>
    <t>Frutas</t>
  </si>
  <si>
    <t>El perrero</t>
  </si>
  <si>
    <t>salsa de chocolate</t>
  </si>
  <si>
    <t>Leche milo servilletas</t>
  </si>
  <si>
    <t>Zumo</t>
  </si>
  <si>
    <t>Cafam</t>
  </si>
  <si>
    <t>Medicamentos</t>
  </si>
  <si>
    <t>11 a 6</t>
  </si>
  <si>
    <t>2 a 8</t>
  </si>
  <si>
    <t>PAGO NÓMINA DEL 03/8/2025</t>
  </si>
  <si>
    <t>TOTAL COMPRAS 03/8/2025</t>
  </si>
  <si>
    <t xml:space="preserve">Alejandro </t>
  </si>
  <si>
    <t>59 56</t>
  </si>
  <si>
    <t xml:space="preserve">Cardonali </t>
  </si>
  <si>
    <t>5 tartas</t>
  </si>
  <si>
    <t>Gloria Pulecio</t>
  </si>
  <si>
    <t>50 frutos secos</t>
  </si>
  <si>
    <t>Notas</t>
  </si>
  <si>
    <t>leche chocolate bati crema</t>
  </si>
  <si>
    <t>11 a 7 30</t>
  </si>
  <si>
    <t>Yessica</t>
  </si>
  <si>
    <t>4 a 8 30</t>
  </si>
  <si>
    <t>9 a 4</t>
  </si>
  <si>
    <t>Élite</t>
  </si>
  <si>
    <t xml:space="preserve">Abono a fra </t>
  </si>
  <si>
    <t>TOTAL COMPRAS 04/8/2025</t>
  </si>
  <si>
    <t>PAGO NÓMINA DEL 04/8/2025</t>
  </si>
  <si>
    <t>ara</t>
  </si>
  <si>
    <t>Fundadores</t>
  </si>
  <si>
    <t>Fotocopiaw</t>
  </si>
  <si>
    <t>TOTOA</t>
  </si>
  <si>
    <t>2 a 8 30</t>
  </si>
  <si>
    <t>3 a 8 30</t>
  </si>
  <si>
    <t>Ticchi</t>
  </si>
  <si>
    <t>10 libras de cafeeé</t>
  </si>
  <si>
    <t xml:space="preserve">Disney + </t>
  </si>
  <si>
    <t>Suscripcion</t>
  </si>
  <si>
    <t>10 a 4</t>
  </si>
  <si>
    <t>4 taras</t>
  </si>
  <si>
    <t>TOTAL COMPRAS 05/8/2025</t>
  </si>
  <si>
    <t>PAGO NÓMINA DEL 05/8/2025</t>
  </si>
  <si>
    <t>678/2025</t>
  </si>
  <si>
    <t>4 a 8</t>
  </si>
  <si>
    <t>2 a 6 30</t>
  </si>
  <si>
    <t>Pasteur</t>
  </si>
  <si>
    <t>Rapiplásticos</t>
  </si>
  <si>
    <t>Desecchables</t>
  </si>
  <si>
    <t>Azúcar esencias</t>
  </si>
  <si>
    <t>Soda alcohol</t>
  </si>
  <si>
    <t>Meals de colombia</t>
  </si>
  <si>
    <t>Helado</t>
  </si>
  <si>
    <t>TOTAL COMPRAS 06/8/2025</t>
  </si>
  <si>
    <t>PAGO NÓMINA DEL 06/8/2025</t>
  </si>
  <si>
    <t>Yomara</t>
  </si>
  <si>
    <t>Maryuri</t>
  </si>
  <si>
    <t>Olaga</t>
  </si>
  <si>
    <t>Lina</t>
  </si>
  <si>
    <t>Karen</t>
  </si>
  <si>
    <t>Melissa</t>
  </si>
  <si>
    <t xml:space="preserve">Sodas </t>
  </si>
  <si>
    <t>Fabiola Serna</t>
  </si>
  <si>
    <t>4 tartas</t>
  </si>
  <si>
    <t>1 a 8 30</t>
  </si>
  <si>
    <t>11 a 8</t>
  </si>
  <si>
    <t>1 a 5 30</t>
  </si>
  <si>
    <t xml:space="preserve">Fruver </t>
  </si>
  <si>
    <t>Leche zzúcar bati crema</t>
  </si>
  <si>
    <t>57 59 51</t>
  </si>
  <si>
    <t>TOTAL COMPRAS 07/8/2025</t>
  </si>
  <si>
    <t>PAGO NÓMINA DEL 07/8/2025</t>
  </si>
  <si>
    <t>Picasso</t>
  </si>
  <si>
    <t>Rollos termicos</t>
  </si>
  <si>
    <t>panadería51600</t>
  </si>
  <si>
    <t>Mariela hurtado</t>
  </si>
  <si>
    <t>4 a 9</t>
  </si>
  <si>
    <t>1 a 9</t>
  </si>
  <si>
    <t>51 71 42</t>
  </si>
  <si>
    <t>Leche zumo y servilletas</t>
  </si>
  <si>
    <t>Pulpas</t>
  </si>
  <si>
    <t>dislicores</t>
  </si>
  <si>
    <t>Corona y baileys</t>
  </si>
  <si>
    <t>Femsa</t>
  </si>
  <si>
    <t>agua</t>
  </si>
  <si>
    <t>TOTAL COMPRAS 08/8/2025</t>
  </si>
  <si>
    <t>PAGO NÓMINA DEL 08/8/2025</t>
  </si>
  <si>
    <t>cervezas</t>
  </si>
  <si>
    <t>Ron</t>
  </si>
  <si>
    <t>71 42 56 51</t>
  </si>
  <si>
    <t>Tamarindo</t>
  </si>
  <si>
    <t>TOTAL COMPRAS 09/8/2025</t>
  </si>
  <si>
    <t>PAGO NÓMINA DEL 09/8/2025</t>
  </si>
  <si>
    <t>1 a 9 30</t>
  </si>
  <si>
    <t>8 horas</t>
  </si>
  <si>
    <t>Zumos y bati crema</t>
  </si>
  <si>
    <t>cuchara helado</t>
  </si>
  <si>
    <t>Manzanas</t>
  </si>
  <si>
    <t>Cardonali</t>
  </si>
  <si>
    <t>Tarats</t>
  </si>
  <si>
    <t>Leche desechables servilletas</t>
  </si>
  <si>
    <t>Desechables sodas</t>
  </si>
  <si>
    <t>Paltos</t>
  </si>
  <si>
    <t>12 a 7 30</t>
  </si>
  <si>
    <t>Juan Carlos Londoño</t>
  </si>
  <si>
    <t>Bonificación</t>
  </si>
  <si>
    <t>OTROS PAGOS 10/8/2025</t>
  </si>
  <si>
    <t>TOTAL COMPRAS 10/8/2025</t>
  </si>
  <si>
    <t>PAGO NÓMINA DEL 10/8/2025</t>
  </si>
  <si>
    <t>Desechablwes</t>
  </si>
  <si>
    <t>leche servilletas</t>
  </si>
  <si>
    <t>medicamentos Gloria</t>
  </si>
  <si>
    <t>2 30 a 7</t>
  </si>
  <si>
    <t>71 66 56 51</t>
  </si>
  <si>
    <t>TOTAL COMPRAS 11/8/2025</t>
  </si>
  <si>
    <t>PAGO NÓMINA DEL 11/8/2025</t>
  </si>
  <si>
    <t>10 libras d ecafé</t>
  </si>
  <si>
    <t>Cervezas</t>
  </si>
  <si>
    <t>Dolra City</t>
  </si>
  <si>
    <t>Miel leche bati crema</t>
  </si>
  <si>
    <t>natusnacks</t>
  </si>
  <si>
    <t>paltanitos</t>
  </si>
  <si>
    <t>Yomara Gonzalez</t>
  </si>
  <si>
    <t>11 a 8 30</t>
  </si>
  <si>
    <t>PAGO NÓMINA DEL 12/8/2025</t>
  </si>
  <si>
    <t>TOTAL COMPRAS 12/8/2025</t>
  </si>
  <si>
    <t>10 de todo</t>
  </si>
  <si>
    <t>leche esencias zumos</t>
  </si>
  <si>
    <t>yessica Viscaya</t>
  </si>
  <si>
    <t>42 71 51</t>
  </si>
  <si>
    <t>Meals de Colombia</t>
  </si>
  <si>
    <t>helado</t>
  </si>
  <si>
    <t>TOTAL COMPRAS 13/8/2025</t>
  </si>
  <si>
    <t>PAGO NÓMINA DEL 13/8/2025</t>
  </si>
  <si>
    <t>10 30 a 8 30</t>
  </si>
  <si>
    <t>3 a 7 30</t>
  </si>
  <si>
    <t>15 pasteles de pollo</t>
  </si>
  <si>
    <t>Moka  56</t>
  </si>
  <si>
    <t>TOTAL COMPRAS 14/8/2025</t>
  </si>
  <si>
    <t>PAGO NÓMINA DEL 14/8/2025</t>
  </si>
  <si>
    <t>Coco Line</t>
  </si>
  <si>
    <t>Pulpas de coco</t>
  </si>
  <si>
    <t>Cervezas aromáticas</t>
  </si>
  <si>
    <t>Lava loza</t>
  </si>
  <si>
    <t>9 a 4 30</t>
  </si>
  <si>
    <t>11 a 7</t>
  </si>
  <si>
    <t>51 66 42</t>
  </si>
  <si>
    <t>Abono</t>
  </si>
  <si>
    <t>Toota</t>
  </si>
  <si>
    <t>Coca y agua</t>
  </si>
  <si>
    <t>TOTAL COMPRAS 15/8/2025</t>
  </si>
  <si>
    <t>PAGO NÓMINA DEL 15/8/2025</t>
  </si>
  <si>
    <t>1678/2025</t>
  </si>
  <si>
    <t>salsamentaria</t>
  </si>
  <si>
    <t>Mega dulces</t>
  </si>
  <si>
    <t>Te Chai</t>
  </si>
  <si>
    <t>Dolarv City</t>
  </si>
  <si>
    <t>Notas desechables</t>
  </si>
  <si>
    <t>Leche chocolate bati crema</t>
  </si>
  <si>
    <t>Soda estevia</t>
  </si>
  <si>
    <t xml:space="preserve">Rapiplásticos </t>
  </si>
  <si>
    <t>Desechablkes</t>
  </si>
  <si>
    <t>café</t>
  </si>
  <si>
    <t>Tratas varias Abono ptes 192000</t>
  </si>
  <si>
    <t>2 a 9 30</t>
  </si>
  <si>
    <t>10 a 8 30</t>
  </si>
  <si>
    <t>PAGO NÓMINA DEL 16/8/2025</t>
  </si>
  <si>
    <t>TOTAL COMPRAS 16/8/2025</t>
  </si>
  <si>
    <t>Ron zumos servilletas</t>
  </si>
  <si>
    <t>10 a 5</t>
  </si>
  <si>
    <t>PAGO NÓMINA DEL 17/8/2025</t>
  </si>
  <si>
    <t>TOTAL COMPRAS 17/8/2025</t>
  </si>
  <si>
    <t>Santiago Delgado</t>
  </si>
  <si>
    <t>2 a 7 30</t>
  </si>
  <si>
    <t>2 a 830</t>
  </si>
  <si>
    <t>Leche bati crema servilletas</t>
  </si>
  <si>
    <t>duraznos</t>
  </si>
  <si>
    <t>Alcohol</t>
  </si>
  <si>
    <t>66 red 71 56</t>
  </si>
  <si>
    <t>Galería</t>
  </si>
  <si>
    <t>frutas</t>
  </si>
  <si>
    <t>TOTAL COMPRAS 18/8/2025</t>
  </si>
  <si>
    <t>PAGO NÓMINA DEL 18/8/2025</t>
  </si>
  <si>
    <t>12 deditos</t>
  </si>
  <si>
    <t>51 71 42 + abono 100.000</t>
  </si>
  <si>
    <t>PAGO NÓMINA DEL 19/8/2025</t>
  </si>
  <si>
    <t>TOTAL COMPRAS 19/8/2025</t>
  </si>
  <si>
    <t>Pte factura éxito César</t>
  </si>
  <si>
    <t>Bolsas de basura</t>
  </si>
  <si>
    <t>20/8"025</t>
  </si>
  <si>
    <t>César Pulecio</t>
  </si>
  <si>
    <t>Pago almuerzos fuesta de Ismael</t>
  </si>
  <si>
    <t>OTROS PAGOS 20/8/2025</t>
  </si>
  <si>
    <t>57 59</t>
  </si>
  <si>
    <t>Panela esencias servilletas</t>
  </si>
  <si>
    <t>12 pasteles de pollo</t>
  </si>
  <si>
    <t>TOTAL COMPRAS 20/8/2025</t>
  </si>
  <si>
    <t>PAGO NÓMINA DEL 20/8/2025</t>
  </si>
  <si>
    <t>La tiene César</t>
  </si>
  <si>
    <t>1978/2025</t>
  </si>
  <si>
    <t>Aguas de manizales</t>
  </si>
  <si>
    <t>Desde aquí</t>
  </si>
  <si>
    <t>Azúcar zumos</t>
  </si>
  <si>
    <t>51 56</t>
  </si>
  <si>
    <t>4 tattas</t>
  </si>
  <si>
    <t>TOTAL COMPRAS 21/8/2025</t>
  </si>
  <si>
    <t>PAGO NÓMINA DEL 21/8/2025</t>
  </si>
  <si>
    <t>Para doña Gloria</t>
  </si>
  <si>
    <t>leche zumos servilletas</t>
  </si>
  <si>
    <t>Dólar city</t>
  </si>
  <si>
    <t>Blanqueador estevia</t>
  </si>
  <si>
    <t>3 a 6 30</t>
  </si>
  <si>
    <t>71 66</t>
  </si>
  <si>
    <t>Abono a fra</t>
  </si>
  <si>
    <t>12 deditos 12 pasteles</t>
  </si>
  <si>
    <t>30 tamarindos</t>
  </si>
  <si>
    <t>18 rosadas</t>
  </si>
  <si>
    <t>Farmacia</t>
  </si>
  <si>
    <t>medicamentos</t>
  </si>
  <si>
    <t>Aguas 36</t>
  </si>
  <si>
    <t>Coca colas 24</t>
  </si>
  <si>
    <t>TOTAL COMPRAS 22/8/2025</t>
  </si>
  <si>
    <t>PAGO NÓMINA DEL 22/8/2025</t>
  </si>
  <si>
    <t>totoa</t>
  </si>
  <si>
    <t>Mariela</t>
  </si>
  <si>
    <t>Comercializadora de hielo</t>
  </si>
  <si>
    <t>2 51 71 42 56 Dedo 92000 y 46000</t>
  </si>
  <si>
    <t>ticchi</t>
  </si>
  <si>
    <t>Café</t>
  </si>
  <si>
    <t>TOTAL COMPRAS 23/8/2025</t>
  </si>
  <si>
    <t>12 a 9</t>
  </si>
  <si>
    <t>12 a 9 30</t>
  </si>
  <si>
    <t>PAGO NÓMINA DEL 23/8/2025</t>
  </si>
  <si>
    <t>Cervezas leche servilletas</t>
  </si>
  <si>
    <t>Gloria</t>
  </si>
  <si>
    <t>1 30 a 8</t>
  </si>
  <si>
    <t>5 a 8 30</t>
  </si>
  <si>
    <t>PAGO NÓMINA DEL 24/8/2025</t>
  </si>
  <si>
    <t>15 deditos34500</t>
  </si>
  <si>
    <t>Milo red velvet</t>
  </si>
  <si>
    <t>notas desechables lava loza</t>
  </si>
  <si>
    <t>cerfvezas</t>
  </si>
  <si>
    <t>TOTAL COMPRAS 24/8/2025</t>
  </si>
  <si>
    <t>Pajillas</t>
  </si>
  <si>
    <t>Milo leche bati crema</t>
  </si>
  <si>
    <t>D1</t>
  </si>
  <si>
    <t>Browniues</t>
  </si>
  <si>
    <t>PAGO NÓMINA DEL 25/8/2025</t>
  </si>
  <si>
    <t>TOTAL COMPRAS 25/8/2025</t>
  </si>
  <si>
    <t>20 crosiss 12 dedos</t>
  </si>
  <si>
    <t>Natusnacks</t>
  </si>
  <si>
    <t>24 platanitos</t>
  </si>
  <si>
    <t>Leche panela zumos</t>
  </si>
  <si>
    <t>Limpiador bolsas de basura</t>
  </si>
  <si>
    <t xml:space="preserve">Karen Vaquero </t>
  </si>
  <si>
    <t>42 56</t>
  </si>
  <si>
    <t>TOTAL COMPRAS 26/8/2025</t>
  </si>
  <si>
    <t>PAGO NÓMINA DEL 26/8/2025</t>
  </si>
  <si>
    <t>Esponjas servilletas</t>
  </si>
  <si>
    <t>Hielo bolsas de basura</t>
  </si>
  <si>
    <t>9a 3</t>
  </si>
  <si>
    <t>PAGO NÓMINA DEL 27/8/2025</t>
  </si>
  <si>
    <t>Leche maizena</t>
  </si>
  <si>
    <t>Direct tv</t>
  </si>
  <si>
    <t>Juan</t>
  </si>
  <si>
    <t>OTROS PAGOS 27/8/2025</t>
  </si>
  <si>
    <t>57 51</t>
  </si>
  <si>
    <t>TOTAL COMPRAS 27/8/2025</t>
  </si>
  <si>
    <t>FABIOLA SERNA</t>
  </si>
  <si>
    <t>4 TARTAS</t>
  </si>
  <si>
    <t>2878/2025</t>
  </si>
  <si>
    <t>10 a 8</t>
  </si>
  <si>
    <t>Papelería</t>
  </si>
  <si>
    <t>Fotocopias</t>
  </si>
  <si>
    <t>Rollos sumadora</t>
  </si>
  <si>
    <t>Milo duraznos baticrema</t>
  </si>
  <si>
    <t>10 deditos 10 pasteles</t>
  </si>
  <si>
    <t>PAGO NÓMINA DEL 28/8/2025</t>
  </si>
  <si>
    <t>TOTAL COMPRAS 28/8/2025</t>
  </si>
  <si>
    <t>Plastivilla</t>
  </si>
  <si>
    <t>escoba</t>
  </si>
  <si>
    <t>Platusnacks</t>
  </si>
  <si>
    <t>Paltanitos</t>
  </si>
  <si>
    <t>Coca cola</t>
  </si>
  <si>
    <t>48 aguas</t>
  </si>
  <si>
    <t>24 rosadas 12 heineken</t>
  </si>
  <si>
    <t>Baileys</t>
  </si>
  <si>
    <t>Leche zumos</t>
  </si>
  <si>
    <t>TOTAL COMPRAS 29/8/2025</t>
  </si>
  <si>
    <t>PAGO NÓMINA DEL 29/8/2025</t>
  </si>
  <si>
    <t>cafgé</t>
  </si>
  <si>
    <t>Salsamentaria</t>
  </si>
  <si>
    <t>12 64 12 62</t>
  </si>
  <si>
    <t>ÉXITO</t>
  </si>
  <si>
    <t>Milo aromáticas panela</t>
  </si>
  <si>
    <t>Servilletas</t>
  </si>
  <si>
    <t>Fruver</t>
  </si>
  <si>
    <t>TOTAL COMPRAS 30/8/2025</t>
  </si>
  <si>
    <t>Parte de nómina</t>
  </si>
  <si>
    <t>11 A 6 30</t>
  </si>
  <si>
    <t>PAGO NÓMINA DEL 31/8/2025</t>
  </si>
  <si>
    <t>PAGO NÓMINA DEL 30/8/2025</t>
  </si>
  <si>
    <t xml:space="preserve">Desechables </t>
  </si>
  <si>
    <t>TOTAL COMPRAS 31/8/2025</t>
  </si>
  <si>
    <t>42 66 51 56</t>
  </si>
  <si>
    <t>Ddesechables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</si>
</sst>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* #,##0_);_(* \(#,##0\);_(* &quot;-&quot;??_);_(@_)"/>
    <numFmt numFmtId="167" formatCode="[$-F800]dddd\,\ mmmm\ dd\,\ yyyy"/>
    <numFmt numFmtId="168" formatCode="dd/mm/yyyy;@"/>
    <numFmt numFmtId="169" formatCode="[$$-240A]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61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65" fontId="0" fillId="0" borderId="1" xfId="1" applyFont="1" applyBorder="1"/>
    <xf numFmtId="166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/>
    <xf numFmtId="14" fontId="2" fillId="0" borderId="1" xfId="0" applyNumberFormat="1" applyFont="1" applyBorder="1"/>
    <xf numFmtId="165" fontId="2" fillId="0" borderId="1" xfId="0" applyNumberFormat="1" applyFont="1" applyBorder="1"/>
    <xf numFmtId="166" fontId="2" fillId="2" borderId="1" xfId="1" applyNumberFormat="1" applyFont="1" applyFill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2" fillId="2" borderId="1" xfId="1" applyNumberFormat="1" applyFont="1" applyFill="1" applyBorder="1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1" xfId="0" applyNumberForma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166" fontId="0" fillId="0" borderId="1" xfId="1" applyNumberFormat="1" applyFont="1" applyBorder="1" applyAlignment="1">
      <alignment horizontal="left" vertical="center"/>
    </xf>
    <xf numFmtId="0" fontId="2" fillId="2" borderId="1" xfId="0" applyFont="1" applyFill="1" applyBorder="1"/>
    <xf numFmtId="166" fontId="2" fillId="2" borderId="1" xfId="0" applyNumberFormat="1" applyFont="1" applyFill="1" applyBorder="1"/>
    <xf numFmtId="0" fontId="2" fillId="0" borderId="0" xfId="0" applyFont="1"/>
    <xf numFmtId="166" fontId="2" fillId="0" borderId="0" xfId="1" applyNumberFormat="1" applyFont="1"/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6" fontId="0" fillId="0" borderId="0" xfId="0" applyNumberFormat="1"/>
    <xf numFmtId="0" fontId="3" fillId="0" borderId="1" xfId="0" applyFont="1" applyBorder="1" applyAlignment="1">
      <alignment vertical="center" wrapText="1"/>
    </xf>
    <xf numFmtId="166" fontId="0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2" fillId="0" borderId="1" xfId="1" applyNumberFormat="1" applyFont="1" applyBorder="1"/>
    <xf numFmtId="166" fontId="1" fillId="0" borderId="1" xfId="1" applyNumberFormat="1" applyFont="1" applyBorder="1"/>
    <xf numFmtId="166" fontId="3" fillId="0" borderId="1" xfId="1" applyNumberFormat="1" applyFont="1" applyBorder="1" applyAlignment="1">
      <alignment vertical="center"/>
    </xf>
    <xf numFmtId="3" fontId="0" fillId="0" borderId="0" xfId="0" applyNumberFormat="1"/>
    <xf numFmtId="0" fontId="0" fillId="0" borderId="2" xfId="0" applyBorder="1"/>
    <xf numFmtId="0" fontId="2" fillId="0" borderId="2" xfId="0" applyFont="1" applyBorder="1"/>
    <xf numFmtId="3" fontId="0" fillId="0" borderId="1" xfId="0" applyNumberFormat="1" applyBorder="1"/>
    <xf numFmtId="168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6" fontId="0" fillId="0" borderId="3" xfId="1" applyNumberFormat="1" applyFont="1" applyBorder="1" applyAlignment="1">
      <alignment vertical="center"/>
    </xf>
    <xf numFmtId="166" fontId="0" fillId="0" borderId="4" xfId="1" applyNumberFormat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4" fontId="0" fillId="0" borderId="3" xfId="0" applyNumberFormat="1" applyBorder="1" applyAlignment="1">
      <alignment vertical="center"/>
    </xf>
    <xf numFmtId="4" fontId="0" fillId="0" borderId="1" xfId="1" applyNumberFormat="1" applyFont="1" applyBorder="1" applyAlignment="1">
      <alignment horizontal="left" vertical="center"/>
    </xf>
    <xf numFmtId="4" fontId="0" fillId="0" borderId="0" xfId="0" applyNumberForma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6" fontId="0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6" fontId="0" fillId="0" borderId="4" xfId="0" applyNumberForma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0" fillId="0" borderId="3" xfId="1" applyNumberFormat="1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14" fontId="0" fillId="0" borderId="2" xfId="2" applyNumberFormat="1" applyFont="1" applyBorder="1" applyAlignment="1">
      <alignment vertical="center"/>
    </xf>
    <xf numFmtId="166" fontId="0" fillId="0" borderId="3" xfId="1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/>
    <xf numFmtId="3" fontId="2" fillId="0" borderId="0" xfId="0" applyNumberFormat="1" applyFont="1"/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/>
    <xf numFmtId="14" fontId="0" fillId="0" borderId="0" xfId="0" applyNumberFormat="1"/>
    <xf numFmtId="14" fontId="0" fillId="0" borderId="2" xfId="0" applyNumberFormat="1" applyBorder="1"/>
    <xf numFmtId="0" fontId="2" fillId="0" borderId="3" xfId="0" applyFont="1" applyBorder="1"/>
    <xf numFmtId="166" fontId="0" fillId="0" borderId="3" xfId="1" applyNumberFormat="1" applyFont="1" applyBorder="1"/>
    <xf numFmtId="0" fontId="0" fillId="0" borderId="4" xfId="0" applyBorder="1"/>
    <xf numFmtId="14" fontId="0" fillId="0" borderId="2" xfId="0" applyNumberFormat="1" applyBorder="1" applyAlignment="1">
      <alignment vertical="center"/>
    </xf>
    <xf numFmtId="0" fontId="9" fillId="0" borderId="1" xfId="0" applyFont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15" fontId="0" fillId="0" borderId="0" xfId="0" applyNumberFormat="1"/>
    <xf numFmtId="0" fontId="0" fillId="0" borderId="4" xfId="0" applyBorder="1" applyAlignment="1">
      <alignment vertical="center"/>
    </xf>
    <xf numFmtId="167" fontId="2" fillId="2" borderId="3" xfId="0" applyNumberFormat="1" applyFont="1" applyFill="1" applyBorder="1" applyAlignment="1">
      <alignment horizontal="left" vertical="center"/>
    </xf>
    <xf numFmtId="167" fontId="2" fillId="2" borderId="4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wrapText="1"/>
    </xf>
    <xf numFmtId="166" fontId="0" fillId="3" borderId="1" xfId="1" applyNumberFormat="1" applyFont="1" applyFill="1" applyBorder="1"/>
    <xf numFmtId="166" fontId="3" fillId="3" borderId="1" xfId="1" applyNumberFormat="1" applyFont="1" applyFill="1" applyBorder="1"/>
    <xf numFmtId="0" fontId="0" fillId="3" borderId="1" xfId="1" applyNumberFormat="1" applyFont="1" applyFill="1" applyBorder="1"/>
    <xf numFmtId="166" fontId="0" fillId="3" borderId="0" xfId="1" applyNumberFormat="1" applyFont="1" applyFill="1"/>
    <xf numFmtId="0" fontId="2" fillId="3" borderId="2" xfId="0" applyFont="1" applyFill="1" applyBorder="1" applyAlignment="1">
      <alignment horizontal="center"/>
    </xf>
    <xf numFmtId="3" fontId="2" fillId="3" borderId="1" xfId="0" applyNumberFormat="1" applyFont="1" applyFill="1" applyBorder="1"/>
    <xf numFmtId="0" fontId="0" fillId="0" borderId="3" xfId="0" applyBorder="1"/>
    <xf numFmtId="0" fontId="9" fillId="0" borderId="3" xfId="0" applyFont="1" applyBorder="1" applyAlignment="1">
      <alignment vertical="center"/>
    </xf>
    <xf numFmtId="4" fontId="9" fillId="0" borderId="3" xfId="0" applyNumberFormat="1" applyFont="1" applyBorder="1" applyAlignment="1">
      <alignment vertical="center"/>
    </xf>
    <xf numFmtId="166" fontId="9" fillId="0" borderId="3" xfId="0" applyNumberFormat="1" applyFont="1" applyBorder="1" applyAlignment="1">
      <alignment vertical="center"/>
    </xf>
    <xf numFmtId="0" fontId="8" fillId="0" borderId="0" xfId="0" applyFont="1"/>
    <xf numFmtId="0" fontId="7" fillId="5" borderId="0" xfId="0" applyFont="1" applyFill="1"/>
    <xf numFmtId="0" fontId="0" fillId="5" borderId="0" xfId="0" applyFill="1"/>
    <xf numFmtId="166" fontId="0" fillId="5" borderId="0" xfId="0" applyNumberFormat="1" applyFill="1"/>
    <xf numFmtId="166" fontId="0" fillId="2" borderId="0" xfId="0" applyNumberFormat="1" applyFill="1" applyAlignment="1">
      <alignment vertical="center"/>
    </xf>
    <xf numFmtId="0" fontId="0" fillId="2" borderId="0" xfId="0" applyFill="1"/>
    <xf numFmtId="0" fontId="9" fillId="0" borderId="1" xfId="0" applyFont="1" applyBorder="1"/>
    <xf numFmtId="166" fontId="9" fillId="0" borderId="4" xfId="0" applyNumberFormat="1" applyFont="1" applyBorder="1"/>
    <xf numFmtId="0" fontId="9" fillId="0" borderId="4" xfId="0" applyFont="1" applyBorder="1"/>
    <xf numFmtId="4" fontId="0" fillId="0" borderId="2" xfId="0" applyNumberFormat="1" applyBorder="1" applyAlignment="1">
      <alignment vertical="center"/>
    </xf>
    <xf numFmtId="0" fontId="0" fillId="6" borderId="2" xfId="0" applyFill="1" applyBorder="1"/>
    <xf numFmtId="0" fontId="2" fillId="0" borderId="6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1" applyNumberFormat="1" applyFont="1" applyFill="1" applyBorder="1"/>
    <xf numFmtId="166" fontId="0" fillId="2" borderId="0" xfId="0" applyNumberFormat="1" applyFill="1"/>
    <xf numFmtId="167" fontId="6" fillId="4" borderId="2" xfId="0" applyNumberFormat="1" applyFont="1" applyFill="1" applyBorder="1" applyAlignment="1">
      <alignment horizontal="left" vertical="center"/>
    </xf>
    <xf numFmtId="167" fontId="6" fillId="4" borderId="3" xfId="0" applyNumberFormat="1" applyFont="1" applyFill="1" applyBorder="1" applyAlignment="1">
      <alignment horizontal="left" vertical="center"/>
    </xf>
    <xf numFmtId="167" fontId="6" fillId="4" borderId="4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7" fontId="2" fillId="2" borderId="2" xfId="0" applyNumberFormat="1" applyFont="1" applyFill="1" applyBorder="1" applyAlignment="1">
      <alignment horizontal="left" vertical="center"/>
    </xf>
    <xf numFmtId="167" fontId="2" fillId="2" borderId="3" xfId="0" applyNumberFormat="1" applyFont="1" applyFill="1" applyBorder="1" applyAlignment="1">
      <alignment horizontal="left" vertical="center"/>
    </xf>
    <xf numFmtId="167" fontId="2" fillId="2" borderId="4" xfId="0" applyNumberFormat="1" applyFont="1" applyFill="1" applyBorder="1" applyAlignment="1">
      <alignment horizontal="left" vertical="center"/>
    </xf>
    <xf numFmtId="167" fontId="6" fillId="4" borderId="5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</cellXfs>
  <cellStyles count="2619"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433" builtinId="8" hidden="1"/>
    <cellStyle name="Hipervínculo" xfId="1435" builtinId="8" hidden="1"/>
    <cellStyle name="Hipervínculo" xfId="1437" builtinId="8" hidden="1"/>
    <cellStyle name="Hipervínculo" xfId="1439" builtinId="8" hidden="1"/>
    <cellStyle name="Hipervínculo" xfId="1441" builtinId="8" hidden="1"/>
    <cellStyle name="Hipervínculo" xfId="1443" builtinId="8" hidden="1"/>
    <cellStyle name="Hipervínculo" xfId="1445" builtinId="8" hidden="1"/>
    <cellStyle name="Hipervínculo" xfId="1447" builtinId="8" hidden="1"/>
    <cellStyle name="Hipervínculo" xfId="1449" builtinId="8" hidden="1"/>
    <cellStyle name="Hipervínculo" xfId="1451" builtinId="8" hidden="1"/>
    <cellStyle name="Hipervínculo" xfId="1453" builtinId="8" hidden="1"/>
    <cellStyle name="Hipervínculo" xfId="1455" builtinId="8" hidden="1"/>
    <cellStyle name="Hipervínculo" xfId="1457" builtinId="8" hidden="1"/>
    <cellStyle name="Hipervínculo" xfId="1459" builtinId="8" hidden="1"/>
    <cellStyle name="Hipervínculo" xfId="1461" builtinId="8" hidden="1"/>
    <cellStyle name="Hipervínculo" xfId="1463" builtinId="8" hidden="1"/>
    <cellStyle name="Hipervínculo" xfId="1465" builtinId="8" hidden="1"/>
    <cellStyle name="Hipervínculo" xfId="1467" builtinId="8" hidden="1"/>
    <cellStyle name="Hipervínculo" xfId="1469" builtinId="8" hidden="1"/>
    <cellStyle name="Hipervínculo" xfId="1471" builtinId="8" hidden="1"/>
    <cellStyle name="Hipervínculo" xfId="1473" builtinId="8" hidden="1"/>
    <cellStyle name="Hipervínculo" xfId="1475" builtinId="8" hidden="1"/>
    <cellStyle name="Hipervínculo" xfId="1477" builtinId="8" hidden="1"/>
    <cellStyle name="Hipervínculo" xfId="1479" builtinId="8" hidden="1"/>
    <cellStyle name="Hipervínculo" xfId="1481" builtinId="8" hidden="1"/>
    <cellStyle name="Hipervínculo" xfId="1483" builtinId="8" hidden="1"/>
    <cellStyle name="Hipervínculo" xfId="1485" builtinId="8" hidden="1"/>
    <cellStyle name="Hipervínculo" xfId="1487" builtinId="8" hidden="1"/>
    <cellStyle name="Hipervínculo" xfId="1489" builtinId="8" hidden="1"/>
    <cellStyle name="Hipervínculo" xfId="1491" builtinId="8" hidden="1"/>
    <cellStyle name="Hipervínculo" xfId="1493" builtinId="8" hidden="1"/>
    <cellStyle name="Hipervínculo" xfId="1495" builtinId="8" hidden="1"/>
    <cellStyle name="Hipervínculo" xfId="1497" builtinId="8" hidden="1"/>
    <cellStyle name="Hipervínculo" xfId="1499" builtinId="8" hidden="1"/>
    <cellStyle name="Hipervínculo" xfId="1501" builtinId="8" hidden="1"/>
    <cellStyle name="Hipervínculo" xfId="1503" builtinId="8" hidden="1"/>
    <cellStyle name="Hipervínculo" xfId="1505" builtinId="8" hidden="1"/>
    <cellStyle name="Hipervínculo" xfId="1507" builtinId="8" hidden="1"/>
    <cellStyle name="Hipervínculo" xfId="1509" builtinId="8" hidden="1"/>
    <cellStyle name="Hipervínculo" xfId="1511" builtinId="8" hidden="1"/>
    <cellStyle name="Hipervínculo" xfId="1513" builtinId="8" hidden="1"/>
    <cellStyle name="Hipervínculo" xfId="1515" builtinId="8" hidden="1"/>
    <cellStyle name="Hipervínculo" xfId="1517" builtinId="8" hidden="1"/>
    <cellStyle name="Hipervínculo" xfId="1519" builtinId="8" hidden="1"/>
    <cellStyle name="Hipervínculo" xfId="1521" builtinId="8" hidden="1"/>
    <cellStyle name="Hipervínculo" xfId="1523" builtinId="8" hidden="1"/>
    <cellStyle name="Hipervínculo" xfId="1525" builtinId="8" hidden="1"/>
    <cellStyle name="Hipervínculo" xfId="1527" builtinId="8" hidden="1"/>
    <cellStyle name="Hipervínculo" xfId="1529" builtinId="8" hidden="1"/>
    <cellStyle name="Hipervínculo" xfId="1531" builtinId="8" hidden="1"/>
    <cellStyle name="Hipervínculo" xfId="1533" builtinId="8" hidden="1"/>
    <cellStyle name="Hipervínculo" xfId="1535" builtinId="8" hidden="1"/>
    <cellStyle name="Hipervínculo" xfId="1537" builtinId="8" hidden="1"/>
    <cellStyle name="Hipervínculo" xfId="1539" builtinId="8" hidden="1"/>
    <cellStyle name="Hipervínculo" xfId="1541" builtinId="8" hidden="1"/>
    <cellStyle name="Hipervínculo" xfId="1543" builtinId="8" hidden="1"/>
    <cellStyle name="Hipervínculo" xfId="1545" builtinId="8" hidden="1"/>
    <cellStyle name="Hipervínculo" xfId="1547" builtinId="8" hidden="1"/>
    <cellStyle name="Hipervínculo" xfId="1549" builtinId="8" hidden="1"/>
    <cellStyle name="Hipervínculo" xfId="1551" builtinId="8" hidden="1"/>
    <cellStyle name="Hipervínculo" xfId="1553" builtinId="8" hidden="1"/>
    <cellStyle name="Hipervínculo" xfId="1555" builtinId="8" hidden="1"/>
    <cellStyle name="Hipervínculo" xfId="1557" builtinId="8" hidden="1"/>
    <cellStyle name="Hipervínculo" xfId="1559" builtinId="8" hidden="1"/>
    <cellStyle name="Hipervínculo" xfId="1561" builtinId="8" hidden="1"/>
    <cellStyle name="Hipervínculo" xfId="1563" builtinId="8" hidden="1"/>
    <cellStyle name="Hipervínculo" xfId="1565" builtinId="8" hidden="1"/>
    <cellStyle name="Hipervínculo" xfId="1567" builtinId="8" hidden="1"/>
    <cellStyle name="Hipervínculo" xfId="1569" builtinId="8" hidden="1"/>
    <cellStyle name="Hipervínculo" xfId="1571" builtinId="8" hidden="1"/>
    <cellStyle name="Hipervínculo" xfId="1573" builtinId="8" hidden="1"/>
    <cellStyle name="Hipervínculo" xfId="1575" builtinId="8" hidden="1"/>
    <cellStyle name="Hipervínculo" xfId="1577" builtinId="8" hidden="1"/>
    <cellStyle name="Hipervínculo" xfId="1579" builtinId="8" hidden="1"/>
    <cellStyle name="Hipervínculo" xfId="1581" builtinId="8" hidden="1"/>
    <cellStyle name="Hipervínculo" xfId="1583" builtinId="8" hidden="1"/>
    <cellStyle name="Hipervínculo" xfId="1585" builtinId="8" hidden="1"/>
    <cellStyle name="Hipervínculo" xfId="1587" builtinId="8" hidden="1"/>
    <cellStyle name="Hipervínculo" xfId="1589" builtinId="8" hidden="1"/>
    <cellStyle name="Hipervínculo" xfId="1591" builtinId="8" hidden="1"/>
    <cellStyle name="Hipervínculo" xfId="1593" builtinId="8" hidden="1"/>
    <cellStyle name="Hipervínculo" xfId="1595" builtinId="8" hidden="1"/>
    <cellStyle name="Hipervínculo" xfId="1597" builtinId="8" hidden="1"/>
    <cellStyle name="Hipervínculo" xfId="1599" builtinId="8" hidden="1"/>
    <cellStyle name="Hipervínculo" xfId="1601" builtinId="8" hidden="1"/>
    <cellStyle name="Hipervínculo" xfId="1603" builtinId="8" hidden="1"/>
    <cellStyle name="Hipervínculo" xfId="1605" builtinId="8" hidden="1"/>
    <cellStyle name="Hipervínculo" xfId="1607" builtinId="8" hidden="1"/>
    <cellStyle name="Hipervínculo" xfId="1609" builtinId="8" hidden="1"/>
    <cellStyle name="Hipervínculo" xfId="1611" builtinId="8" hidden="1"/>
    <cellStyle name="Hipervínculo" xfId="1613" builtinId="8" hidden="1"/>
    <cellStyle name="Hipervínculo" xfId="1615" builtinId="8" hidden="1"/>
    <cellStyle name="Hipervínculo" xfId="1617" builtinId="8" hidden="1"/>
    <cellStyle name="Hipervínculo" xfId="1619" builtinId="8" hidden="1"/>
    <cellStyle name="Hipervínculo" xfId="1621" builtinId="8" hidden="1"/>
    <cellStyle name="Hipervínculo" xfId="1623" builtinId="8" hidden="1"/>
    <cellStyle name="Hipervínculo" xfId="1625" builtinId="8" hidden="1"/>
    <cellStyle name="Hipervínculo" xfId="1627" builtinId="8" hidden="1"/>
    <cellStyle name="Hipervínculo" xfId="1629" builtinId="8" hidden="1"/>
    <cellStyle name="Hipervínculo" xfId="1631" builtinId="8" hidden="1"/>
    <cellStyle name="Hipervínculo" xfId="1633" builtinId="8" hidden="1"/>
    <cellStyle name="Hipervínculo" xfId="1635" builtinId="8" hidden="1"/>
    <cellStyle name="Hipervínculo" xfId="1637" builtinId="8" hidden="1"/>
    <cellStyle name="Hipervínculo" xfId="1639" builtinId="8" hidden="1"/>
    <cellStyle name="Hipervínculo" xfId="1641" builtinId="8" hidden="1"/>
    <cellStyle name="Hipervínculo" xfId="1643" builtinId="8" hidden="1"/>
    <cellStyle name="Hipervínculo" xfId="1645" builtinId="8" hidden="1"/>
    <cellStyle name="Hipervínculo" xfId="1647" builtinId="8" hidden="1"/>
    <cellStyle name="Hipervínculo" xfId="1649" builtinId="8" hidden="1"/>
    <cellStyle name="Hipervínculo" xfId="1651" builtinId="8" hidden="1"/>
    <cellStyle name="Hipervínculo" xfId="1653" builtinId="8" hidden="1"/>
    <cellStyle name="Hipervínculo" xfId="1655" builtinId="8" hidden="1"/>
    <cellStyle name="Hipervínculo" xfId="1657" builtinId="8" hidden="1"/>
    <cellStyle name="Hipervínculo" xfId="1659" builtinId="8" hidden="1"/>
    <cellStyle name="Hipervínculo" xfId="1661" builtinId="8" hidden="1"/>
    <cellStyle name="Hipervínculo" xfId="1663" builtinId="8" hidden="1"/>
    <cellStyle name="Hipervínculo" xfId="1665" builtinId="8" hidden="1"/>
    <cellStyle name="Hipervínculo" xfId="1667" builtinId="8" hidden="1"/>
    <cellStyle name="Hipervínculo" xfId="1669" builtinId="8" hidden="1"/>
    <cellStyle name="Hipervínculo" xfId="1671" builtinId="8" hidden="1"/>
    <cellStyle name="Hipervínculo" xfId="1673" builtinId="8" hidden="1"/>
    <cellStyle name="Hipervínculo" xfId="1675" builtinId="8" hidden="1"/>
    <cellStyle name="Hipervínculo" xfId="1677" builtinId="8" hidden="1"/>
    <cellStyle name="Hipervínculo" xfId="1679" builtinId="8" hidden="1"/>
    <cellStyle name="Hipervínculo" xfId="1681" builtinId="8" hidden="1"/>
    <cellStyle name="Hipervínculo" xfId="1683" builtinId="8" hidden="1"/>
    <cellStyle name="Hipervínculo" xfId="1685" builtinId="8" hidden="1"/>
    <cellStyle name="Hipervínculo" xfId="1687" builtinId="8" hidden="1"/>
    <cellStyle name="Hipervínculo" xfId="1689" builtinId="8" hidden="1"/>
    <cellStyle name="Hipervínculo" xfId="1691" builtinId="8" hidden="1"/>
    <cellStyle name="Hipervínculo" xfId="1693" builtinId="8" hidden="1"/>
    <cellStyle name="Hipervínculo" xfId="1695" builtinId="8" hidden="1"/>
    <cellStyle name="Hipervínculo" xfId="1697" builtinId="8" hidden="1"/>
    <cellStyle name="Hipervínculo" xfId="1699" builtinId="8" hidden="1"/>
    <cellStyle name="Hipervínculo" xfId="1701" builtinId="8" hidden="1"/>
    <cellStyle name="Hipervínculo" xfId="1703" builtinId="8" hidden="1"/>
    <cellStyle name="Hipervínculo" xfId="1705" builtinId="8" hidden="1"/>
    <cellStyle name="Hipervínculo" xfId="1707" builtinId="8" hidden="1"/>
    <cellStyle name="Hipervínculo" xfId="1709" builtinId="8" hidden="1"/>
    <cellStyle name="Hipervínculo" xfId="1711" builtinId="8" hidden="1"/>
    <cellStyle name="Hipervínculo" xfId="1713" builtinId="8" hidden="1"/>
    <cellStyle name="Hipervínculo" xfId="1715" builtinId="8" hidden="1"/>
    <cellStyle name="Hipervínculo" xfId="1717" builtinId="8" hidden="1"/>
    <cellStyle name="Hipervínculo" xfId="1719" builtinId="8" hidden="1"/>
    <cellStyle name="Hipervínculo" xfId="1721" builtinId="8" hidden="1"/>
    <cellStyle name="Hipervínculo" xfId="1723" builtinId="8" hidden="1"/>
    <cellStyle name="Hipervínculo" xfId="1725" builtinId="8" hidden="1"/>
    <cellStyle name="Hipervínculo" xfId="1727" builtinId="8" hidden="1"/>
    <cellStyle name="Hipervínculo" xfId="1729" builtinId="8" hidden="1"/>
    <cellStyle name="Hipervínculo" xfId="1731" builtinId="8" hidden="1"/>
    <cellStyle name="Hipervínculo" xfId="1733" builtinId="8" hidden="1"/>
    <cellStyle name="Hipervínculo" xfId="1735" builtinId="8" hidden="1"/>
    <cellStyle name="Hipervínculo" xfId="1737" builtinId="8" hidden="1"/>
    <cellStyle name="Hipervínculo" xfId="1739" builtinId="8" hidden="1"/>
    <cellStyle name="Hipervínculo" xfId="1741" builtinId="8" hidden="1"/>
    <cellStyle name="Hipervínculo" xfId="1743" builtinId="8" hidden="1"/>
    <cellStyle name="Hipervínculo" xfId="1745" builtinId="8" hidden="1"/>
    <cellStyle name="Hipervínculo" xfId="1747" builtinId="8" hidden="1"/>
    <cellStyle name="Hipervínculo" xfId="1749" builtinId="8" hidden="1"/>
    <cellStyle name="Hipervínculo" xfId="1751" builtinId="8" hidden="1"/>
    <cellStyle name="Hipervínculo" xfId="1753" builtinId="8" hidden="1"/>
    <cellStyle name="Hipervínculo" xfId="1755" builtinId="8" hidden="1"/>
    <cellStyle name="Hipervínculo" xfId="1757" builtinId="8" hidden="1"/>
    <cellStyle name="Hipervínculo" xfId="1759" builtinId="8" hidden="1"/>
    <cellStyle name="Hipervínculo" xfId="1761" builtinId="8" hidden="1"/>
    <cellStyle name="Hipervínculo" xfId="1763" builtinId="8" hidden="1"/>
    <cellStyle name="Hipervínculo" xfId="1765" builtinId="8" hidden="1"/>
    <cellStyle name="Hipervínculo" xfId="1767" builtinId="8" hidden="1"/>
    <cellStyle name="Hipervínculo" xfId="1769" builtinId="8" hidden="1"/>
    <cellStyle name="Hipervínculo" xfId="1771" builtinId="8" hidden="1"/>
    <cellStyle name="Hipervínculo" xfId="1773" builtinId="8" hidden="1"/>
    <cellStyle name="Hipervínculo" xfId="1775" builtinId="8" hidden="1"/>
    <cellStyle name="Hipervínculo" xfId="1777" builtinId="8" hidden="1"/>
    <cellStyle name="Hipervínculo" xfId="1779" builtinId="8" hidden="1"/>
    <cellStyle name="Hipervínculo" xfId="1781" builtinId="8" hidden="1"/>
    <cellStyle name="Hipervínculo" xfId="1783" builtinId="8" hidden="1"/>
    <cellStyle name="Hipervínculo" xfId="1785" builtinId="8" hidden="1"/>
    <cellStyle name="Hipervínculo" xfId="1787" builtinId="8" hidden="1"/>
    <cellStyle name="Hipervínculo" xfId="1789" builtinId="8" hidden="1"/>
    <cellStyle name="Hipervínculo" xfId="1791" builtinId="8" hidden="1"/>
    <cellStyle name="Hipervínculo" xfId="1793" builtinId="8" hidden="1"/>
    <cellStyle name="Hipervínculo" xfId="1795" builtinId="8" hidden="1"/>
    <cellStyle name="Hipervínculo" xfId="1797" builtinId="8" hidden="1"/>
    <cellStyle name="Hipervínculo" xfId="1799" builtinId="8" hidden="1"/>
    <cellStyle name="Hipervínculo" xfId="1801" builtinId="8" hidden="1"/>
    <cellStyle name="Hipervínculo" xfId="1803" builtinId="8" hidden="1"/>
    <cellStyle name="Hipervínculo" xfId="1805" builtinId="8" hidden="1"/>
    <cellStyle name="Hipervínculo" xfId="1807" builtinId="8" hidden="1"/>
    <cellStyle name="Hipervínculo" xfId="1809" builtinId="8" hidden="1"/>
    <cellStyle name="Hipervínculo" xfId="1811" builtinId="8" hidden="1"/>
    <cellStyle name="Hipervínculo" xfId="1813" builtinId="8" hidden="1"/>
    <cellStyle name="Hipervínculo" xfId="1815" builtinId="8" hidden="1"/>
    <cellStyle name="Hipervínculo" xfId="1817" builtinId="8" hidden="1"/>
    <cellStyle name="Hipervínculo" xfId="1819" builtinId="8" hidden="1"/>
    <cellStyle name="Hipervínculo" xfId="1821" builtinId="8" hidden="1"/>
    <cellStyle name="Hipervínculo" xfId="1823" builtinId="8" hidden="1"/>
    <cellStyle name="Hipervínculo" xfId="1825" builtinId="8" hidden="1"/>
    <cellStyle name="Hipervínculo" xfId="1827" builtinId="8" hidden="1"/>
    <cellStyle name="Hipervínculo" xfId="1829" builtinId="8" hidden="1"/>
    <cellStyle name="Hipervínculo" xfId="1831" builtinId="8" hidden="1"/>
    <cellStyle name="Hipervínculo" xfId="1833" builtinId="8" hidden="1"/>
    <cellStyle name="Hipervínculo" xfId="1835" builtinId="8" hidden="1"/>
    <cellStyle name="Hipervínculo" xfId="1837" builtinId="8" hidden="1"/>
    <cellStyle name="Hipervínculo" xfId="1839" builtinId="8" hidden="1"/>
    <cellStyle name="Hipervínculo" xfId="1841" builtinId="8" hidden="1"/>
    <cellStyle name="Hipervínculo" xfId="1843" builtinId="8" hidden="1"/>
    <cellStyle name="Hipervínculo" xfId="1845" builtinId="8" hidden="1"/>
    <cellStyle name="Hipervínculo" xfId="1847" builtinId="8" hidden="1"/>
    <cellStyle name="Hipervínculo" xfId="1849" builtinId="8" hidden="1"/>
    <cellStyle name="Hipervínculo" xfId="1851" builtinId="8" hidden="1"/>
    <cellStyle name="Hipervínculo" xfId="1853" builtinId="8" hidden="1"/>
    <cellStyle name="Hipervínculo" xfId="1855" builtinId="8" hidden="1"/>
    <cellStyle name="Hipervínculo" xfId="1857" builtinId="8" hidden="1"/>
    <cellStyle name="Hipervínculo" xfId="1859" builtinId="8" hidden="1"/>
    <cellStyle name="Hipervínculo" xfId="1861" builtinId="8" hidden="1"/>
    <cellStyle name="Hipervínculo" xfId="1863" builtinId="8" hidden="1"/>
    <cellStyle name="Hipervínculo" xfId="1865" builtinId="8" hidden="1"/>
    <cellStyle name="Hipervínculo" xfId="1867" builtinId="8" hidden="1"/>
    <cellStyle name="Hipervínculo" xfId="1869" builtinId="8" hidden="1"/>
    <cellStyle name="Hipervínculo" xfId="1871" builtinId="8" hidden="1"/>
    <cellStyle name="Hipervínculo" xfId="1873" builtinId="8" hidden="1"/>
    <cellStyle name="Hipervínculo" xfId="1875" builtinId="8" hidden="1"/>
    <cellStyle name="Hipervínculo" xfId="1877" builtinId="8" hidden="1"/>
    <cellStyle name="Hipervínculo" xfId="1879" builtinId="8" hidden="1"/>
    <cellStyle name="Hipervínculo" xfId="1881" builtinId="8" hidden="1"/>
    <cellStyle name="Hipervínculo" xfId="1883" builtinId="8" hidden="1"/>
    <cellStyle name="Hipervínculo" xfId="1885" builtinId="8" hidden="1"/>
    <cellStyle name="Hipervínculo" xfId="1887" builtinId="8" hidden="1"/>
    <cellStyle name="Hipervínculo" xfId="1889" builtinId="8" hidden="1"/>
    <cellStyle name="Hipervínculo" xfId="1891" builtinId="8" hidden="1"/>
    <cellStyle name="Hipervínculo" xfId="1893" builtinId="8" hidden="1"/>
    <cellStyle name="Hipervínculo" xfId="1895" builtinId="8" hidden="1"/>
    <cellStyle name="Hipervínculo" xfId="1897" builtinId="8" hidden="1"/>
    <cellStyle name="Hipervínculo" xfId="1899" builtinId="8" hidden="1"/>
    <cellStyle name="Hipervínculo" xfId="1901" builtinId="8" hidden="1"/>
    <cellStyle name="Hipervínculo" xfId="1903" builtinId="8" hidden="1"/>
    <cellStyle name="Hipervínculo" xfId="1905" builtinId="8" hidden="1"/>
    <cellStyle name="Hipervínculo" xfId="1907" builtinId="8" hidden="1"/>
    <cellStyle name="Hipervínculo" xfId="1909" builtinId="8" hidden="1"/>
    <cellStyle name="Hipervínculo" xfId="1911" builtinId="8" hidden="1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2043" builtinId="8" hidden="1"/>
    <cellStyle name="Hipervínculo" xfId="2045" builtinId="8" hidden="1"/>
    <cellStyle name="Hipervínculo" xfId="2047" builtinId="8" hidden="1"/>
    <cellStyle name="Hipervínculo" xfId="2049" builtinId="8" hidden="1"/>
    <cellStyle name="Hipervínculo" xfId="2051" builtinId="8" hidden="1"/>
    <cellStyle name="Hipervínculo" xfId="2053" builtinId="8" hidden="1"/>
    <cellStyle name="Hipervínculo" xfId="2055" builtinId="8" hidden="1"/>
    <cellStyle name="Hipervínculo" xfId="2057" builtinId="8" hidden="1"/>
    <cellStyle name="Hipervínculo" xfId="2059" builtinId="8" hidden="1"/>
    <cellStyle name="Hipervínculo" xfId="2061" builtinId="8" hidden="1"/>
    <cellStyle name="Hipervínculo" xfId="2063" builtinId="8" hidden="1"/>
    <cellStyle name="Hipervínculo" xfId="2065" builtinId="8" hidden="1"/>
    <cellStyle name="Hipervínculo" xfId="2067" builtinId="8" hidden="1"/>
    <cellStyle name="Hipervínculo" xfId="2069" builtinId="8" hidden="1"/>
    <cellStyle name="Hipervínculo" xfId="2071" builtinId="8" hidden="1"/>
    <cellStyle name="Hipervínculo" xfId="2073" builtinId="8" hidden="1"/>
    <cellStyle name="Hipervínculo" xfId="2075" builtinId="8" hidden="1"/>
    <cellStyle name="Hipervínculo" xfId="2077" builtinId="8" hidden="1"/>
    <cellStyle name="Hipervínculo" xfId="2079" builtinId="8" hidden="1"/>
    <cellStyle name="Hipervínculo" xfId="2081" builtinId="8" hidden="1"/>
    <cellStyle name="Hipervínculo" xfId="2083" builtinId="8" hidden="1"/>
    <cellStyle name="Hipervínculo" xfId="2085" builtinId="8" hidden="1"/>
    <cellStyle name="Hipervínculo" xfId="2087" builtinId="8" hidden="1"/>
    <cellStyle name="Hipervínculo" xfId="2089" builtinId="8" hidden="1"/>
    <cellStyle name="Hipervínculo" xfId="2091" builtinId="8" hidden="1"/>
    <cellStyle name="Hipervínculo" xfId="2093" builtinId="8" hidden="1"/>
    <cellStyle name="Hipervínculo" xfId="2095" builtinId="8" hidden="1"/>
    <cellStyle name="Hipervínculo" xfId="2097" builtinId="8" hidden="1"/>
    <cellStyle name="Hipervínculo" xfId="2099" builtinId="8" hidden="1"/>
    <cellStyle name="Hipervínculo" xfId="2101" builtinId="8" hidden="1"/>
    <cellStyle name="Hipervínculo" xfId="2103" builtinId="8" hidden="1"/>
    <cellStyle name="Hipervínculo" xfId="2105" builtinId="8" hidden="1"/>
    <cellStyle name="Hipervínculo" xfId="2107" builtinId="8" hidden="1"/>
    <cellStyle name="Hipervínculo" xfId="2109" builtinId="8" hidden="1"/>
    <cellStyle name="Hipervínculo" xfId="2111" builtinId="8" hidden="1"/>
    <cellStyle name="Hipervínculo" xfId="2113" builtinId="8" hidden="1"/>
    <cellStyle name="Hipervínculo" xfId="2115" builtinId="8" hidden="1"/>
    <cellStyle name="Hipervínculo" xfId="2117" builtinId="8" hidden="1"/>
    <cellStyle name="Hipervínculo" xfId="2119" builtinId="8" hidden="1"/>
    <cellStyle name="Hipervínculo" xfId="2121" builtinId="8" hidden="1"/>
    <cellStyle name="Hipervínculo" xfId="2123" builtinId="8" hidden="1"/>
    <cellStyle name="Hipervínculo" xfId="2125" builtinId="8" hidden="1"/>
    <cellStyle name="Hipervínculo" xfId="2127" builtinId="8" hidden="1"/>
    <cellStyle name="Hipervínculo" xfId="2129" builtinId="8" hidden="1"/>
    <cellStyle name="Hipervínculo" xfId="2131" builtinId="8" hidden="1"/>
    <cellStyle name="Hipervínculo" xfId="2133" builtinId="8" hidden="1"/>
    <cellStyle name="Hipervínculo" xfId="2135" builtinId="8" hidden="1"/>
    <cellStyle name="Hipervínculo" xfId="2137" builtinId="8" hidden="1"/>
    <cellStyle name="Hipervínculo" xfId="2139" builtinId="8" hidden="1"/>
    <cellStyle name="Hipervínculo" xfId="2141" builtinId="8" hidden="1"/>
    <cellStyle name="Hipervínculo" xfId="2143" builtinId="8" hidden="1"/>
    <cellStyle name="Hipervínculo" xfId="2145" builtinId="8" hidden="1"/>
    <cellStyle name="Hipervínculo" xfId="2147" builtinId="8" hidden="1"/>
    <cellStyle name="Hipervínculo" xfId="2149" builtinId="8" hidden="1"/>
    <cellStyle name="Hipervínculo" xfId="2151" builtinId="8" hidden="1"/>
    <cellStyle name="Hipervínculo" xfId="2153" builtinId="8" hidden="1"/>
    <cellStyle name="Hipervínculo" xfId="2155" builtinId="8" hidden="1"/>
    <cellStyle name="Hipervínculo" xfId="2157" builtinId="8" hidden="1"/>
    <cellStyle name="Hipervínculo" xfId="2159" builtinId="8" hidden="1"/>
    <cellStyle name="Hipervínculo" xfId="2161" builtinId="8" hidden="1"/>
    <cellStyle name="Hipervínculo" xfId="2163" builtinId="8" hidden="1"/>
    <cellStyle name="Hipervínculo" xfId="2165" builtinId="8" hidden="1"/>
    <cellStyle name="Hipervínculo" xfId="2167" builtinId="8" hidden="1"/>
    <cellStyle name="Hipervínculo" xfId="2169" builtinId="8" hidden="1"/>
    <cellStyle name="Hipervínculo" xfId="2171" builtinId="8" hidden="1"/>
    <cellStyle name="Hipervínculo" xfId="2173" builtinId="8" hidden="1"/>
    <cellStyle name="Hipervínculo" xfId="2175" builtinId="8" hidden="1"/>
    <cellStyle name="Hipervínculo" xfId="2177" builtinId="8" hidden="1"/>
    <cellStyle name="Hipervínculo" xfId="2179" builtinId="8" hidden="1"/>
    <cellStyle name="Hipervínculo" xfId="2181" builtinId="8" hidden="1"/>
    <cellStyle name="Hipervínculo" xfId="2183" builtinId="8" hidden="1"/>
    <cellStyle name="Hipervínculo" xfId="2185" builtinId="8" hidden="1"/>
    <cellStyle name="Hipervínculo" xfId="2187" builtinId="8" hidden="1"/>
    <cellStyle name="Hipervínculo" xfId="2189" builtinId="8" hidden="1"/>
    <cellStyle name="Hipervínculo" xfId="2191" builtinId="8" hidden="1"/>
    <cellStyle name="Hipervínculo" xfId="2193" builtinId="8" hidden="1"/>
    <cellStyle name="Hipervínculo" xfId="2195" builtinId="8" hidden="1"/>
    <cellStyle name="Hipervínculo" xfId="2197" builtinId="8" hidden="1"/>
    <cellStyle name="Hipervínculo" xfId="2199" builtinId="8" hidden="1"/>
    <cellStyle name="Hipervínculo" xfId="2201" builtinId="8" hidden="1"/>
    <cellStyle name="Hipervínculo" xfId="2203" builtinId="8" hidden="1"/>
    <cellStyle name="Hipervínculo" xfId="2205" builtinId="8" hidden="1"/>
    <cellStyle name="Hipervínculo" xfId="2207" builtinId="8" hidden="1"/>
    <cellStyle name="Hipervínculo" xfId="2209" builtinId="8" hidden="1"/>
    <cellStyle name="Hipervínculo" xfId="2211" builtinId="8" hidden="1"/>
    <cellStyle name="Hipervínculo" xfId="2213" builtinId="8" hidden="1"/>
    <cellStyle name="Hipervínculo" xfId="2215" builtinId="8" hidden="1"/>
    <cellStyle name="Hipervínculo" xfId="2217" builtinId="8" hidden="1"/>
    <cellStyle name="Hipervínculo" xfId="2219" builtinId="8" hidden="1"/>
    <cellStyle name="Hipervínculo" xfId="2221" builtinId="8" hidden="1"/>
    <cellStyle name="Hipervínculo" xfId="2223" builtinId="8" hidden="1"/>
    <cellStyle name="Hipervínculo" xfId="2225" builtinId="8" hidden="1"/>
    <cellStyle name="Hipervínculo" xfId="2227" builtinId="8" hidden="1"/>
    <cellStyle name="Hipervínculo" xfId="2229" builtinId="8" hidden="1"/>
    <cellStyle name="Hipervínculo" xfId="2231" builtinId="8" hidden="1"/>
    <cellStyle name="Hipervínculo" xfId="2233" builtinId="8" hidden="1"/>
    <cellStyle name="Hipervínculo" xfId="2235" builtinId="8" hidden="1"/>
    <cellStyle name="Hipervínculo" xfId="2237" builtinId="8" hidden="1"/>
    <cellStyle name="Hipervínculo" xfId="2239" builtinId="8" hidden="1"/>
    <cellStyle name="Hipervínculo" xfId="2241" builtinId="8" hidden="1"/>
    <cellStyle name="Hipervínculo" xfId="2243" builtinId="8" hidden="1"/>
    <cellStyle name="Hipervínculo" xfId="2245" builtinId="8" hidden="1"/>
    <cellStyle name="Hipervínculo" xfId="2247" builtinId="8" hidden="1"/>
    <cellStyle name="Hipervínculo" xfId="2249" builtinId="8" hidden="1"/>
    <cellStyle name="Hipervínculo" xfId="2251" builtinId="8" hidden="1"/>
    <cellStyle name="Hipervínculo" xfId="2253" builtinId="8" hidden="1"/>
    <cellStyle name="Hipervínculo" xfId="2255" builtinId="8" hidden="1"/>
    <cellStyle name="Hipervínculo" xfId="2257" builtinId="8" hidden="1"/>
    <cellStyle name="Hipervínculo" xfId="2259" builtinId="8" hidden="1"/>
    <cellStyle name="Hipervínculo" xfId="2261" builtinId="8" hidden="1"/>
    <cellStyle name="Hipervínculo" xfId="2263" builtinId="8" hidden="1"/>
    <cellStyle name="Hipervínculo" xfId="2265" builtinId="8" hidden="1"/>
    <cellStyle name="Hipervínculo" xfId="2267" builtinId="8" hidden="1"/>
    <cellStyle name="Hipervínculo" xfId="2269" builtinId="8" hidden="1"/>
    <cellStyle name="Hipervínculo" xfId="2271" builtinId="8" hidden="1"/>
    <cellStyle name="Hipervínculo" xfId="2273" builtinId="8" hidden="1"/>
    <cellStyle name="Hipervínculo" xfId="2275" builtinId="8" hidden="1"/>
    <cellStyle name="Hipervínculo" xfId="2277" builtinId="8" hidden="1"/>
    <cellStyle name="Hipervínculo" xfId="2279" builtinId="8" hidden="1"/>
    <cellStyle name="Hipervínculo" xfId="2281" builtinId="8" hidden="1"/>
    <cellStyle name="Hipervínculo" xfId="2283" builtinId="8" hidden="1"/>
    <cellStyle name="Hipervínculo" xfId="2285" builtinId="8" hidden="1"/>
    <cellStyle name="Hipervínculo" xfId="2287" builtinId="8" hidden="1"/>
    <cellStyle name="Hipervínculo" xfId="2289" builtinId="8" hidden="1"/>
    <cellStyle name="Hipervínculo" xfId="2291" builtinId="8" hidden="1"/>
    <cellStyle name="Hipervínculo" xfId="2293" builtinId="8" hidden="1"/>
    <cellStyle name="Hipervínculo" xfId="2295" builtinId="8" hidden="1"/>
    <cellStyle name="Hipervínculo" xfId="2297" builtinId="8" hidden="1"/>
    <cellStyle name="Hipervínculo" xfId="2299" builtinId="8" hidden="1"/>
    <cellStyle name="Hipervínculo" xfId="2301" builtinId="8" hidden="1"/>
    <cellStyle name="Hipervínculo" xfId="2303" builtinId="8" hidden="1"/>
    <cellStyle name="Hipervínculo" xfId="2305" builtinId="8" hidden="1"/>
    <cellStyle name="Hipervínculo" xfId="2307" builtinId="8" hidden="1"/>
    <cellStyle name="Hipervínculo" xfId="2309" builtinId="8" hidden="1"/>
    <cellStyle name="Hipervínculo" xfId="2311" builtinId="8" hidden="1"/>
    <cellStyle name="Hipervínculo" xfId="2313" builtinId="8" hidden="1"/>
    <cellStyle name="Hipervínculo" xfId="2315" builtinId="8" hidden="1"/>
    <cellStyle name="Hipervínculo" xfId="2317" builtinId="8" hidden="1"/>
    <cellStyle name="Hipervínculo" xfId="2319" builtinId="8" hidden="1"/>
    <cellStyle name="Hipervínculo" xfId="2321" builtinId="8" hidden="1"/>
    <cellStyle name="Hipervínculo" xfId="2323" builtinId="8" hidden="1"/>
    <cellStyle name="Hipervínculo" xfId="2325" builtinId="8" hidden="1"/>
    <cellStyle name="Hipervínculo" xfId="2327" builtinId="8" hidden="1"/>
    <cellStyle name="Hipervínculo" xfId="2329" builtinId="8" hidden="1"/>
    <cellStyle name="Hipervínculo" xfId="2331" builtinId="8" hidden="1"/>
    <cellStyle name="Hipervínculo" xfId="2333" builtinId="8" hidden="1"/>
    <cellStyle name="Hipervínculo" xfId="2335" builtinId="8" hidden="1"/>
    <cellStyle name="Hipervínculo" xfId="2337" builtinId="8" hidden="1"/>
    <cellStyle name="Hipervínculo" xfId="2339" builtinId="8" hidden="1"/>
    <cellStyle name="Hipervínculo" xfId="2341" builtinId="8" hidden="1"/>
    <cellStyle name="Hipervínculo" xfId="2343" builtinId="8" hidden="1"/>
    <cellStyle name="Hipervínculo" xfId="2345" builtinId="8" hidden="1"/>
    <cellStyle name="Hipervínculo" xfId="2347" builtinId="8" hidden="1"/>
    <cellStyle name="Hipervínculo" xfId="2349" builtinId="8" hidden="1"/>
    <cellStyle name="Hipervínculo" xfId="2351" builtinId="8" hidden="1"/>
    <cellStyle name="Hipervínculo" xfId="2353" builtinId="8" hidden="1"/>
    <cellStyle name="Hipervínculo" xfId="2355" builtinId="8" hidden="1"/>
    <cellStyle name="Hipervínculo" xfId="2357" builtinId="8" hidden="1"/>
    <cellStyle name="Hipervínculo" xfId="2359" builtinId="8" hidden="1"/>
    <cellStyle name="Hipervínculo" xfId="2361" builtinId="8" hidden="1"/>
    <cellStyle name="Hipervínculo" xfId="2363" builtinId="8" hidden="1"/>
    <cellStyle name="Hipervínculo" xfId="2365" builtinId="8" hidden="1"/>
    <cellStyle name="Hipervínculo" xfId="2367" builtinId="8" hidden="1"/>
    <cellStyle name="Hipervínculo" xfId="2369" builtinId="8" hidden="1"/>
    <cellStyle name="Hipervínculo" xfId="2371" builtinId="8" hidden="1"/>
    <cellStyle name="Hipervínculo" xfId="2373" builtinId="8" hidden="1"/>
    <cellStyle name="Hipervínculo" xfId="2375" builtinId="8" hidden="1"/>
    <cellStyle name="Hipervínculo" xfId="2377" builtinId="8" hidden="1"/>
    <cellStyle name="Hipervínculo" xfId="2379" builtinId="8" hidden="1"/>
    <cellStyle name="Hipervínculo" xfId="2381" builtinId="8" hidden="1"/>
    <cellStyle name="Hipervínculo" xfId="2383" builtinId="8" hidden="1"/>
    <cellStyle name="Hipervínculo" xfId="2385" builtinId="8" hidden="1"/>
    <cellStyle name="Hipervínculo" xfId="2387" builtinId="8" hidden="1"/>
    <cellStyle name="Hipervínculo" xfId="2389" builtinId="8" hidden="1"/>
    <cellStyle name="Hipervínculo" xfId="2391" builtinId="8" hidden="1"/>
    <cellStyle name="Hipervínculo" xfId="2393" builtinId="8" hidden="1"/>
    <cellStyle name="Hipervínculo" xfId="2395" builtinId="8" hidden="1"/>
    <cellStyle name="Hipervínculo" xfId="2397" builtinId="8" hidden="1"/>
    <cellStyle name="Hipervínculo" xfId="2399" builtinId="8" hidden="1"/>
    <cellStyle name="Hipervínculo" xfId="2401" builtinId="8" hidden="1"/>
    <cellStyle name="Hipervínculo" xfId="2403" builtinId="8" hidden="1"/>
    <cellStyle name="Hipervínculo" xfId="2405" builtinId="8" hidden="1"/>
    <cellStyle name="Hipervínculo" xfId="2407" builtinId="8" hidden="1"/>
    <cellStyle name="Hipervínculo" xfId="2409" builtinId="8" hidden="1"/>
    <cellStyle name="Hipervínculo" xfId="2411" builtinId="8" hidden="1"/>
    <cellStyle name="Hipervínculo" xfId="2413" builtinId="8" hidden="1"/>
    <cellStyle name="Hipervínculo" xfId="2415" builtinId="8" hidden="1"/>
    <cellStyle name="Hipervínculo" xfId="2417" builtinId="8" hidden="1"/>
    <cellStyle name="Hipervínculo" xfId="2419" builtinId="8" hidden="1"/>
    <cellStyle name="Hipervínculo" xfId="2421" builtinId="8" hidden="1"/>
    <cellStyle name="Hipervínculo" xfId="2423" builtinId="8" hidden="1"/>
    <cellStyle name="Hipervínculo" xfId="2425" builtinId="8" hidden="1"/>
    <cellStyle name="Hipervínculo" xfId="2427" builtinId="8" hidden="1"/>
    <cellStyle name="Hipervínculo" xfId="2429" builtinId="8" hidden="1"/>
    <cellStyle name="Hipervínculo" xfId="2431" builtinId="8" hidden="1"/>
    <cellStyle name="Hipervínculo" xfId="2433" builtinId="8" hidden="1"/>
    <cellStyle name="Hipervínculo" xfId="2435" builtinId="8" hidden="1"/>
    <cellStyle name="Hipervínculo" xfId="2437" builtinId="8" hidden="1"/>
    <cellStyle name="Hipervínculo" xfId="2439" builtinId="8" hidden="1"/>
    <cellStyle name="Hipervínculo" xfId="2441" builtinId="8" hidden="1"/>
    <cellStyle name="Hipervínculo" xfId="2443" builtinId="8" hidden="1"/>
    <cellStyle name="Hipervínculo" xfId="2445" builtinId="8" hidden="1"/>
    <cellStyle name="Hipervínculo" xfId="2447" builtinId="8" hidden="1"/>
    <cellStyle name="Hipervínculo" xfId="2449" builtinId="8" hidden="1"/>
    <cellStyle name="Hipervínculo" xfId="2451" builtinId="8" hidden="1"/>
    <cellStyle name="Hipervínculo" xfId="2453" builtinId="8" hidden="1"/>
    <cellStyle name="Hipervínculo" xfId="2455" builtinId="8" hidden="1"/>
    <cellStyle name="Hipervínculo" xfId="2457" builtinId="8" hidden="1"/>
    <cellStyle name="Hipervínculo" xfId="2459" builtinId="8" hidden="1"/>
    <cellStyle name="Hipervínculo" xfId="2461" builtinId="8" hidden="1"/>
    <cellStyle name="Hipervínculo" xfId="2463" builtinId="8" hidden="1"/>
    <cellStyle name="Hipervínculo" xfId="2465" builtinId="8" hidden="1"/>
    <cellStyle name="Hipervínculo" xfId="2467" builtinId="8" hidden="1"/>
    <cellStyle name="Hipervínculo" xfId="2469" builtinId="8" hidden="1"/>
    <cellStyle name="Hipervínculo" xfId="2471" builtinId="8" hidden="1"/>
    <cellStyle name="Hipervínculo" xfId="2473" builtinId="8" hidden="1"/>
    <cellStyle name="Hipervínculo" xfId="2475" builtinId="8" hidden="1"/>
    <cellStyle name="Hipervínculo" xfId="2477" builtinId="8" hidden="1"/>
    <cellStyle name="Hipervínculo" xfId="2479" builtinId="8" hidden="1"/>
    <cellStyle name="Hipervínculo" xfId="2481" builtinId="8" hidden="1"/>
    <cellStyle name="Hipervínculo" xfId="2483" builtinId="8" hidden="1"/>
    <cellStyle name="Hipervínculo" xfId="2485" builtinId="8" hidden="1"/>
    <cellStyle name="Hipervínculo" xfId="2487" builtinId="8" hidden="1"/>
    <cellStyle name="Hipervínculo" xfId="2489" builtinId="8" hidden="1"/>
    <cellStyle name="Hipervínculo" xfId="2491" builtinId="8" hidden="1"/>
    <cellStyle name="Hipervínculo" xfId="2493" builtinId="8" hidden="1"/>
    <cellStyle name="Hipervínculo" xfId="2495" builtinId="8" hidden="1"/>
    <cellStyle name="Hipervínculo" xfId="2497" builtinId="8" hidden="1"/>
    <cellStyle name="Hipervínculo" xfId="2499" builtinId="8" hidden="1"/>
    <cellStyle name="Hipervínculo" xfId="2501" builtinId="8" hidden="1"/>
    <cellStyle name="Hipervínculo" xfId="2503" builtinId="8" hidden="1"/>
    <cellStyle name="Hipervínculo" xfId="2505" builtinId="8" hidden="1"/>
    <cellStyle name="Hipervínculo" xfId="2507" builtinId="8" hidden="1"/>
    <cellStyle name="Hipervínculo" xfId="2509" builtinId="8" hidden="1"/>
    <cellStyle name="Hipervínculo" xfId="2511" builtinId="8" hidden="1"/>
    <cellStyle name="Hipervínculo" xfId="2513" builtinId="8" hidden="1"/>
    <cellStyle name="Hipervínculo" xfId="2515" builtinId="8" hidden="1"/>
    <cellStyle name="Hipervínculo" xfId="2517" builtinId="8" hidden="1"/>
    <cellStyle name="Hipervínculo" xfId="2519" builtinId="8" hidden="1"/>
    <cellStyle name="Hipervínculo" xfId="2521" builtinId="8" hidden="1"/>
    <cellStyle name="Hipervínculo" xfId="2523" builtinId="8" hidden="1"/>
    <cellStyle name="Hipervínculo" xfId="2525" builtinId="8" hidden="1"/>
    <cellStyle name="Hipervínculo" xfId="2527" builtinId="8" hidden="1"/>
    <cellStyle name="Hipervínculo" xfId="2529" builtinId="8" hidden="1"/>
    <cellStyle name="Hipervínculo" xfId="2531" builtinId="8" hidden="1"/>
    <cellStyle name="Hipervínculo" xfId="2533" builtinId="8" hidden="1"/>
    <cellStyle name="Hipervínculo" xfId="2535" builtinId="8" hidden="1"/>
    <cellStyle name="Hipervínculo" xfId="2537" builtinId="8" hidden="1"/>
    <cellStyle name="Hipervínculo" xfId="2539" builtinId="8" hidden="1"/>
    <cellStyle name="Hipervínculo" xfId="2541" builtinId="8" hidden="1"/>
    <cellStyle name="Hipervínculo" xfId="2543" builtinId="8" hidden="1"/>
    <cellStyle name="Hipervínculo" xfId="2545" builtinId="8" hidden="1"/>
    <cellStyle name="Hipervínculo" xfId="2547" builtinId="8" hidden="1"/>
    <cellStyle name="Hipervínculo" xfId="2549" builtinId="8" hidden="1"/>
    <cellStyle name="Hipervínculo" xfId="2551" builtinId="8" hidden="1"/>
    <cellStyle name="Hipervínculo" xfId="2553" builtinId="8" hidden="1"/>
    <cellStyle name="Hipervínculo" xfId="2555" builtinId="8" hidden="1"/>
    <cellStyle name="Hipervínculo" xfId="2557" builtinId="8" hidden="1"/>
    <cellStyle name="Hipervínculo" xfId="2559" builtinId="8" hidden="1"/>
    <cellStyle name="Hipervínculo" xfId="2561" builtinId="8" hidden="1"/>
    <cellStyle name="Hipervínculo" xfId="2563" builtinId="8" hidden="1"/>
    <cellStyle name="Hipervínculo" xfId="2565" builtinId="8" hidden="1"/>
    <cellStyle name="Hipervínculo" xfId="2567" builtinId="8" hidden="1"/>
    <cellStyle name="Hipervínculo" xfId="2569" builtinId="8" hidden="1"/>
    <cellStyle name="Hipervínculo" xfId="2571" builtinId="8" hidden="1"/>
    <cellStyle name="Hipervínculo" xfId="2573" builtinId="8" hidden="1"/>
    <cellStyle name="Hipervínculo" xfId="2575" builtinId="8" hidden="1"/>
    <cellStyle name="Hipervínculo" xfId="2577" builtinId="8" hidden="1"/>
    <cellStyle name="Hipervínculo" xfId="2579" builtinId="8" hidden="1"/>
    <cellStyle name="Hipervínculo" xfId="2581" builtinId="8" hidden="1"/>
    <cellStyle name="Hipervínculo" xfId="2583" builtinId="8" hidden="1"/>
    <cellStyle name="Hipervínculo" xfId="2585" builtinId="8" hidden="1"/>
    <cellStyle name="Hipervínculo" xfId="2587" builtinId="8" hidden="1"/>
    <cellStyle name="Hipervínculo" xfId="2589" builtinId="8" hidden="1"/>
    <cellStyle name="Hipervínculo" xfId="2591" builtinId="8" hidden="1"/>
    <cellStyle name="Hipervínculo" xfId="2593" builtinId="8" hidden="1"/>
    <cellStyle name="Hipervínculo" xfId="2595" builtinId="8" hidden="1"/>
    <cellStyle name="Hipervínculo" xfId="2597" builtinId="8" hidden="1"/>
    <cellStyle name="Hipervínculo" xfId="2599" builtinId="8" hidden="1"/>
    <cellStyle name="Hipervínculo" xfId="2601" builtinId="8" hidden="1"/>
    <cellStyle name="Hipervínculo" xfId="2603" builtinId="8" hidden="1"/>
    <cellStyle name="Hipervínculo" xfId="2605" builtinId="8" hidden="1"/>
    <cellStyle name="Hipervínculo" xfId="2607" builtinId="8" hidden="1"/>
    <cellStyle name="Hipervínculo" xfId="2609" builtinId="8" hidden="1"/>
    <cellStyle name="Hipervínculo" xfId="2611" builtinId="8" hidden="1"/>
    <cellStyle name="Hipervínculo" xfId="2613" builtinId="8" hidden="1"/>
    <cellStyle name="Hipervínculo" xfId="2615" builtinId="8" hidden="1"/>
    <cellStyle name="Hipervínculo" xfId="2617" builtinId="8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4" builtinId="9" hidden="1"/>
    <cellStyle name="Hipervínculo visitado" xfId="1436" builtinId="9" hidden="1"/>
    <cellStyle name="Hipervínculo visitado" xfId="1438" builtinId="9" hidden="1"/>
    <cellStyle name="Hipervínculo visitado" xfId="1440" builtinId="9" hidden="1"/>
    <cellStyle name="Hipervínculo visitado" xfId="1442" builtinId="9" hidden="1"/>
    <cellStyle name="Hipervínculo visitado" xfId="1444" builtinId="9" hidden="1"/>
    <cellStyle name="Hipervínculo visitado" xfId="1446" builtinId="9" hidden="1"/>
    <cellStyle name="Hipervínculo visitado" xfId="1448" builtinId="9" hidden="1"/>
    <cellStyle name="Hipervínculo visitado" xfId="1450" builtinId="9" hidden="1"/>
    <cellStyle name="Hipervínculo visitado" xfId="1452" builtinId="9" hidden="1"/>
    <cellStyle name="Hipervínculo visitado" xfId="1454" builtinId="9" hidden="1"/>
    <cellStyle name="Hipervínculo visitado" xfId="1456" builtinId="9" hidden="1"/>
    <cellStyle name="Hipervínculo visitado" xfId="1458" builtinId="9" hidden="1"/>
    <cellStyle name="Hipervínculo visitado" xfId="1460" builtinId="9" hidden="1"/>
    <cellStyle name="Hipervínculo visitado" xfId="1462" builtinId="9" hidden="1"/>
    <cellStyle name="Hipervínculo visitado" xfId="1464" builtinId="9" hidden="1"/>
    <cellStyle name="Hipervínculo visitado" xfId="1466" builtinId="9" hidden="1"/>
    <cellStyle name="Hipervínculo visitado" xfId="1468" builtinId="9" hidden="1"/>
    <cellStyle name="Hipervínculo visitado" xfId="1470" builtinId="9" hidden="1"/>
    <cellStyle name="Hipervínculo visitado" xfId="1472" builtinId="9" hidden="1"/>
    <cellStyle name="Hipervínculo visitado" xfId="1474" builtinId="9" hidden="1"/>
    <cellStyle name="Hipervínculo visitado" xfId="1476" builtinId="9" hidden="1"/>
    <cellStyle name="Hipervínculo visitado" xfId="1478" builtinId="9" hidden="1"/>
    <cellStyle name="Hipervínculo visitado" xfId="1480" builtinId="9" hidden="1"/>
    <cellStyle name="Hipervínculo visitado" xfId="1482" builtinId="9" hidden="1"/>
    <cellStyle name="Hipervínculo visitado" xfId="1484" builtinId="9" hidden="1"/>
    <cellStyle name="Hipervínculo visitado" xfId="1486" builtinId="9" hidden="1"/>
    <cellStyle name="Hipervínculo visitado" xfId="1488" builtinId="9" hidden="1"/>
    <cellStyle name="Hipervínculo visitado" xfId="1490" builtinId="9" hidden="1"/>
    <cellStyle name="Hipervínculo visitado" xfId="1492" builtinId="9" hidden="1"/>
    <cellStyle name="Hipervínculo visitado" xfId="1494" builtinId="9" hidden="1"/>
    <cellStyle name="Hipervínculo visitado" xfId="1496" builtinId="9" hidden="1"/>
    <cellStyle name="Hipervínculo visitado" xfId="1498" builtinId="9" hidden="1"/>
    <cellStyle name="Hipervínculo visitado" xfId="1500" builtinId="9" hidden="1"/>
    <cellStyle name="Hipervínculo visitado" xfId="1502" builtinId="9" hidden="1"/>
    <cellStyle name="Hipervínculo visitado" xfId="1504" builtinId="9" hidden="1"/>
    <cellStyle name="Hipervínculo visitado" xfId="1506" builtinId="9" hidden="1"/>
    <cellStyle name="Hipervínculo visitado" xfId="1508" builtinId="9" hidden="1"/>
    <cellStyle name="Hipervínculo visitado" xfId="1510" builtinId="9" hidden="1"/>
    <cellStyle name="Hipervínculo visitado" xfId="1512" builtinId="9" hidden="1"/>
    <cellStyle name="Hipervínculo visitado" xfId="1514" builtinId="9" hidden="1"/>
    <cellStyle name="Hipervínculo visitado" xfId="1516" builtinId="9" hidden="1"/>
    <cellStyle name="Hipervínculo visitado" xfId="1518" builtinId="9" hidden="1"/>
    <cellStyle name="Hipervínculo visitado" xfId="1520" builtinId="9" hidden="1"/>
    <cellStyle name="Hipervínculo visitado" xfId="1522" builtinId="9" hidden="1"/>
    <cellStyle name="Hipervínculo visitado" xfId="1524" builtinId="9" hidden="1"/>
    <cellStyle name="Hipervínculo visitado" xfId="1526" builtinId="9" hidden="1"/>
    <cellStyle name="Hipervínculo visitado" xfId="1528" builtinId="9" hidden="1"/>
    <cellStyle name="Hipervínculo visitado" xfId="1530" builtinId="9" hidden="1"/>
    <cellStyle name="Hipervínculo visitado" xfId="1532" builtinId="9" hidden="1"/>
    <cellStyle name="Hipervínculo visitado" xfId="1534" builtinId="9" hidden="1"/>
    <cellStyle name="Hipervínculo visitado" xfId="1536" builtinId="9" hidden="1"/>
    <cellStyle name="Hipervínculo visitado" xfId="1538" builtinId="9" hidden="1"/>
    <cellStyle name="Hipervínculo visitado" xfId="1540" builtinId="9" hidden="1"/>
    <cellStyle name="Hipervínculo visitado" xfId="1542" builtinId="9" hidden="1"/>
    <cellStyle name="Hipervínculo visitado" xfId="1544" builtinId="9" hidden="1"/>
    <cellStyle name="Hipervínculo visitado" xfId="1546" builtinId="9" hidden="1"/>
    <cellStyle name="Hipervínculo visitado" xfId="1548" builtinId="9" hidden="1"/>
    <cellStyle name="Hipervínculo visitado" xfId="1550" builtinId="9" hidden="1"/>
    <cellStyle name="Hipervínculo visitado" xfId="1552" builtinId="9" hidden="1"/>
    <cellStyle name="Hipervínculo visitado" xfId="1554" builtinId="9" hidden="1"/>
    <cellStyle name="Hipervínculo visitado" xfId="1556" builtinId="9" hidden="1"/>
    <cellStyle name="Hipervínculo visitado" xfId="1558" builtinId="9" hidden="1"/>
    <cellStyle name="Hipervínculo visitado" xfId="1560" builtinId="9" hidden="1"/>
    <cellStyle name="Hipervínculo visitado" xfId="1562" builtinId="9" hidden="1"/>
    <cellStyle name="Hipervínculo visitado" xfId="1564" builtinId="9" hidden="1"/>
    <cellStyle name="Hipervínculo visitado" xfId="1566" builtinId="9" hidden="1"/>
    <cellStyle name="Hipervínculo visitado" xfId="1568" builtinId="9" hidden="1"/>
    <cellStyle name="Hipervínculo visitado" xfId="1570" builtinId="9" hidden="1"/>
    <cellStyle name="Hipervínculo visitado" xfId="1572" builtinId="9" hidden="1"/>
    <cellStyle name="Hipervínculo visitado" xfId="1574" builtinId="9" hidden="1"/>
    <cellStyle name="Hipervínculo visitado" xfId="1576" builtinId="9" hidden="1"/>
    <cellStyle name="Hipervínculo visitado" xfId="1578" builtinId="9" hidden="1"/>
    <cellStyle name="Hipervínculo visitado" xfId="1580" builtinId="9" hidden="1"/>
    <cellStyle name="Hipervínculo visitado" xfId="1582" builtinId="9" hidden="1"/>
    <cellStyle name="Hipervínculo visitado" xfId="1584" builtinId="9" hidden="1"/>
    <cellStyle name="Hipervínculo visitado" xfId="1586" builtinId="9" hidden="1"/>
    <cellStyle name="Hipervínculo visitado" xfId="1588" builtinId="9" hidden="1"/>
    <cellStyle name="Hipervínculo visitado" xfId="1590" builtinId="9" hidden="1"/>
    <cellStyle name="Hipervínculo visitado" xfId="1592" builtinId="9" hidden="1"/>
    <cellStyle name="Hipervínculo visitado" xfId="1594" builtinId="9" hidden="1"/>
    <cellStyle name="Hipervínculo visitado" xfId="1596" builtinId="9" hidden="1"/>
    <cellStyle name="Hipervínculo visitado" xfId="1598" builtinId="9" hidden="1"/>
    <cellStyle name="Hipervínculo visitado" xfId="1600" builtinId="9" hidden="1"/>
    <cellStyle name="Hipervínculo visitado" xfId="1602" builtinId="9" hidden="1"/>
    <cellStyle name="Hipervínculo visitado" xfId="1604" builtinId="9" hidden="1"/>
    <cellStyle name="Hipervínculo visitado" xfId="1606" builtinId="9" hidden="1"/>
    <cellStyle name="Hipervínculo visitado" xfId="1608" builtinId="9" hidden="1"/>
    <cellStyle name="Hipervínculo visitado" xfId="1610" builtinId="9" hidden="1"/>
    <cellStyle name="Hipervínculo visitado" xfId="1612" builtinId="9" hidden="1"/>
    <cellStyle name="Hipervínculo visitado" xfId="1614" builtinId="9" hidden="1"/>
    <cellStyle name="Hipervínculo visitado" xfId="1616" builtinId="9" hidden="1"/>
    <cellStyle name="Hipervínculo visitado" xfId="1618" builtinId="9" hidden="1"/>
    <cellStyle name="Hipervínculo visitado" xfId="1620" builtinId="9" hidden="1"/>
    <cellStyle name="Hipervínculo visitado" xfId="1622" builtinId="9" hidden="1"/>
    <cellStyle name="Hipervínculo visitado" xfId="1624" builtinId="9" hidden="1"/>
    <cellStyle name="Hipervínculo visitado" xfId="1626" builtinId="9" hidden="1"/>
    <cellStyle name="Hipervínculo visitado" xfId="1628" builtinId="9" hidden="1"/>
    <cellStyle name="Hipervínculo visitado" xfId="1630" builtinId="9" hidden="1"/>
    <cellStyle name="Hipervínculo visitado" xfId="1632" builtinId="9" hidden="1"/>
    <cellStyle name="Hipervínculo visitado" xfId="1634" builtinId="9" hidden="1"/>
    <cellStyle name="Hipervínculo visitado" xfId="1636" builtinId="9" hidden="1"/>
    <cellStyle name="Hipervínculo visitado" xfId="1638" builtinId="9" hidden="1"/>
    <cellStyle name="Hipervínculo visitado" xfId="1640" builtinId="9" hidden="1"/>
    <cellStyle name="Hipervínculo visitado" xfId="1642" builtinId="9" hidden="1"/>
    <cellStyle name="Hipervínculo visitado" xfId="1644" builtinId="9" hidden="1"/>
    <cellStyle name="Hipervínculo visitado" xfId="1646" builtinId="9" hidden="1"/>
    <cellStyle name="Hipervínculo visitado" xfId="1648" builtinId="9" hidden="1"/>
    <cellStyle name="Hipervínculo visitado" xfId="1650" builtinId="9" hidden="1"/>
    <cellStyle name="Hipervínculo visitado" xfId="1652" builtinId="9" hidden="1"/>
    <cellStyle name="Hipervínculo visitado" xfId="1654" builtinId="9" hidden="1"/>
    <cellStyle name="Hipervínculo visitado" xfId="1656" builtinId="9" hidden="1"/>
    <cellStyle name="Hipervínculo visitado" xfId="1658" builtinId="9" hidden="1"/>
    <cellStyle name="Hipervínculo visitado" xfId="1660" builtinId="9" hidden="1"/>
    <cellStyle name="Hipervínculo visitado" xfId="1662" builtinId="9" hidden="1"/>
    <cellStyle name="Hipervínculo visitado" xfId="1664" builtinId="9" hidden="1"/>
    <cellStyle name="Hipervínculo visitado" xfId="1666" builtinId="9" hidden="1"/>
    <cellStyle name="Hipervínculo visitado" xfId="1668" builtinId="9" hidden="1"/>
    <cellStyle name="Hipervínculo visitado" xfId="1670" builtinId="9" hidden="1"/>
    <cellStyle name="Hipervínculo visitado" xfId="1672" builtinId="9" hidden="1"/>
    <cellStyle name="Hipervínculo visitado" xfId="1674" builtinId="9" hidden="1"/>
    <cellStyle name="Hipervínculo visitado" xfId="1676" builtinId="9" hidden="1"/>
    <cellStyle name="Hipervínculo visitado" xfId="1678" builtinId="9" hidden="1"/>
    <cellStyle name="Hipervínculo visitado" xfId="1680" builtinId="9" hidden="1"/>
    <cellStyle name="Hipervínculo visitado" xfId="1682" builtinId="9" hidden="1"/>
    <cellStyle name="Hipervínculo visitado" xfId="1684" builtinId="9" hidden="1"/>
    <cellStyle name="Hipervínculo visitado" xfId="1686" builtinId="9" hidden="1"/>
    <cellStyle name="Hipervínculo visitado" xfId="1688" builtinId="9" hidden="1"/>
    <cellStyle name="Hipervínculo visitado" xfId="1690" builtinId="9" hidden="1"/>
    <cellStyle name="Hipervínculo visitado" xfId="1692" builtinId="9" hidden="1"/>
    <cellStyle name="Hipervínculo visitado" xfId="1694" builtinId="9" hidden="1"/>
    <cellStyle name="Hipervínculo visitado" xfId="1696" builtinId="9" hidden="1"/>
    <cellStyle name="Hipervínculo visitado" xfId="1698" builtinId="9" hidden="1"/>
    <cellStyle name="Hipervínculo visitado" xfId="1700" builtinId="9" hidden="1"/>
    <cellStyle name="Hipervínculo visitado" xfId="1702" builtinId="9" hidden="1"/>
    <cellStyle name="Hipervínculo visitado" xfId="1704" builtinId="9" hidden="1"/>
    <cellStyle name="Hipervínculo visitado" xfId="1706" builtinId="9" hidden="1"/>
    <cellStyle name="Hipervínculo visitado" xfId="1708" builtinId="9" hidden="1"/>
    <cellStyle name="Hipervínculo visitado" xfId="1710" builtinId="9" hidden="1"/>
    <cellStyle name="Hipervínculo visitado" xfId="1712" builtinId="9" hidden="1"/>
    <cellStyle name="Hipervínculo visitado" xfId="1714" builtinId="9" hidden="1"/>
    <cellStyle name="Hipervínculo visitado" xfId="1716" builtinId="9" hidden="1"/>
    <cellStyle name="Hipervínculo visitado" xfId="1718" builtinId="9" hidden="1"/>
    <cellStyle name="Hipervínculo visitado" xfId="1720" builtinId="9" hidden="1"/>
    <cellStyle name="Hipervínculo visitado" xfId="1722" builtinId="9" hidden="1"/>
    <cellStyle name="Hipervínculo visitado" xfId="1724" builtinId="9" hidden="1"/>
    <cellStyle name="Hipervínculo visitado" xfId="1726" builtinId="9" hidden="1"/>
    <cellStyle name="Hipervínculo visitado" xfId="1728" builtinId="9" hidden="1"/>
    <cellStyle name="Hipervínculo visitado" xfId="1730" builtinId="9" hidden="1"/>
    <cellStyle name="Hipervínculo visitado" xfId="1732" builtinId="9" hidden="1"/>
    <cellStyle name="Hipervínculo visitado" xfId="1734" builtinId="9" hidden="1"/>
    <cellStyle name="Hipervínculo visitado" xfId="1736" builtinId="9" hidden="1"/>
    <cellStyle name="Hipervínculo visitado" xfId="1738" builtinId="9" hidden="1"/>
    <cellStyle name="Hipervínculo visitado" xfId="1740" builtinId="9" hidden="1"/>
    <cellStyle name="Hipervínculo visitado" xfId="1742" builtinId="9" hidden="1"/>
    <cellStyle name="Hipervínculo visitado" xfId="1744" builtinId="9" hidden="1"/>
    <cellStyle name="Hipervínculo visitado" xfId="1746" builtinId="9" hidden="1"/>
    <cellStyle name="Hipervínculo visitado" xfId="1748" builtinId="9" hidden="1"/>
    <cellStyle name="Hipervínculo visitado" xfId="1750" builtinId="9" hidden="1"/>
    <cellStyle name="Hipervínculo visitado" xfId="1752" builtinId="9" hidden="1"/>
    <cellStyle name="Hipervínculo visitado" xfId="1754" builtinId="9" hidden="1"/>
    <cellStyle name="Hipervínculo visitado" xfId="1756" builtinId="9" hidden="1"/>
    <cellStyle name="Hipervínculo visitado" xfId="1758" builtinId="9" hidden="1"/>
    <cellStyle name="Hipervínculo visitado" xfId="1760" builtinId="9" hidden="1"/>
    <cellStyle name="Hipervínculo visitado" xfId="1762" builtinId="9" hidden="1"/>
    <cellStyle name="Hipervínculo visitado" xfId="1764" builtinId="9" hidden="1"/>
    <cellStyle name="Hipervínculo visitado" xfId="1766" builtinId="9" hidden="1"/>
    <cellStyle name="Hipervínculo visitado" xfId="1768" builtinId="9" hidden="1"/>
    <cellStyle name="Hipervínculo visitado" xfId="1770" builtinId="9" hidden="1"/>
    <cellStyle name="Hipervínculo visitado" xfId="1772" builtinId="9" hidden="1"/>
    <cellStyle name="Hipervínculo visitado" xfId="1774" builtinId="9" hidden="1"/>
    <cellStyle name="Hipervínculo visitado" xfId="1776" builtinId="9" hidden="1"/>
    <cellStyle name="Hipervínculo visitado" xfId="1778" builtinId="9" hidden="1"/>
    <cellStyle name="Hipervínculo visitado" xfId="1780" builtinId="9" hidden="1"/>
    <cellStyle name="Hipervínculo visitado" xfId="1782" builtinId="9" hidden="1"/>
    <cellStyle name="Hipervínculo visitado" xfId="1784" builtinId="9" hidden="1"/>
    <cellStyle name="Hipervínculo visitado" xfId="1786" builtinId="9" hidden="1"/>
    <cellStyle name="Hipervínculo visitado" xfId="1788" builtinId="9" hidden="1"/>
    <cellStyle name="Hipervínculo visitado" xfId="1790" builtinId="9" hidden="1"/>
    <cellStyle name="Hipervínculo visitado" xfId="1792" builtinId="9" hidden="1"/>
    <cellStyle name="Hipervínculo visitado" xfId="1794" builtinId="9" hidden="1"/>
    <cellStyle name="Hipervínculo visitado" xfId="1796" builtinId="9" hidden="1"/>
    <cellStyle name="Hipervínculo visitado" xfId="1798" builtinId="9" hidden="1"/>
    <cellStyle name="Hipervínculo visitado" xfId="1800" builtinId="9" hidden="1"/>
    <cellStyle name="Hipervínculo visitado" xfId="1802" builtinId="9" hidden="1"/>
    <cellStyle name="Hipervínculo visitado" xfId="1804" builtinId="9" hidden="1"/>
    <cellStyle name="Hipervínculo visitado" xfId="1806" builtinId="9" hidden="1"/>
    <cellStyle name="Hipervínculo visitado" xfId="1808" builtinId="9" hidden="1"/>
    <cellStyle name="Hipervínculo visitado" xfId="1810" builtinId="9" hidden="1"/>
    <cellStyle name="Hipervínculo visitado" xfId="1812" builtinId="9" hidden="1"/>
    <cellStyle name="Hipervínculo visitado" xfId="1814" builtinId="9" hidden="1"/>
    <cellStyle name="Hipervínculo visitado" xfId="1816" builtinId="9" hidden="1"/>
    <cellStyle name="Hipervínculo visitado" xfId="1818" builtinId="9" hidden="1"/>
    <cellStyle name="Hipervínculo visitado" xfId="1820" builtinId="9" hidden="1"/>
    <cellStyle name="Hipervínculo visitado" xfId="1822" builtinId="9" hidden="1"/>
    <cellStyle name="Hipervínculo visitado" xfId="1824" builtinId="9" hidden="1"/>
    <cellStyle name="Hipervínculo visitado" xfId="1826" builtinId="9" hidden="1"/>
    <cellStyle name="Hipervínculo visitado" xfId="1828" builtinId="9" hidden="1"/>
    <cellStyle name="Hipervínculo visitado" xfId="1830" builtinId="9" hidden="1"/>
    <cellStyle name="Hipervínculo visitado" xfId="1832" builtinId="9" hidden="1"/>
    <cellStyle name="Hipervínculo visitado" xfId="1834" builtinId="9" hidden="1"/>
    <cellStyle name="Hipervínculo visitado" xfId="1836" builtinId="9" hidden="1"/>
    <cellStyle name="Hipervínculo visitado" xfId="1838" builtinId="9" hidden="1"/>
    <cellStyle name="Hipervínculo visitado" xfId="1840" builtinId="9" hidden="1"/>
    <cellStyle name="Hipervínculo visitado" xfId="1842" builtinId="9" hidden="1"/>
    <cellStyle name="Hipervínculo visitado" xfId="1844" builtinId="9" hidden="1"/>
    <cellStyle name="Hipervínculo visitado" xfId="1846" builtinId="9" hidden="1"/>
    <cellStyle name="Hipervínculo visitado" xfId="1848" builtinId="9" hidden="1"/>
    <cellStyle name="Hipervínculo visitado" xfId="1850" builtinId="9" hidden="1"/>
    <cellStyle name="Hipervínculo visitado" xfId="1852" builtinId="9" hidden="1"/>
    <cellStyle name="Hipervínculo visitado" xfId="1854" builtinId="9" hidden="1"/>
    <cellStyle name="Hipervínculo visitado" xfId="1856" builtinId="9" hidden="1"/>
    <cellStyle name="Hipervínculo visitado" xfId="1858" builtinId="9" hidden="1"/>
    <cellStyle name="Hipervínculo visitado" xfId="1860" builtinId="9" hidden="1"/>
    <cellStyle name="Hipervínculo visitado" xfId="1862" builtinId="9" hidden="1"/>
    <cellStyle name="Hipervínculo visitado" xfId="1864" builtinId="9" hidden="1"/>
    <cellStyle name="Hipervínculo visitado" xfId="1866" builtinId="9" hidden="1"/>
    <cellStyle name="Hipervínculo visitado" xfId="1868" builtinId="9" hidden="1"/>
    <cellStyle name="Hipervínculo visitado" xfId="1870" builtinId="9" hidden="1"/>
    <cellStyle name="Hipervínculo visitado" xfId="1872" builtinId="9" hidden="1"/>
    <cellStyle name="Hipervínculo visitado" xfId="1874" builtinId="9" hidden="1"/>
    <cellStyle name="Hipervínculo visitado" xfId="1876" builtinId="9" hidden="1"/>
    <cellStyle name="Hipervínculo visitado" xfId="1878" builtinId="9" hidden="1"/>
    <cellStyle name="Hipervínculo visitado" xfId="1880" builtinId="9" hidden="1"/>
    <cellStyle name="Hipervínculo visitado" xfId="1882" builtinId="9" hidden="1"/>
    <cellStyle name="Hipervínculo visitado" xfId="1884" builtinId="9" hidden="1"/>
    <cellStyle name="Hipervínculo visitado" xfId="1886" builtinId="9" hidden="1"/>
    <cellStyle name="Hipervínculo visitado" xfId="1888" builtinId="9" hidden="1"/>
    <cellStyle name="Hipervínculo visitado" xfId="1890" builtinId="9" hidden="1"/>
    <cellStyle name="Hipervínculo visitado" xfId="1892" builtinId="9" hidden="1"/>
    <cellStyle name="Hipervínculo visitado" xfId="1894" builtinId="9" hidden="1"/>
    <cellStyle name="Hipervínculo visitado" xfId="1896" builtinId="9" hidden="1"/>
    <cellStyle name="Hipervínculo visitado" xfId="1898" builtinId="9" hidden="1"/>
    <cellStyle name="Hipervínculo visitado" xfId="1900" builtinId="9" hidden="1"/>
    <cellStyle name="Hipervínculo visitado" xfId="1902" builtinId="9" hidden="1"/>
    <cellStyle name="Hipervínculo visitado" xfId="1904" builtinId="9" hidden="1"/>
    <cellStyle name="Hipervínculo visitado" xfId="1906" builtinId="9" hidden="1"/>
    <cellStyle name="Hipervínculo visitado" xfId="1908" builtinId="9" hidden="1"/>
    <cellStyle name="Hipervínculo visitado" xfId="1910" builtinId="9" hidden="1"/>
    <cellStyle name="Hipervínculo visitado" xfId="1912" builtinId="9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2044" builtinId="9" hidden="1"/>
    <cellStyle name="Hipervínculo visitado" xfId="2046" builtinId="9" hidden="1"/>
    <cellStyle name="Hipervínculo visitado" xfId="2048" builtinId="9" hidden="1"/>
    <cellStyle name="Hipervínculo visitado" xfId="2050" builtinId="9" hidden="1"/>
    <cellStyle name="Hipervínculo visitado" xfId="2052" builtinId="9" hidden="1"/>
    <cellStyle name="Hipervínculo visitado" xfId="2054" builtinId="9" hidden="1"/>
    <cellStyle name="Hipervínculo visitado" xfId="2056" builtinId="9" hidden="1"/>
    <cellStyle name="Hipervínculo visitado" xfId="2058" builtinId="9" hidden="1"/>
    <cellStyle name="Hipervínculo visitado" xfId="2060" builtinId="9" hidden="1"/>
    <cellStyle name="Hipervínculo visitado" xfId="2062" builtinId="9" hidden="1"/>
    <cellStyle name="Hipervínculo visitado" xfId="2064" builtinId="9" hidden="1"/>
    <cellStyle name="Hipervínculo visitado" xfId="2066" builtinId="9" hidden="1"/>
    <cellStyle name="Hipervínculo visitado" xfId="2068" builtinId="9" hidden="1"/>
    <cellStyle name="Hipervínculo visitado" xfId="2070" builtinId="9" hidden="1"/>
    <cellStyle name="Hipervínculo visitado" xfId="2072" builtinId="9" hidden="1"/>
    <cellStyle name="Hipervínculo visitado" xfId="2074" builtinId="9" hidden="1"/>
    <cellStyle name="Hipervínculo visitado" xfId="2076" builtinId="9" hidden="1"/>
    <cellStyle name="Hipervínculo visitado" xfId="2078" builtinId="9" hidden="1"/>
    <cellStyle name="Hipervínculo visitado" xfId="2080" builtinId="9" hidden="1"/>
    <cellStyle name="Hipervínculo visitado" xfId="2082" builtinId="9" hidden="1"/>
    <cellStyle name="Hipervínculo visitado" xfId="2084" builtinId="9" hidden="1"/>
    <cellStyle name="Hipervínculo visitado" xfId="2086" builtinId="9" hidden="1"/>
    <cellStyle name="Hipervínculo visitado" xfId="2088" builtinId="9" hidden="1"/>
    <cellStyle name="Hipervínculo visitado" xfId="2090" builtinId="9" hidden="1"/>
    <cellStyle name="Hipervínculo visitado" xfId="2092" builtinId="9" hidden="1"/>
    <cellStyle name="Hipervínculo visitado" xfId="2094" builtinId="9" hidden="1"/>
    <cellStyle name="Hipervínculo visitado" xfId="2096" builtinId="9" hidden="1"/>
    <cellStyle name="Hipervínculo visitado" xfId="2098" builtinId="9" hidden="1"/>
    <cellStyle name="Hipervínculo visitado" xfId="2100" builtinId="9" hidden="1"/>
    <cellStyle name="Hipervínculo visitado" xfId="2102" builtinId="9" hidden="1"/>
    <cellStyle name="Hipervínculo visitado" xfId="2104" builtinId="9" hidden="1"/>
    <cellStyle name="Hipervínculo visitado" xfId="2106" builtinId="9" hidden="1"/>
    <cellStyle name="Hipervínculo visitado" xfId="2108" builtinId="9" hidden="1"/>
    <cellStyle name="Hipervínculo visitado" xfId="2110" builtinId="9" hidden="1"/>
    <cellStyle name="Hipervínculo visitado" xfId="2112" builtinId="9" hidden="1"/>
    <cellStyle name="Hipervínculo visitado" xfId="2114" builtinId="9" hidden="1"/>
    <cellStyle name="Hipervínculo visitado" xfId="2116" builtinId="9" hidden="1"/>
    <cellStyle name="Hipervínculo visitado" xfId="2118" builtinId="9" hidden="1"/>
    <cellStyle name="Hipervínculo visitado" xfId="2120" builtinId="9" hidden="1"/>
    <cellStyle name="Hipervínculo visitado" xfId="2122" builtinId="9" hidden="1"/>
    <cellStyle name="Hipervínculo visitado" xfId="2124" builtinId="9" hidden="1"/>
    <cellStyle name="Hipervínculo visitado" xfId="2126" builtinId="9" hidden="1"/>
    <cellStyle name="Hipervínculo visitado" xfId="2128" builtinId="9" hidden="1"/>
    <cellStyle name="Hipervínculo visitado" xfId="2130" builtinId="9" hidden="1"/>
    <cellStyle name="Hipervínculo visitado" xfId="2132" builtinId="9" hidden="1"/>
    <cellStyle name="Hipervínculo visitado" xfId="2134" builtinId="9" hidden="1"/>
    <cellStyle name="Hipervínculo visitado" xfId="2136" builtinId="9" hidden="1"/>
    <cellStyle name="Hipervínculo visitado" xfId="2138" builtinId="9" hidden="1"/>
    <cellStyle name="Hipervínculo visitado" xfId="2140" builtinId="9" hidden="1"/>
    <cellStyle name="Hipervínculo visitado" xfId="2142" builtinId="9" hidden="1"/>
    <cellStyle name="Hipervínculo visitado" xfId="2144" builtinId="9" hidden="1"/>
    <cellStyle name="Hipervínculo visitado" xfId="2146" builtinId="9" hidden="1"/>
    <cellStyle name="Hipervínculo visitado" xfId="2148" builtinId="9" hidden="1"/>
    <cellStyle name="Hipervínculo visitado" xfId="2150" builtinId="9" hidden="1"/>
    <cellStyle name="Hipervínculo visitado" xfId="2152" builtinId="9" hidden="1"/>
    <cellStyle name="Hipervínculo visitado" xfId="2154" builtinId="9" hidden="1"/>
    <cellStyle name="Hipervínculo visitado" xfId="2156" builtinId="9" hidden="1"/>
    <cellStyle name="Hipervínculo visitado" xfId="2158" builtinId="9" hidden="1"/>
    <cellStyle name="Hipervínculo visitado" xfId="2160" builtinId="9" hidden="1"/>
    <cellStyle name="Hipervínculo visitado" xfId="2162" builtinId="9" hidden="1"/>
    <cellStyle name="Hipervínculo visitado" xfId="2164" builtinId="9" hidden="1"/>
    <cellStyle name="Hipervínculo visitado" xfId="2166" builtinId="9" hidden="1"/>
    <cellStyle name="Hipervínculo visitado" xfId="2168" builtinId="9" hidden="1"/>
    <cellStyle name="Hipervínculo visitado" xfId="2170" builtinId="9" hidden="1"/>
    <cellStyle name="Hipervínculo visitado" xfId="2172" builtinId="9" hidden="1"/>
    <cellStyle name="Hipervínculo visitado" xfId="2174" builtinId="9" hidden="1"/>
    <cellStyle name="Hipervínculo visitado" xfId="2176" builtinId="9" hidden="1"/>
    <cellStyle name="Hipervínculo visitado" xfId="2178" builtinId="9" hidden="1"/>
    <cellStyle name="Hipervínculo visitado" xfId="2180" builtinId="9" hidden="1"/>
    <cellStyle name="Hipervínculo visitado" xfId="2182" builtinId="9" hidden="1"/>
    <cellStyle name="Hipervínculo visitado" xfId="2184" builtinId="9" hidden="1"/>
    <cellStyle name="Hipervínculo visitado" xfId="2186" builtinId="9" hidden="1"/>
    <cellStyle name="Hipervínculo visitado" xfId="2188" builtinId="9" hidden="1"/>
    <cellStyle name="Hipervínculo visitado" xfId="2190" builtinId="9" hidden="1"/>
    <cellStyle name="Hipervínculo visitado" xfId="2192" builtinId="9" hidden="1"/>
    <cellStyle name="Hipervínculo visitado" xfId="2194" builtinId="9" hidden="1"/>
    <cellStyle name="Hipervínculo visitado" xfId="2196" builtinId="9" hidden="1"/>
    <cellStyle name="Hipervínculo visitado" xfId="2198" builtinId="9" hidden="1"/>
    <cellStyle name="Hipervínculo visitado" xfId="2200" builtinId="9" hidden="1"/>
    <cellStyle name="Hipervínculo visitado" xfId="2202" builtinId="9" hidden="1"/>
    <cellStyle name="Hipervínculo visitado" xfId="2204" builtinId="9" hidden="1"/>
    <cellStyle name="Hipervínculo visitado" xfId="2206" builtinId="9" hidden="1"/>
    <cellStyle name="Hipervínculo visitado" xfId="2208" builtinId="9" hidden="1"/>
    <cellStyle name="Hipervínculo visitado" xfId="2210" builtinId="9" hidden="1"/>
    <cellStyle name="Hipervínculo visitado" xfId="2212" builtinId="9" hidden="1"/>
    <cellStyle name="Hipervínculo visitado" xfId="2214" builtinId="9" hidden="1"/>
    <cellStyle name="Hipervínculo visitado" xfId="2216" builtinId="9" hidden="1"/>
    <cellStyle name="Hipervínculo visitado" xfId="2218" builtinId="9" hidden="1"/>
    <cellStyle name="Hipervínculo visitado" xfId="2220" builtinId="9" hidden="1"/>
    <cellStyle name="Hipervínculo visitado" xfId="2222" builtinId="9" hidden="1"/>
    <cellStyle name="Hipervínculo visitado" xfId="2224" builtinId="9" hidden="1"/>
    <cellStyle name="Hipervínculo visitado" xfId="2226" builtinId="9" hidden="1"/>
    <cellStyle name="Hipervínculo visitado" xfId="2228" builtinId="9" hidden="1"/>
    <cellStyle name="Hipervínculo visitado" xfId="2230" builtinId="9" hidden="1"/>
    <cellStyle name="Hipervínculo visitado" xfId="2232" builtinId="9" hidden="1"/>
    <cellStyle name="Hipervínculo visitado" xfId="2234" builtinId="9" hidden="1"/>
    <cellStyle name="Hipervínculo visitado" xfId="2236" builtinId="9" hidden="1"/>
    <cellStyle name="Hipervínculo visitado" xfId="2238" builtinId="9" hidden="1"/>
    <cellStyle name="Hipervínculo visitado" xfId="2240" builtinId="9" hidden="1"/>
    <cellStyle name="Hipervínculo visitado" xfId="2242" builtinId="9" hidden="1"/>
    <cellStyle name="Hipervínculo visitado" xfId="2244" builtinId="9" hidden="1"/>
    <cellStyle name="Hipervínculo visitado" xfId="2246" builtinId="9" hidden="1"/>
    <cellStyle name="Hipervínculo visitado" xfId="2248" builtinId="9" hidden="1"/>
    <cellStyle name="Hipervínculo visitado" xfId="2250" builtinId="9" hidden="1"/>
    <cellStyle name="Hipervínculo visitado" xfId="2252" builtinId="9" hidden="1"/>
    <cellStyle name="Hipervínculo visitado" xfId="2254" builtinId="9" hidden="1"/>
    <cellStyle name="Hipervínculo visitado" xfId="2256" builtinId="9" hidden="1"/>
    <cellStyle name="Hipervínculo visitado" xfId="2258" builtinId="9" hidden="1"/>
    <cellStyle name="Hipervínculo visitado" xfId="2260" builtinId="9" hidden="1"/>
    <cellStyle name="Hipervínculo visitado" xfId="2262" builtinId="9" hidden="1"/>
    <cellStyle name="Hipervínculo visitado" xfId="2264" builtinId="9" hidden="1"/>
    <cellStyle name="Hipervínculo visitado" xfId="2266" builtinId="9" hidden="1"/>
    <cellStyle name="Hipervínculo visitado" xfId="2268" builtinId="9" hidden="1"/>
    <cellStyle name="Hipervínculo visitado" xfId="2270" builtinId="9" hidden="1"/>
    <cellStyle name="Hipervínculo visitado" xfId="2272" builtinId="9" hidden="1"/>
    <cellStyle name="Hipervínculo visitado" xfId="2274" builtinId="9" hidden="1"/>
    <cellStyle name="Hipervínculo visitado" xfId="2276" builtinId="9" hidden="1"/>
    <cellStyle name="Hipervínculo visitado" xfId="2278" builtinId="9" hidden="1"/>
    <cellStyle name="Hipervínculo visitado" xfId="2280" builtinId="9" hidden="1"/>
    <cellStyle name="Hipervínculo visitado" xfId="2282" builtinId="9" hidden="1"/>
    <cellStyle name="Hipervínculo visitado" xfId="2284" builtinId="9" hidden="1"/>
    <cellStyle name="Hipervínculo visitado" xfId="2286" builtinId="9" hidden="1"/>
    <cellStyle name="Hipervínculo visitado" xfId="2288" builtinId="9" hidden="1"/>
    <cellStyle name="Hipervínculo visitado" xfId="2290" builtinId="9" hidden="1"/>
    <cellStyle name="Hipervínculo visitado" xfId="2292" builtinId="9" hidden="1"/>
    <cellStyle name="Hipervínculo visitado" xfId="2294" builtinId="9" hidden="1"/>
    <cellStyle name="Hipervínculo visitado" xfId="2296" builtinId="9" hidden="1"/>
    <cellStyle name="Hipervínculo visitado" xfId="2298" builtinId="9" hidden="1"/>
    <cellStyle name="Hipervínculo visitado" xfId="2300" builtinId="9" hidden="1"/>
    <cellStyle name="Hipervínculo visitado" xfId="2302" builtinId="9" hidden="1"/>
    <cellStyle name="Hipervínculo visitado" xfId="2304" builtinId="9" hidden="1"/>
    <cellStyle name="Hipervínculo visitado" xfId="2306" builtinId="9" hidden="1"/>
    <cellStyle name="Hipervínculo visitado" xfId="2308" builtinId="9" hidden="1"/>
    <cellStyle name="Hipervínculo visitado" xfId="2310" builtinId="9" hidden="1"/>
    <cellStyle name="Hipervínculo visitado" xfId="2312" builtinId="9" hidden="1"/>
    <cellStyle name="Hipervínculo visitado" xfId="2314" builtinId="9" hidden="1"/>
    <cellStyle name="Hipervínculo visitado" xfId="2316" builtinId="9" hidden="1"/>
    <cellStyle name="Hipervínculo visitado" xfId="2318" builtinId="9" hidden="1"/>
    <cellStyle name="Hipervínculo visitado" xfId="2320" builtinId="9" hidden="1"/>
    <cellStyle name="Hipervínculo visitado" xfId="2322" builtinId="9" hidden="1"/>
    <cellStyle name="Hipervínculo visitado" xfId="2324" builtinId="9" hidden="1"/>
    <cellStyle name="Hipervínculo visitado" xfId="2326" builtinId="9" hidden="1"/>
    <cellStyle name="Hipervínculo visitado" xfId="2328" builtinId="9" hidden="1"/>
    <cellStyle name="Hipervínculo visitado" xfId="2330" builtinId="9" hidden="1"/>
    <cellStyle name="Hipervínculo visitado" xfId="2332" builtinId="9" hidden="1"/>
    <cellStyle name="Hipervínculo visitado" xfId="2334" builtinId="9" hidden="1"/>
    <cellStyle name="Hipervínculo visitado" xfId="2336" builtinId="9" hidden="1"/>
    <cellStyle name="Hipervínculo visitado" xfId="2338" builtinId="9" hidden="1"/>
    <cellStyle name="Hipervínculo visitado" xfId="2340" builtinId="9" hidden="1"/>
    <cellStyle name="Hipervínculo visitado" xfId="2342" builtinId="9" hidden="1"/>
    <cellStyle name="Hipervínculo visitado" xfId="2344" builtinId="9" hidden="1"/>
    <cellStyle name="Hipervínculo visitado" xfId="2346" builtinId="9" hidden="1"/>
    <cellStyle name="Hipervínculo visitado" xfId="2348" builtinId="9" hidden="1"/>
    <cellStyle name="Hipervínculo visitado" xfId="2350" builtinId="9" hidden="1"/>
    <cellStyle name="Hipervínculo visitado" xfId="2352" builtinId="9" hidden="1"/>
    <cellStyle name="Hipervínculo visitado" xfId="2354" builtinId="9" hidden="1"/>
    <cellStyle name="Hipervínculo visitado" xfId="2356" builtinId="9" hidden="1"/>
    <cellStyle name="Hipervínculo visitado" xfId="2358" builtinId="9" hidden="1"/>
    <cellStyle name="Hipervínculo visitado" xfId="2360" builtinId="9" hidden="1"/>
    <cellStyle name="Hipervínculo visitado" xfId="2362" builtinId="9" hidden="1"/>
    <cellStyle name="Hipervínculo visitado" xfId="2364" builtinId="9" hidden="1"/>
    <cellStyle name="Hipervínculo visitado" xfId="2366" builtinId="9" hidden="1"/>
    <cellStyle name="Hipervínculo visitado" xfId="2368" builtinId="9" hidden="1"/>
    <cellStyle name="Hipervínculo visitado" xfId="2370" builtinId="9" hidden="1"/>
    <cellStyle name="Hipervínculo visitado" xfId="2372" builtinId="9" hidden="1"/>
    <cellStyle name="Hipervínculo visitado" xfId="2374" builtinId="9" hidden="1"/>
    <cellStyle name="Hipervínculo visitado" xfId="2376" builtinId="9" hidden="1"/>
    <cellStyle name="Hipervínculo visitado" xfId="2378" builtinId="9" hidden="1"/>
    <cellStyle name="Hipervínculo visitado" xfId="2380" builtinId="9" hidden="1"/>
    <cellStyle name="Hipervínculo visitado" xfId="2382" builtinId="9" hidden="1"/>
    <cellStyle name="Hipervínculo visitado" xfId="2384" builtinId="9" hidden="1"/>
    <cellStyle name="Hipervínculo visitado" xfId="2386" builtinId="9" hidden="1"/>
    <cellStyle name="Hipervínculo visitado" xfId="2388" builtinId="9" hidden="1"/>
    <cellStyle name="Hipervínculo visitado" xfId="2390" builtinId="9" hidden="1"/>
    <cellStyle name="Hipervínculo visitado" xfId="2392" builtinId="9" hidden="1"/>
    <cellStyle name="Hipervínculo visitado" xfId="2394" builtinId="9" hidden="1"/>
    <cellStyle name="Hipervínculo visitado" xfId="2396" builtinId="9" hidden="1"/>
    <cellStyle name="Hipervínculo visitado" xfId="2398" builtinId="9" hidden="1"/>
    <cellStyle name="Hipervínculo visitado" xfId="2400" builtinId="9" hidden="1"/>
    <cellStyle name="Hipervínculo visitado" xfId="2402" builtinId="9" hidden="1"/>
    <cellStyle name="Hipervínculo visitado" xfId="2404" builtinId="9" hidden="1"/>
    <cellStyle name="Hipervínculo visitado" xfId="2406" builtinId="9" hidden="1"/>
    <cellStyle name="Hipervínculo visitado" xfId="2408" builtinId="9" hidden="1"/>
    <cellStyle name="Hipervínculo visitado" xfId="2410" builtinId="9" hidden="1"/>
    <cellStyle name="Hipervínculo visitado" xfId="2412" builtinId="9" hidden="1"/>
    <cellStyle name="Hipervínculo visitado" xfId="2414" builtinId="9" hidden="1"/>
    <cellStyle name="Hipervínculo visitado" xfId="2416" builtinId="9" hidden="1"/>
    <cellStyle name="Hipervínculo visitado" xfId="2418" builtinId="9" hidden="1"/>
    <cellStyle name="Hipervínculo visitado" xfId="2420" builtinId="9" hidden="1"/>
    <cellStyle name="Hipervínculo visitado" xfId="2422" builtinId="9" hidden="1"/>
    <cellStyle name="Hipervínculo visitado" xfId="2424" builtinId="9" hidden="1"/>
    <cellStyle name="Hipervínculo visitado" xfId="2426" builtinId="9" hidden="1"/>
    <cellStyle name="Hipervínculo visitado" xfId="2428" builtinId="9" hidden="1"/>
    <cellStyle name="Hipervínculo visitado" xfId="2430" builtinId="9" hidden="1"/>
    <cellStyle name="Hipervínculo visitado" xfId="2432" builtinId="9" hidden="1"/>
    <cellStyle name="Hipervínculo visitado" xfId="2434" builtinId="9" hidden="1"/>
    <cellStyle name="Hipervínculo visitado" xfId="2436" builtinId="9" hidden="1"/>
    <cellStyle name="Hipervínculo visitado" xfId="2438" builtinId="9" hidden="1"/>
    <cellStyle name="Hipervínculo visitado" xfId="2440" builtinId="9" hidden="1"/>
    <cellStyle name="Hipervínculo visitado" xfId="2442" builtinId="9" hidden="1"/>
    <cellStyle name="Hipervínculo visitado" xfId="2444" builtinId="9" hidden="1"/>
    <cellStyle name="Hipervínculo visitado" xfId="2446" builtinId="9" hidden="1"/>
    <cellStyle name="Hipervínculo visitado" xfId="2448" builtinId="9" hidden="1"/>
    <cellStyle name="Hipervínculo visitado" xfId="2450" builtinId="9" hidden="1"/>
    <cellStyle name="Hipervínculo visitado" xfId="2452" builtinId="9" hidden="1"/>
    <cellStyle name="Hipervínculo visitado" xfId="2454" builtinId="9" hidden="1"/>
    <cellStyle name="Hipervínculo visitado" xfId="2456" builtinId="9" hidden="1"/>
    <cellStyle name="Hipervínculo visitado" xfId="2458" builtinId="9" hidden="1"/>
    <cellStyle name="Hipervínculo visitado" xfId="2460" builtinId="9" hidden="1"/>
    <cellStyle name="Hipervínculo visitado" xfId="2462" builtinId="9" hidden="1"/>
    <cellStyle name="Hipervínculo visitado" xfId="2464" builtinId="9" hidden="1"/>
    <cellStyle name="Hipervínculo visitado" xfId="2466" builtinId="9" hidden="1"/>
    <cellStyle name="Hipervínculo visitado" xfId="2468" builtinId="9" hidden="1"/>
    <cellStyle name="Hipervínculo visitado" xfId="2470" builtinId="9" hidden="1"/>
    <cellStyle name="Hipervínculo visitado" xfId="2472" builtinId="9" hidden="1"/>
    <cellStyle name="Hipervínculo visitado" xfId="2474" builtinId="9" hidden="1"/>
    <cellStyle name="Hipervínculo visitado" xfId="2476" builtinId="9" hidden="1"/>
    <cellStyle name="Hipervínculo visitado" xfId="2478" builtinId="9" hidden="1"/>
    <cellStyle name="Hipervínculo visitado" xfId="2480" builtinId="9" hidden="1"/>
    <cellStyle name="Hipervínculo visitado" xfId="2482" builtinId="9" hidden="1"/>
    <cellStyle name="Hipervínculo visitado" xfId="2484" builtinId="9" hidden="1"/>
    <cellStyle name="Hipervínculo visitado" xfId="2486" builtinId="9" hidden="1"/>
    <cellStyle name="Hipervínculo visitado" xfId="2488" builtinId="9" hidden="1"/>
    <cellStyle name="Hipervínculo visitado" xfId="2490" builtinId="9" hidden="1"/>
    <cellStyle name="Hipervínculo visitado" xfId="2492" builtinId="9" hidden="1"/>
    <cellStyle name="Hipervínculo visitado" xfId="2494" builtinId="9" hidden="1"/>
    <cellStyle name="Hipervínculo visitado" xfId="2496" builtinId="9" hidden="1"/>
    <cellStyle name="Hipervínculo visitado" xfId="2498" builtinId="9" hidden="1"/>
    <cellStyle name="Hipervínculo visitado" xfId="2500" builtinId="9" hidden="1"/>
    <cellStyle name="Hipervínculo visitado" xfId="2502" builtinId="9" hidden="1"/>
    <cellStyle name="Hipervínculo visitado" xfId="2504" builtinId="9" hidden="1"/>
    <cellStyle name="Hipervínculo visitado" xfId="2506" builtinId="9" hidden="1"/>
    <cellStyle name="Hipervínculo visitado" xfId="2508" builtinId="9" hidden="1"/>
    <cellStyle name="Hipervínculo visitado" xfId="2510" builtinId="9" hidden="1"/>
    <cellStyle name="Hipervínculo visitado" xfId="2512" builtinId="9" hidden="1"/>
    <cellStyle name="Hipervínculo visitado" xfId="2514" builtinId="9" hidden="1"/>
    <cellStyle name="Hipervínculo visitado" xfId="2516" builtinId="9" hidden="1"/>
    <cellStyle name="Hipervínculo visitado" xfId="2518" builtinId="9" hidden="1"/>
    <cellStyle name="Hipervínculo visitado" xfId="2520" builtinId="9" hidden="1"/>
    <cellStyle name="Hipervínculo visitado" xfId="2522" builtinId="9" hidden="1"/>
    <cellStyle name="Hipervínculo visitado" xfId="2524" builtinId="9" hidden="1"/>
    <cellStyle name="Hipervínculo visitado" xfId="2526" builtinId="9" hidden="1"/>
    <cellStyle name="Hipervínculo visitado" xfId="2528" builtinId="9" hidden="1"/>
    <cellStyle name="Hipervínculo visitado" xfId="2530" builtinId="9" hidden="1"/>
    <cellStyle name="Hipervínculo visitado" xfId="2532" builtinId="9" hidden="1"/>
    <cellStyle name="Hipervínculo visitado" xfId="2534" builtinId="9" hidden="1"/>
    <cellStyle name="Hipervínculo visitado" xfId="2536" builtinId="9" hidden="1"/>
    <cellStyle name="Hipervínculo visitado" xfId="2538" builtinId="9" hidden="1"/>
    <cellStyle name="Hipervínculo visitado" xfId="2540" builtinId="9" hidden="1"/>
    <cellStyle name="Hipervínculo visitado" xfId="2542" builtinId="9" hidden="1"/>
    <cellStyle name="Hipervínculo visitado" xfId="2544" builtinId="9" hidden="1"/>
    <cellStyle name="Hipervínculo visitado" xfId="2546" builtinId="9" hidden="1"/>
    <cellStyle name="Hipervínculo visitado" xfId="2548" builtinId="9" hidden="1"/>
    <cellStyle name="Hipervínculo visitado" xfId="2550" builtinId="9" hidden="1"/>
    <cellStyle name="Hipervínculo visitado" xfId="2552" builtinId="9" hidden="1"/>
    <cellStyle name="Hipervínculo visitado" xfId="2554" builtinId="9" hidden="1"/>
    <cellStyle name="Hipervínculo visitado" xfId="2556" builtinId="9" hidden="1"/>
    <cellStyle name="Hipervínculo visitado" xfId="2558" builtinId="9" hidden="1"/>
    <cellStyle name="Hipervínculo visitado" xfId="2560" builtinId="9" hidden="1"/>
    <cellStyle name="Hipervínculo visitado" xfId="2562" builtinId="9" hidden="1"/>
    <cellStyle name="Hipervínculo visitado" xfId="2564" builtinId="9" hidden="1"/>
    <cellStyle name="Hipervínculo visitado" xfId="2566" builtinId="9" hidden="1"/>
    <cellStyle name="Hipervínculo visitado" xfId="2568" builtinId="9" hidden="1"/>
    <cellStyle name="Hipervínculo visitado" xfId="2570" builtinId="9" hidden="1"/>
    <cellStyle name="Hipervínculo visitado" xfId="2572" builtinId="9" hidden="1"/>
    <cellStyle name="Hipervínculo visitado" xfId="2574" builtinId="9" hidden="1"/>
    <cellStyle name="Hipervínculo visitado" xfId="2576" builtinId="9" hidden="1"/>
    <cellStyle name="Hipervínculo visitado" xfId="2578" builtinId="9" hidden="1"/>
    <cellStyle name="Hipervínculo visitado" xfId="2580" builtinId="9" hidden="1"/>
    <cellStyle name="Hipervínculo visitado" xfId="2582" builtinId="9" hidden="1"/>
    <cellStyle name="Hipervínculo visitado" xfId="2584" builtinId="9" hidden="1"/>
    <cellStyle name="Hipervínculo visitado" xfId="2586" builtinId="9" hidden="1"/>
    <cellStyle name="Hipervínculo visitado" xfId="2588" builtinId="9" hidden="1"/>
    <cellStyle name="Hipervínculo visitado" xfId="2590" builtinId="9" hidden="1"/>
    <cellStyle name="Hipervínculo visitado" xfId="2592" builtinId="9" hidden="1"/>
    <cellStyle name="Hipervínculo visitado" xfId="2594" builtinId="9" hidden="1"/>
    <cellStyle name="Hipervínculo visitado" xfId="2596" builtinId="9" hidden="1"/>
    <cellStyle name="Hipervínculo visitado" xfId="2598" builtinId="9" hidden="1"/>
    <cellStyle name="Hipervínculo visitado" xfId="2600" builtinId="9" hidden="1"/>
    <cellStyle name="Hipervínculo visitado" xfId="2602" builtinId="9" hidden="1"/>
    <cellStyle name="Hipervínculo visitado" xfId="2604" builtinId="9" hidden="1"/>
    <cellStyle name="Hipervínculo visitado" xfId="2606" builtinId="9" hidden="1"/>
    <cellStyle name="Hipervínculo visitado" xfId="2608" builtinId="9" hidden="1"/>
    <cellStyle name="Hipervínculo visitado" xfId="2610" builtinId="9" hidden="1"/>
    <cellStyle name="Hipervínculo visitado" xfId="2612" builtinId="9" hidden="1"/>
    <cellStyle name="Hipervínculo visitado" xfId="2614" builtinId="9" hidden="1"/>
    <cellStyle name="Hipervínculo visitado" xfId="2616" builtinId="9" hidden="1"/>
    <cellStyle name="Hipervínculo visitado" xfId="2618" builtinId="9" hidden="1"/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150" zoomScaleNormal="150" zoomScalePageLayoutView="125" workbookViewId="0">
      <pane ySplit="1" topLeftCell="A22" activePane="bottomLeft" state="frozen"/>
      <selection pane="bottomLeft" activeCell="J26" sqref="J26"/>
    </sheetView>
  </sheetViews>
  <sheetFormatPr baseColWidth="10" defaultRowHeight="15" x14ac:dyDescent="0.2"/>
  <cols>
    <col min="1" max="1" width="10.6640625" bestFit="1" customWidth="1"/>
    <col min="2" max="2" width="12.5" customWidth="1"/>
    <col min="3" max="4" width="11.5" customWidth="1"/>
    <col min="5" max="5" width="11.33203125" style="67" customWidth="1"/>
    <col min="6" max="6" width="12.83203125" style="67" customWidth="1"/>
    <col min="7" max="7" width="12.1640625" style="67" customWidth="1"/>
    <col min="8" max="8" width="11.1640625" style="67" customWidth="1"/>
    <col min="9" max="9" width="11.6640625" style="67" customWidth="1"/>
    <col min="10" max="10" width="12.1640625" style="67" customWidth="1"/>
    <col min="11" max="11" width="20.33203125" bestFit="1" customWidth="1"/>
    <col min="12" max="12" width="23.1640625" style="42" bestFit="1" customWidth="1"/>
  </cols>
  <sheetData>
    <row r="1" spans="1:12" s="67" customFormat="1" ht="27.75" customHeight="1" x14ac:dyDescent="0.2">
      <c r="A1" s="86" t="s">
        <v>0</v>
      </c>
      <c r="B1" s="87" t="s">
        <v>8</v>
      </c>
      <c r="C1" s="87" t="s">
        <v>9</v>
      </c>
      <c r="D1" s="87" t="s">
        <v>17</v>
      </c>
      <c r="E1" s="86" t="s">
        <v>11</v>
      </c>
      <c r="F1" s="86" t="s">
        <v>26</v>
      </c>
      <c r="G1" s="86" t="s">
        <v>10</v>
      </c>
      <c r="H1" s="86" t="s">
        <v>12</v>
      </c>
      <c r="I1" s="87" t="s">
        <v>13</v>
      </c>
      <c r="J1" s="87" t="s">
        <v>14</v>
      </c>
      <c r="K1" s="92"/>
      <c r="L1" s="93"/>
    </row>
    <row r="2" spans="1:12" s="67" customFormat="1" ht="27.75" customHeight="1" x14ac:dyDescent="0.2">
      <c r="A2" s="86"/>
      <c r="B2" s="87"/>
      <c r="C2" s="87"/>
      <c r="D2" s="87"/>
      <c r="F2" s="88"/>
      <c r="G2" s="86"/>
      <c r="H2" s="86"/>
      <c r="I2" s="87"/>
      <c r="J2" s="87"/>
      <c r="K2" s="92"/>
      <c r="L2" s="93"/>
    </row>
    <row r="3" spans="1:12" x14ac:dyDescent="0.2">
      <c r="A3" s="2"/>
      <c r="B3" s="5"/>
      <c r="C3" s="5"/>
      <c r="D3" s="5"/>
      <c r="E3" s="88"/>
      <c r="F3" s="88"/>
      <c r="G3" s="88"/>
      <c r="H3" s="88"/>
      <c r="I3" s="88"/>
      <c r="J3" s="88"/>
      <c r="K3" s="40"/>
    </row>
    <row r="4" spans="1:12" x14ac:dyDescent="0.2">
      <c r="A4" s="2">
        <v>45870</v>
      </c>
      <c r="B4" s="5">
        <v>300000</v>
      </c>
      <c r="C4" s="5">
        <v>1840320</v>
      </c>
      <c r="D4" s="5">
        <v>432500</v>
      </c>
      <c r="E4" s="88">
        <f>+Nomina!E12</f>
        <v>307831</v>
      </c>
      <c r="F4" s="88"/>
      <c r="G4" s="88">
        <f>+Compras!H22</f>
        <v>1114257</v>
      </c>
      <c r="H4" s="88"/>
      <c r="I4" s="88"/>
      <c r="J4" s="88">
        <f t="shared" ref="J4:J34" si="0">+C4-D4-E4-F4-G4-H4-I4</f>
        <v>-14268</v>
      </c>
      <c r="K4" s="40"/>
    </row>
    <row r="5" spans="1:12" x14ac:dyDescent="0.2">
      <c r="A5" s="2">
        <v>45871</v>
      </c>
      <c r="B5" s="5">
        <v>300000</v>
      </c>
      <c r="C5" s="5">
        <v>2778300</v>
      </c>
      <c r="D5" s="5">
        <v>532620</v>
      </c>
      <c r="E5" s="88">
        <f>+Nomina!E22</f>
        <v>283282</v>
      </c>
      <c r="F5" s="88"/>
      <c r="G5" s="88">
        <f>+Compras!H36</f>
        <v>526510</v>
      </c>
      <c r="H5" s="88"/>
      <c r="I5" s="88"/>
      <c r="J5" s="88">
        <f t="shared" si="0"/>
        <v>1435888</v>
      </c>
      <c r="K5" s="40"/>
    </row>
    <row r="6" spans="1:12" x14ac:dyDescent="0.2">
      <c r="A6" s="2">
        <v>45872</v>
      </c>
      <c r="B6" s="5">
        <v>300000</v>
      </c>
      <c r="C6" s="5">
        <v>2333880</v>
      </c>
      <c r="D6" s="5">
        <v>496000</v>
      </c>
      <c r="E6" s="88">
        <f>+Nomina!E31</f>
        <v>242798</v>
      </c>
      <c r="F6" s="88"/>
      <c r="G6" s="88">
        <f>+Compras!H50</f>
        <v>371036</v>
      </c>
      <c r="H6" s="88"/>
      <c r="I6" s="88"/>
      <c r="J6" s="88">
        <f t="shared" si="0"/>
        <v>1224046</v>
      </c>
      <c r="K6" s="40"/>
    </row>
    <row r="7" spans="1:12" x14ac:dyDescent="0.2">
      <c r="A7" s="2">
        <v>45873</v>
      </c>
      <c r="B7" s="5">
        <v>300000</v>
      </c>
      <c r="C7" s="5">
        <v>1245810</v>
      </c>
      <c r="D7" s="5">
        <v>206900</v>
      </c>
      <c r="E7" s="88">
        <f>+Nomina!E40</f>
        <v>149448</v>
      </c>
      <c r="F7" s="88"/>
      <c r="G7" s="88">
        <f>+Compras!H64</f>
        <v>789334</v>
      </c>
      <c r="H7" s="88"/>
      <c r="I7" s="88"/>
      <c r="J7" s="88">
        <f t="shared" si="0"/>
        <v>100128</v>
      </c>
      <c r="K7" s="40"/>
    </row>
    <row r="8" spans="1:12" x14ac:dyDescent="0.2">
      <c r="A8" s="2">
        <v>45874</v>
      </c>
      <c r="B8" s="5">
        <v>300000</v>
      </c>
      <c r="C8" s="5">
        <v>998650</v>
      </c>
      <c r="D8" s="5">
        <v>102200</v>
      </c>
      <c r="E8" s="88">
        <f>+Nomina!E47</f>
        <v>193483</v>
      </c>
      <c r="F8" s="88"/>
      <c r="G8" s="88">
        <f>+Compras!H75</f>
        <v>548500</v>
      </c>
      <c r="H8" s="88"/>
      <c r="I8" s="88"/>
      <c r="J8" s="88">
        <f t="shared" si="0"/>
        <v>154467</v>
      </c>
      <c r="K8" s="108"/>
    </row>
    <row r="9" spans="1:12" x14ac:dyDescent="0.2">
      <c r="A9" s="2">
        <v>45875</v>
      </c>
      <c r="B9" s="5">
        <v>300000</v>
      </c>
      <c r="C9" s="5">
        <v>1303870</v>
      </c>
      <c r="D9" s="5">
        <v>272130</v>
      </c>
      <c r="E9" s="88">
        <f>+Nomina!E55</f>
        <v>189985</v>
      </c>
      <c r="F9" s="88"/>
      <c r="G9" s="88">
        <f>+Compras!H90</f>
        <v>661707</v>
      </c>
      <c r="H9" s="88"/>
      <c r="I9" s="88"/>
      <c r="J9" s="88">
        <f t="shared" si="0"/>
        <v>180048</v>
      </c>
      <c r="K9" s="40"/>
    </row>
    <row r="10" spans="1:12" x14ac:dyDescent="0.2">
      <c r="A10" s="2">
        <v>45876</v>
      </c>
      <c r="B10" s="5">
        <v>300000</v>
      </c>
      <c r="C10" s="5">
        <v>2284050</v>
      </c>
      <c r="D10" s="5">
        <v>432580</v>
      </c>
      <c r="E10" s="88">
        <f>+Nomina!E62</f>
        <v>253938</v>
      </c>
      <c r="F10" s="88"/>
      <c r="G10" s="88">
        <f>+Compras!H103</f>
        <v>775320</v>
      </c>
      <c r="H10" s="88"/>
      <c r="I10" s="88"/>
      <c r="J10" s="88">
        <f t="shared" si="0"/>
        <v>822212</v>
      </c>
      <c r="K10" s="40"/>
    </row>
    <row r="11" spans="1:12" x14ac:dyDescent="0.2">
      <c r="A11" s="2">
        <v>45877</v>
      </c>
      <c r="B11" s="5">
        <v>300000</v>
      </c>
      <c r="C11" s="5">
        <v>1632750</v>
      </c>
      <c r="D11" s="5">
        <v>351200</v>
      </c>
      <c r="E11" s="88">
        <f>+Nomina!E69</f>
        <v>211087</v>
      </c>
      <c r="F11" s="88"/>
      <c r="G11" s="88">
        <f>+Compras!H115</f>
        <v>819254</v>
      </c>
      <c r="H11" s="88"/>
      <c r="I11" s="88"/>
      <c r="J11" s="88">
        <f t="shared" si="0"/>
        <v>251209</v>
      </c>
      <c r="K11" s="40"/>
    </row>
    <row r="12" spans="1:12" x14ac:dyDescent="0.2">
      <c r="A12" s="2">
        <v>45878</v>
      </c>
      <c r="B12" s="5">
        <v>300000</v>
      </c>
      <c r="C12" s="5">
        <v>2255370</v>
      </c>
      <c r="D12" s="5">
        <v>425100</v>
      </c>
      <c r="E12" s="88">
        <f>+Nomina!E76</f>
        <v>230927</v>
      </c>
      <c r="F12" s="88"/>
      <c r="G12" s="88">
        <f>+Compras!H130</f>
        <v>522354</v>
      </c>
      <c r="H12" s="88"/>
      <c r="I12" s="88"/>
      <c r="J12" s="88">
        <f t="shared" si="0"/>
        <v>1076989</v>
      </c>
      <c r="K12" s="40"/>
    </row>
    <row r="13" spans="1:12" x14ac:dyDescent="0.2">
      <c r="A13" s="2">
        <v>45879</v>
      </c>
      <c r="B13" s="5">
        <v>300000</v>
      </c>
      <c r="C13" s="5">
        <v>2449240</v>
      </c>
      <c r="D13" s="5">
        <v>759200</v>
      </c>
      <c r="E13" s="89">
        <f>+Nomina!E84</f>
        <v>248354</v>
      </c>
      <c r="F13" s="89"/>
      <c r="G13" s="88">
        <f>+Compras!H143</f>
        <v>489000</v>
      </c>
      <c r="H13" s="88"/>
      <c r="I13" s="88">
        <f>+'Otros Pagos'!G6</f>
        <v>150000</v>
      </c>
      <c r="J13" s="88">
        <f t="shared" si="0"/>
        <v>802686</v>
      </c>
      <c r="K13" s="41"/>
    </row>
    <row r="14" spans="1:12" x14ac:dyDescent="0.2">
      <c r="A14" s="2">
        <v>45880</v>
      </c>
      <c r="B14" s="5">
        <v>300000</v>
      </c>
      <c r="C14" s="5">
        <v>1188470</v>
      </c>
      <c r="D14" s="5">
        <v>197500</v>
      </c>
      <c r="E14" s="88">
        <f>+Nomina!E93</f>
        <v>185202</v>
      </c>
      <c r="F14" s="88"/>
      <c r="G14" s="88">
        <f>+Compras!H153</f>
        <v>709778</v>
      </c>
      <c r="H14" s="88"/>
      <c r="I14" s="88"/>
      <c r="J14" s="88">
        <f t="shared" si="0"/>
        <v>95990</v>
      </c>
      <c r="K14" s="40"/>
    </row>
    <row r="15" spans="1:12" x14ac:dyDescent="0.2">
      <c r="A15" s="2">
        <v>45881</v>
      </c>
      <c r="B15" s="5">
        <v>300000</v>
      </c>
      <c r="C15" s="5">
        <v>1354590</v>
      </c>
      <c r="D15" s="5">
        <v>284500</v>
      </c>
      <c r="E15" s="88">
        <f>+Nomina!E101</f>
        <v>265947</v>
      </c>
      <c r="F15" s="88"/>
      <c r="G15" s="88">
        <f>+Compras!H162</f>
        <v>301930</v>
      </c>
      <c r="I15" s="88"/>
      <c r="J15" s="88">
        <f t="shared" si="0"/>
        <v>502213</v>
      </c>
      <c r="K15" s="40"/>
    </row>
    <row r="16" spans="1:12" x14ac:dyDescent="0.2">
      <c r="A16" s="2">
        <v>45882</v>
      </c>
      <c r="B16" s="5">
        <v>300000</v>
      </c>
      <c r="C16" s="5">
        <v>1115205</v>
      </c>
      <c r="D16" s="5">
        <v>362100</v>
      </c>
      <c r="E16" s="88">
        <f>+Nomina!E109</f>
        <v>190554</v>
      </c>
      <c r="F16" s="88"/>
      <c r="G16" s="88">
        <f>+Compras!H173</f>
        <v>658363</v>
      </c>
      <c r="H16" s="88"/>
      <c r="I16" s="88"/>
      <c r="J16" s="88">
        <f t="shared" si="0"/>
        <v>-95812</v>
      </c>
      <c r="K16" s="40"/>
    </row>
    <row r="17" spans="1:11" x14ac:dyDescent="0.2">
      <c r="A17" s="2">
        <v>45883</v>
      </c>
      <c r="B17" s="5">
        <v>300000</v>
      </c>
      <c r="C17" s="5">
        <v>1081780</v>
      </c>
      <c r="D17" s="5">
        <v>192100</v>
      </c>
      <c r="E17" s="88">
        <f>+Nomina!E118</f>
        <v>155888</v>
      </c>
      <c r="F17" s="88"/>
      <c r="G17" s="88">
        <f>+Compras!H182</f>
        <v>319000</v>
      </c>
      <c r="H17" s="88"/>
      <c r="I17" s="88"/>
      <c r="J17" s="88">
        <f t="shared" si="0"/>
        <v>414792</v>
      </c>
      <c r="K17" s="40"/>
    </row>
    <row r="18" spans="1:11" x14ac:dyDescent="0.2">
      <c r="A18" s="2">
        <v>45884</v>
      </c>
      <c r="B18" s="5">
        <v>300000</v>
      </c>
      <c r="C18" s="5">
        <v>1424160</v>
      </c>
      <c r="D18" s="5">
        <v>368810</v>
      </c>
      <c r="E18" s="88">
        <f>+Nomina!E126</f>
        <v>204616</v>
      </c>
      <c r="F18" s="88"/>
      <c r="G18" s="88">
        <f>+Compras!H197</f>
        <v>965915</v>
      </c>
      <c r="H18" s="88"/>
      <c r="I18" s="88"/>
      <c r="J18" s="88">
        <f t="shared" si="0"/>
        <v>-115181</v>
      </c>
      <c r="K18" s="40"/>
    </row>
    <row r="19" spans="1:11" x14ac:dyDescent="0.2">
      <c r="A19" s="2">
        <v>45885</v>
      </c>
      <c r="B19" s="5">
        <v>300000</v>
      </c>
      <c r="C19" s="5">
        <v>2544340</v>
      </c>
      <c r="D19" s="5">
        <v>487300</v>
      </c>
      <c r="E19" s="88">
        <f>+Nomina!E132</f>
        <v>191472</v>
      </c>
      <c r="F19" s="88"/>
      <c r="G19" s="88">
        <f>+Compras!H214</f>
        <v>1116974</v>
      </c>
      <c r="H19" s="88"/>
      <c r="I19" s="88"/>
      <c r="J19" s="88">
        <f t="shared" si="0"/>
        <v>748594</v>
      </c>
      <c r="K19" s="40"/>
    </row>
    <row r="20" spans="1:11" x14ac:dyDescent="0.2">
      <c r="A20" s="2">
        <v>45886</v>
      </c>
      <c r="B20" s="5">
        <v>300000</v>
      </c>
      <c r="C20" s="5">
        <v>2861300</v>
      </c>
      <c r="D20" s="5">
        <v>807700</v>
      </c>
      <c r="E20" s="88">
        <f>+Nomina!E141</f>
        <v>270648</v>
      </c>
      <c r="F20" s="88"/>
      <c r="G20" s="88">
        <f>+Compras!H226</f>
        <v>227192</v>
      </c>
      <c r="H20" s="88"/>
      <c r="I20" s="88"/>
      <c r="J20" s="88">
        <f t="shared" si="0"/>
        <v>1555760</v>
      </c>
      <c r="K20" s="40"/>
    </row>
    <row r="21" spans="1:11" x14ac:dyDescent="0.2">
      <c r="A21" s="2">
        <v>45887</v>
      </c>
      <c r="B21" s="5">
        <v>300000</v>
      </c>
      <c r="C21" s="5">
        <v>2066400</v>
      </c>
      <c r="D21" s="5">
        <v>503700</v>
      </c>
      <c r="E21" s="88">
        <f>+Nomina!E150</f>
        <v>401486</v>
      </c>
      <c r="F21" s="88"/>
      <c r="G21" s="88">
        <f>+Compras!H241</f>
        <v>664102</v>
      </c>
      <c r="H21" s="88"/>
      <c r="I21" s="88"/>
      <c r="J21" s="88">
        <f t="shared" si="0"/>
        <v>497112</v>
      </c>
      <c r="K21" s="40"/>
    </row>
    <row r="22" spans="1:11" x14ac:dyDescent="0.2">
      <c r="A22" s="2">
        <v>45888</v>
      </c>
      <c r="B22" s="5">
        <v>300000</v>
      </c>
      <c r="C22" s="5">
        <v>1148700</v>
      </c>
      <c r="D22" s="5">
        <v>136400</v>
      </c>
      <c r="E22" s="88">
        <f>+Nomina!E157</f>
        <v>191319</v>
      </c>
      <c r="F22" s="88"/>
      <c r="G22" s="88">
        <f>+Compras!H252</f>
        <v>466552</v>
      </c>
      <c r="H22" s="88">
        <f>+Servicios!E3</f>
        <v>146650</v>
      </c>
      <c r="I22" s="88"/>
      <c r="J22" s="88">
        <f t="shared" si="0"/>
        <v>207779</v>
      </c>
      <c r="K22" s="40" t="s">
        <v>277</v>
      </c>
    </row>
    <row r="23" spans="1:11" x14ac:dyDescent="0.2">
      <c r="A23" s="2">
        <v>45889</v>
      </c>
      <c r="B23" s="5">
        <v>500000</v>
      </c>
      <c r="C23" s="5">
        <v>1200160</v>
      </c>
      <c r="D23" s="5">
        <v>370400</v>
      </c>
      <c r="E23" s="88">
        <f>+Nomina!E170</f>
        <v>180848</v>
      </c>
      <c r="F23" s="88"/>
      <c r="G23" s="88">
        <f>+Compras!H263</f>
        <v>683939</v>
      </c>
      <c r="H23" s="88"/>
      <c r="I23" s="88">
        <f>+'Otros Pagos'!G11</f>
        <v>307900</v>
      </c>
      <c r="J23" s="88">
        <f t="shared" si="0"/>
        <v>-342927</v>
      </c>
      <c r="K23" s="40"/>
    </row>
    <row r="24" spans="1:11" x14ac:dyDescent="0.2">
      <c r="A24" s="2">
        <v>45890</v>
      </c>
      <c r="B24" s="5">
        <v>500000</v>
      </c>
      <c r="C24" s="5">
        <v>817190</v>
      </c>
      <c r="D24" s="5">
        <v>166030</v>
      </c>
      <c r="E24" s="88">
        <f>+Nomina!E177</f>
        <v>116868</v>
      </c>
      <c r="F24" s="88"/>
      <c r="G24" s="88">
        <f>+Compras!H272</f>
        <v>363730</v>
      </c>
      <c r="H24" s="88"/>
      <c r="I24" s="88"/>
      <c r="J24" s="88">
        <f t="shared" si="0"/>
        <v>170562</v>
      </c>
      <c r="K24" s="108" t="s">
        <v>291</v>
      </c>
    </row>
    <row r="25" spans="1:11" x14ac:dyDescent="0.2">
      <c r="A25" s="2">
        <v>45891</v>
      </c>
      <c r="B25" s="5">
        <v>500000</v>
      </c>
      <c r="C25" s="5">
        <v>1767070</v>
      </c>
      <c r="D25" s="5">
        <v>590060</v>
      </c>
      <c r="E25" s="88">
        <f>+Nomina!E186</f>
        <v>217753</v>
      </c>
      <c r="F25" s="88"/>
      <c r="G25" s="88">
        <f>+Compras!H291</f>
        <v>901742</v>
      </c>
      <c r="H25" s="88"/>
      <c r="I25" s="88"/>
      <c r="J25" s="88">
        <f t="shared" si="0"/>
        <v>57515</v>
      </c>
      <c r="K25" s="40"/>
    </row>
    <row r="26" spans="1:11" x14ac:dyDescent="0.2">
      <c r="A26" s="2">
        <v>45892</v>
      </c>
      <c r="B26" s="5">
        <v>500000</v>
      </c>
      <c r="C26" s="5">
        <v>2116520</v>
      </c>
      <c r="D26" s="5">
        <v>639800</v>
      </c>
      <c r="E26" s="88">
        <f>+Nomina!E194</f>
        <v>188243</v>
      </c>
      <c r="F26" s="88"/>
      <c r="G26" s="88">
        <f>+Compras!H306</f>
        <v>842738</v>
      </c>
      <c r="H26" s="88"/>
      <c r="I26" s="88"/>
      <c r="J26" s="88">
        <f t="shared" si="0"/>
        <v>445739</v>
      </c>
      <c r="K26" s="40"/>
    </row>
    <row r="27" spans="1:11" x14ac:dyDescent="0.2">
      <c r="A27" s="2">
        <v>45893</v>
      </c>
      <c r="B27" s="5">
        <v>500000</v>
      </c>
      <c r="C27" s="5">
        <v>1549130</v>
      </c>
      <c r="D27" s="5">
        <v>389500</v>
      </c>
      <c r="E27" s="89">
        <f>+Nomina!E201</f>
        <v>209378</v>
      </c>
      <c r="F27" s="89"/>
      <c r="G27" s="88">
        <f>+Compras!H315</f>
        <v>444172</v>
      </c>
      <c r="H27" s="88"/>
      <c r="I27" s="88"/>
      <c r="J27" s="88">
        <f t="shared" si="0"/>
        <v>506080</v>
      </c>
      <c r="K27" s="40"/>
    </row>
    <row r="28" spans="1:11" x14ac:dyDescent="0.2">
      <c r="A28" s="2">
        <v>45894</v>
      </c>
      <c r="B28" s="5">
        <v>500000</v>
      </c>
      <c r="C28" s="5">
        <v>977090</v>
      </c>
      <c r="D28" s="5">
        <v>239200</v>
      </c>
      <c r="E28" s="88">
        <f>+Nomina!E207</f>
        <v>152652</v>
      </c>
      <c r="F28" s="88"/>
      <c r="G28" s="90">
        <f>+Compras!H325</f>
        <v>179372</v>
      </c>
      <c r="H28" s="88"/>
      <c r="I28" s="88"/>
      <c r="J28" s="88">
        <f t="shared" si="0"/>
        <v>405866</v>
      </c>
      <c r="K28" s="40"/>
    </row>
    <row r="29" spans="1:11" x14ac:dyDescent="0.2">
      <c r="A29" s="2">
        <v>45895</v>
      </c>
      <c r="B29" s="5">
        <v>500000</v>
      </c>
      <c r="C29" s="5">
        <v>920190</v>
      </c>
      <c r="D29" s="5">
        <v>152400</v>
      </c>
      <c r="E29" s="88">
        <f>+Nomina!E215</f>
        <v>113632</v>
      </c>
      <c r="F29" s="88"/>
      <c r="G29" s="88">
        <f>+Compras!H337</f>
        <v>321228</v>
      </c>
      <c r="H29" s="88"/>
      <c r="I29" s="88"/>
      <c r="J29" s="88">
        <f t="shared" si="0"/>
        <v>332930</v>
      </c>
      <c r="K29" s="40"/>
    </row>
    <row r="30" spans="1:11" x14ac:dyDescent="0.2">
      <c r="A30" s="2">
        <v>45896</v>
      </c>
      <c r="B30" s="5">
        <v>500000</v>
      </c>
      <c r="C30" s="5">
        <v>1196120</v>
      </c>
      <c r="D30" s="5">
        <v>285700</v>
      </c>
      <c r="E30" s="88">
        <f>+Nomina!E223</f>
        <v>246944</v>
      </c>
      <c r="F30" s="88"/>
      <c r="G30" s="88">
        <f>+Compras!H349</f>
        <v>547798</v>
      </c>
      <c r="H30" s="88">
        <f>+Servicios!E4</f>
        <v>135000</v>
      </c>
      <c r="I30" s="88">
        <f>+'Otros Pagos'!G15</f>
        <v>150000</v>
      </c>
      <c r="J30" s="88">
        <f t="shared" si="0"/>
        <v>-169322</v>
      </c>
      <c r="K30" s="40"/>
    </row>
    <row r="31" spans="1:11" x14ac:dyDescent="0.2">
      <c r="A31" s="2">
        <v>45897</v>
      </c>
      <c r="B31" s="5">
        <v>500000</v>
      </c>
      <c r="C31" s="5">
        <v>1110440</v>
      </c>
      <c r="D31" s="5">
        <v>251900</v>
      </c>
      <c r="E31" s="88">
        <f>+Nomina!E230</f>
        <v>154769</v>
      </c>
      <c r="F31" s="88"/>
      <c r="G31" s="88">
        <f>+Compras!H362</f>
        <v>394080</v>
      </c>
      <c r="H31" s="88"/>
      <c r="I31" s="88"/>
      <c r="J31" s="88">
        <f t="shared" si="0"/>
        <v>309691</v>
      </c>
      <c r="K31" s="40"/>
    </row>
    <row r="32" spans="1:11" x14ac:dyDescent="0.2">
      <c r="A32" s="2">
        <v>45898</v>
      </c>
      <c r="B32" s="5">
        <v>500000</v>
      </c>
      <c r="C32" s="5">
        <v>1617130</v>
      </c>
      <c r="D32" s="5">
        <v>407800</v>
      </c>
      <c r="E32" s="88">
        <f>+Nomina!E237</f>
        <v>211086</v>
      </c>
      <c r="F32" s="88"/>
      <c r="G32" s="88">
        <f>+Compras!H377</f>
        <v>962120</v>
      </c>
      <c r="H32" s="88"/>
      <c r="I32" s="88"/>
      <c r="J32" s="88">
        <f t="shared" si="0"/>
        <v>36124</v>
      </c>
      <c r="K32" s="40"/>
    </row>
    <row r="33" spans="1:11" x14ac:dyDescent="0.2">
      <c r="A33" s="2">
        <v>45899</v>
      </c>
      <c r="B33" s="5">
        <v>500000</v>
      </c>
      <c r="C33" s="5">
        <v>2154510</v>
      </c>
      <c r="D33" s="5">
        <v>816700</v>
      </c>
      <c r="E33" s="88">
        <f>+Nomina!E243</f>
        <v>162360</v>
      </c>
      <c r="F33" s="88"/>
      <c r="G33" s="88">
        <f>+Compras!H393</f>
        <v>744612</v>
      </c>
      <c r="H33" s="88"/>
      <c r="I33" s="88"/>
      <c r="J33" s="88">
        <f t="shared" si="0"/>
        <v>430838</v>
      </c>
      <c r="K33" s="40"/>
    </row>
    <row r="34" spans="1:11" x14ac:dyDescent="0.2">
      <c r="A34" s="2">
        <v>45900</v>
      </c>
      <c r="B34" s="5">
        <v>500000</v>
      </c>
      <c r="C34" s="5">
        <v>1812410</v>
      </c>
      <c r="D34" s="5">
        <v>222400</v>
      </c>
      <c r="E34" s="88">
        <f>+Nomina!E252</f>
        <v>778368</v>
      </c>
      <c r="F34" s="88"/>
      <c r="G34" s="88">
        <f>+Compras!H402</f>
        <v>362040</v>
      </c>
      <c r="H34" s="88"/>
      <c r="I34" s="88"/>
      <c r="J34" s="88">
        <f t="shared" si="0"/>
        <v>449602</v>
      </c>
      <c r="K34" s="40"/>
    </row>
    <row r="35" spans="1:11" x14ac:dyDescent="0.2">
      <c r="A35" s="2"/>
      <c r="B35" s="5"/>
      <c r="C35" s="5"/>
      <c r="D35" s="5"/>
      <c r="E35" s="88"/>
      <c r="F35" s="88"/>
      <c r="G35" s="88"/>
      <c r="H35" s="88"/>
      <c r="I35" s="88"/>
      <c r="J35" s="88"/>
      <c r="K35" s="40"/>
    </row>
    <row r="36" spans="1:11" x14ac:dyDescent="0.2">
      <c r="A36" s="25"/>
      <c r="B36" s="26"/>
      <c r="C36" s="26">
        <f t="shared" ref="C36:J36" si="1">SUM(C4:C35)</f>
        <v>51145145</v>
      </c>
      <c r="D36" s="26">
        <f t="shared" si="1"/>
        <v>11882430</v>
      </c>
      <c r="E36" s="26">
        <f t="shared" si="1"/>
        <v>7101166</v>
      </c>
      <c r="F36" s="26">
        <f t="shared" si="1"/>
        <v>0</v>
      </c>
      <c r="G36" s="26">
        <f t="shared" si="1"/>
        <v>18794649</v>
      </c>
      <c r="H36" s="26">
        <f t="shared" si="1"/>
        <v>281650</v>
      </c>
      <c r="I36" s="26">
        <f t="shared" si="1"/>
        <v>607900</v>
      </c>
      <c r="J36" s="26">
        <f t="shared" si="1"/>
        <v>12477350</v>
      </c>
    </row>
    <row r="40" spans="1:11" x14ac:dyDescent="0.2">
      <c r="A40" s="27"/>
      <c r="D40" s="28"/>
      <c r="E40" s="91"/>
      <c r="F40" s="91"/>
      <c r="G40" s="88"/>
      <c r="H40" s="88"/>
      <c r="I40" s="88"/>
      <c r="J40" s="88"/>
    </row>
    <row r="41" spans="1:11" x14ac:dyDescent="0.2">
      <c r="A41" s="27"/>
      <c r="B41" s="32"/>
      <c r="D41" s="28"/>
      <c r="G41" s="88" t="s">
        <v>27</v>
      </c>
      <c r="H41" s="88" t="s">
        <v>18</v>
      </c>
      <c r="I41" s="88">
        <f>+J36+D36-3500000</f>
        <v>20859780</v>
      </c>
      <c r="J41" s="88"/>
    </row>
    <row r="42" spans="1:11" x14ac:dyDescent="0.2">
      <c r="G42" s="88"/>
      <c r="H42" s="88"/>
      <c r="I42" s="88"/>
      <c r="J42" s="88"/>
    </row>
    <row r="43" spans="1:11" x14ac:dyDescent="0.2">
      <c r="G43" s="88"/>
      <c r="H43" s="88"/>
      <c r="I43" s="88"/>
      <c r="J43" s="88"/>
    </row>
  </sheetData>
  <pageMargins left="0.7" right="0.7" top="0.75" bottom="0.75" header="0.3" footer="0.3"/>
  <pageSetup paperSize="9" orientation="portrait" horizontalDpi="4294967292" verticalDpi="4294967292"/>
  <headerFooter>
    <oddHeader>&amp;CCUADRE DIARIO SAN TOMAS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7"/>
  <sheetViews>
    <sheetView topLeftCell="A180" zoomScale="150" zoomScaleNormal="150" zoomScalePageLayoutView="125" workbookViewId="0">
      <selection activeCell="F188" sqref="F188"/>
    </sheetView>
  </sheetViews>
  <sheetFormatPr baseColWidth="10" defaultRowHeight="15" x14ac:dyDescent="0.2"/>
  <cols>
    <col min="1" max="1" width="12.33203125" customWidth="1"/>
    <col min="2" max="2" width="22.6640625" bestFit="1" customWidth="1"/>
    <col min="3" max="3" width="16.83203125" bestFit="1" customWidth="1"/>
    <col min="4" max="4" width="42.33203125" bestFit="1" customWidth="1"/>
    <col min="5" max="5" width="10.5" customWidth="1"/>
    <col min="6" max="6" width="7" bestFit="1" customWidth="1"/>
    <col min="7" max="7" width="7.33203125" bestFit="1" customWidth="1"/>
    <col min="8" max="8" width="5.33203125" bestFit="1" customWidth="1"/>
    <col min="9" max="9" width="4.33203125" bestFit="1" customWidth="1"/>
    <col min="10" max="10" width="6.5" bestFit="1" customWidth="1"/>
    <col min="11" max="11" width="6.6640625" bestFit="1" customWidth="1"/>
    <col min="12" max="12" width="5.6640625" bestFit="1" customWidth="1"/>
    <col min="13" max="13" width="7" bestFit="1" customWidth="1"/>
  </cols>
  <sheetData>
    <row r="1" spans="1:13" x14ac:dyDescent="0.2">
      <c r="A1" s="6" t="s">
        <v>0</v>
      </c>
      <c r="B1" s="6" t="s">
        <v>1</v>
      </c>
      <c r="C1" s="6" t="s">
        <v>7</v>
      </c>
      <c r="D1" s="6" t="s">
        <v>15</v>
      </c>
      <c r="E1" s="6" t="s">
        <v>2</v>
      </c>
      <c r="F1" s="109" t="s">
        <v>145</v>
      </c>
      <c r="G1" s="109" t="s">
        <v>146</v>
      </c>
      <c r="H1" s="109" t="s">
        <v>147</v>
      </c>
      <c r="I1" s="109" t="s">
        <v>148</v>
      </c>
      <c r="J1" s="109" t="s">
        <v>48</v>
      </c>
      <c r="K1" s="109" t="s">
        <v>112</v>
      </c>
      <c r="L1" s="109" t="s">
        <v>149</v>
      </c>
      <c r="M1" s="109" t="s">
        <v>150</v>
      </c>
    </row>
    <row r="2" spans="1:13" x14ac:dyDescent="0.2">
      <c r="A2" s="2"/>
      <c r="B2" s="3"/>
      <c r="C2" s="5" t="s">
        <v>18</v>
      </c>
      <c r="D2" s="1" t="s">
        <v>18</v>
      </c>
      <c r="E2" s="5"/>
    </row>
    <row r="3" spans="1:13" x14ac:dyDescent="0.2">
      <c r="A3" s="2">
        <v>45870</v>
      </c>
      <c r="B3" s="1" t="s">
        <v>40</v>
      </c>
      <c r="C3" s="5"/>
      <c r="D3" s="1" t="s">
        <v>41</v>
      </c>
      <c r="E3" s="5">
        <v>42256</v>
      </c>
      <c r="K3">
        <v>5.5</v>
      </c>
    </row>
    <row r="4" spans="1:13" x14ac:dyDescent="0.2">
      <c r="A4" s="2"/>
      <c r="B4" s="1" t="s">
        <v>42</v>
      </c>
      <c r="C4" s="5"/>
      <c r="D4" s="1" t="s">
        <v>43</v>
      </c>
      <c r="E4" s="5">
        <v>48727</v>
      </c>
      <c r="L4">
        <v>6.5</v>
      </c>
    </row>
    <row r="5" spans="1:13" x14ac:dyDescent="0.2">
      <c r="A5" s="2"/>
      <c r="B5" s="1" t="s">
        <v>44</v>
      </c>
      <c r="C5" s="5"/>
      <c r="D5" s="1" t="s">
        <v>45</v>
      </c>
      <c r="E5" s="5">
        <v>51963</v>
      </c>
      <c r="F5">
        <v>7</v>
      </c>
    </row>
    <row r="6" spans="1:13" x14ac:dyDescent="0.2">
      <c r="A6" s="2"/>
      <c r="B6" s="1" t="s">
        <v>46</v>
      </c>
      <c r="C6" s="5"/>
      <c r="D6" s="1" t="s">
        <v>47</v>
      </c>
      <c r="E6" s="5">
        <v>48727</v>
      </c>
      <c r="J6">
        <v>6.5</v>
      </c>
    </row>
    <row r="7" spans="1:13" x14ac:dyDescent="0.2">
      <c r="A7" s="2"/>
      <c r="B7" s="3" t="s">
        <v>51</v>
      </c>
      <c r="C7" s="5"/>
      <c r="D7" s="1" t="s">
        <v>52</v>
      </c>
      <c r="E7" s="5">
        <v>45492</v>
      </c>
    </row>
    <row r="8" spans="1:13" x14ac:dyDescent="0.2">
      <c r="A8" s="2"/>
      <c r="B8" s="3" t="s">
        <v>59</v>
      </c>
      <c r="C8" s="5"/>
      <c r="D8" s="1" t="s">
        <v>60</v>
      </c>
      <c r="E8" s="5">
        <v>70666</v>
      </c>
    </row>
    <row r="9" spans="1:13" x14ac:dyDescent="0.2">
      <c r="A9" s="2"/>
      <c r="B9" s="3"/>
      <c r="C9" s="5"/>
      <c r="D9" s="1"/>
      <c r="E9" s="5"/>
    </row>
    <row r="10" spans="1:13" x14ac:dyDescent="0.2">
      <c r="A10" s="2"/>
      <c r="B10" s="3"/>
      <c r="C10" s="5"/>
      <c r="D10" s="1"/>
      <c r="E10" s="5"/>
    </row>
    <row r="11" spans="1:13" x14ac:dyDescent="0.2">
      <c r="A11" s="2"/>
      <c r="B11" s="14"/>
      <c r="C11" s="24"/>
      <c r="D11" s="1"/>
      <c r="E11" s="5"/>
    </row>
    <row r="12" spans="1:13" x14ac:dyDescent="0.2">
      <c r="A12" s="113" t="s">
        <v>72</v>
      </c>
      <c r="B12" s="114"/>
      <c r="C12" s="114"/>
      <c r="D12" s="115"/>
      <c r="E12" s="10">
        <f>SUM(E3:E11)</f>
        <v>307831</v>
      </c>
    </row>
    <row r="13" spans="1:13" x14ac:dyDescent="0.2">
      <c r="A13" s="2"/>
      <c r="B13" s="1"/>
      <c r="C13" s="5"/>
      <c r="D13" s="1"/>
      <c r="E13" s="5"/>
    </row>
    <row r="14" spans="1:13" x14ac:dyDescent="0.2">
      <c r="A14" s="2">
        <v>45871</v>
      </c>
      <c r="B14" s="1" t="s">
        <v>42</v>
      </c>
      <c r="C14" s="5"/>
      <c r="D14" s="1" t="s">
        <v>74</v>
      </c>
      <c r="E14" s="5">
        <v>74611</v>
      </c>
      <c r="L14">
        <v>10.5</v>
      </c>
    </row>
    <row r="15" spans="1:13" x14ac:dyDescent="0.2">
      <c r="A15" s="2"/>
      <c r="B15" s="1" t="s">
        <v>44</v>
      </c>
      <c r="C15" s="5"/>
      <c r="D15" s="1" t="s">
        <v>75</v>
      </c>
      <c r="E15" s="5">
        <v>45492</v>
      </c>
      <c r="F15">
        <v>6</v>
      </c>
    </row>
    <row r="16" spans="1:13" x14ac:dyDescent="0.2">
      <c r="A16" s="2"/>
      <c r="B16" s="1" t="s">
        <v>46</v>
      </c>
      <c r="C16" s="5"/>
      <c r="D16" s="1" t="s">
        <v>73</v>
      </c>
      <c r="E16" s="5">
        <v>51963</v>
      </c>
      <c r="J16">
        <v>7</v>
      </c>
    </row>
    <row r="17" spans="1:12" x14ac:dyDescent="0.2">
      <c r="A17" s="2"/>
      <c r="B17" s="3" t="s">
        <v>51</v>
      </c>
      <c r="C17" s="5"/>
      <c r="D17" s="1" t="s">
        <v>77</v>
      </c>
      <c r="E17" s="5">
        <v>32550</v>
      </c>
    </row>
    <row r="18" spans="1:12" x14ac:dyDescent="0.2">
      <c r="A18" s="2"/>
      <c r="B18" s="1" t="s">
        <v>59</v>
      </c>
      <c r="C18" s="5"/>
      <c r="D18" s="1" t="s">
        <v>76</v>
      </c>
      <c r="E18" s="5">
        <v>78666</v>
      </c>
    </row>
    <row r="19" spans="1:12" x14ac:dyDescent="0.2">
      <c r="A19" s="2"/>
      <c r="B19" s="14"/>
      <c r="C19" s="24"/>
      <c r="D19" s="1"/>
      <c r="E19" s="5"/>
    </row>
    <row r="20" spans="1:12" x14ac:dyDescent="0.2">
      <c r="A20" s="75"/>
      <c r="B20" s="76"/>
      <c r="C20" s="77"/>
      <c r="D20" s="1"/>
      <c r="E20" s="5"/>
    </row>
    <row r="21" spans="1:12" x14ac:dyDescent="0.2">
      <c r="A21" s="75"/>
      <c r="B21" s="76"/>
      <c r="C21" s="77"/>
      <c r="D21" s="78"/>
      <c r="E21" s="5"/>
    </row>
    <row r="22" spans="1:12" x14ac:dyDescent="0.2">
      <c r="A22" s="113" t="s">
        <v>90</v>
      </c>
      <c r="B22" s="114"/>
      <c r="C22" s="114"/>
      <c r="D22" s="115"/>
      <c r="E22" s="10">
        <f>SUM(E14:E21)</f>
        <v>283282</v>
      </c>
    </row>
    <row r="23" spans="1:12" x14ac:dyDescent="0.2">
      <c r="A23" s="2"/>
      <c r="B23" s="1"/>
      <c r="C23" s="5"/>
      <c r="D23" s="1"/>
      <c r="E23" s="5"/>
    </row>
    <row r="24" spans="1:12" x14ac:dyDescent="0.2">
      <c r="A24" s="2">
        <v>45872</v>
      </c>
      <c r="B24" s="1" t="s">
        <v>42</v>
      </c>
      <c r="C24" s="5"/>
      <c r="D24" s="1" t="s">
        <v>45</v>
      </c>
      <c r="E24" s="5">
        <v>84646</v>
      </c>
      <c r="L24" s="98">
        <v>7</v>
      </c>
    </row>
    <row r="25" spans="1:12" x14ac:dyDescent="0.2">
      <c r="A25" s="2"/>
      <c r="B25" s="1" t="s">
        <v>44</v>
      </c>
      <c r="C25" s="5"/>
      <c r="D25" s="1" t="s">
        <v>99</v>
      </c>
      <c r="E25" s="5">
        <v>84646</v>
      </c>
      <c r="F25" s="98">
        <v>7</v>
      </c>
    </row>
    <row r="26" spans="1:12" x14ac:dyDescent="0.2">
      <c r="A26" s="2"/>
      <c r="B26" s="1" t="s">
        <v>46</v>
      </c>
      <c r="C26" s="5"/>
      <c r="D26" s="1" t="s">
        <v>100</v>
      </c>
      <c r="E26" s="5">
        <v>73506</v>
      </c>
      <c r="J26" s="98">
        <v>6</v>
      </c>
    </row>
    <row r="27" spans="1:12" x14ac:dyDescent="0.2">
      <c r="A27" s="2"/>
      <c r="B27" s="1"/>
      <c r="C27" s="5"/>
      <c r="D27" s="1"/>
      <c r="E27" s="5"/>
    </row>
    <row r="28" spans="1:12" x14ac:dyDescent="0.2">
      <c r="A28" s="2"/>
      <c r="B28" s="1"/>
      <c r="C28" s="5"/>
      <c r="D28" s="1"/>
      <c r="E28" s="5"/>
    </row>
    <row r="29" spans="1:12" x14ac:dyDescent="0.2">
      <c r="A29" s="75"/>
      <c r="B29" s="14"/>
      <c r="C29" s="24"/>
      <c r="D29" s="1"/>
      <c r="E29" s="5"/>
    </row>
    <row r="30" spans="1:12" x14ac:dyDescent="0.2">
      <c r="A30" s="75"/>
      <c r="B30" s="44"/>
      <c r="C30" s="64"/>
      <c r="D30" s="78"/>
      <c r="E30" s="5"/>
    </row>
    <row r="31" spans="1:12" x14ac:dyDescent="0.2">
      <c r="A31" s="113" t="s">
        <v>101</v>
      </c>
      <c r="B31" s="114"/>
      <c r="C31" s="114"/>
      <c r="D31" s="115"/>
      <c r="E31" s="10">
        <f>SUM(E24:E30)</f>
        <v>242798</v>
      </c>
    </row>
    <row r="32" spans="1:12" x14ac:dyDescent="0.2">
      <c r="A32" s="2"/>
      <c r="B32" s="1"/>
      <c r="C32" s="5"/>
      <c r="D32" s="1"/>
      <c r="E32" s="5"/>
    </row>
    <row r="33" spans="1:12" x14ac:dyDescent="0.2">
      <c r="A33" s="2">
        <v>45873</v>
      </c>
      <c r="B33" s="1" t="s">
        <v>44</v>
      </c>
      <c r="C33" s="5"/>
      <c r="D33" s="1" t="s">
        <v>111</v>
      </c>
      <c r="E33" s="5">
        <v>61700</v>
      </c>
      <c r="F33">
        <v>8.5</v>
      </c>
    </row>
    <row r="34" spans="1:12" x14ac:dyDescent="0.2">
      <c r="A34" s="2"/>
      <c r="B34" s="1" t="s">
        <v>46</v>
      </c>
      <c r="C34" s="5"/>
      <c r="D34" s="1" t="s">
        <v>114</v>
      </c>
      <c r="E34" s="5">
        <v>51963</v>
      </c>
      <c r="J34">
        <v>7</v>
      </c>
    </row>
    <row r="35" spans="1:12" x14ac:dyDescent="0.2">
      <c r="A35" s="2"/>
      <c r="B35" s="1" t="s">
        <v>112</v>
      </c>
      <c r="C35" s="5"/>
      <c r="D35" s="1" t="s">
        <v>113</v>
      </c>
      <c r="E35" s="5">
        <v>35785</v>
      </c>
      <c r="K35">
        <v>4.5</v>
      </c>
    </row>
    <row r="36" spans="1:12" x14ac:dyDescent="0.2">
      <c r="A36" s="2"/>
      <c r="B36" s="1"/>
      <c r="C36" s="5"/>
      <c r="D36" s="1"/>
      <c r="E36" s="5"/>
    </row>
    <row r="37" spans="1:12" x14ac:dyDescent="0.2">
      <c r="A37" s="2"/>
      <c r="B37" s="14"/>
      <c r="C37" s="24"/>
      <c r="D37" s="1"/>
      <c r="E37" s="5"/>
    </row>
    <row r="38" spans="1:12" x14ac:dyDescent="0.2">
      <c r="A38" s="75"/>
      <c r="B38" s="1"/>
      <c r="C38" s="5"/>
      <c r="D38" s="1"/>
      <c r="E38" s="5"/>
    </row>
    <row r="39" spans="1:12" x14ac:dyDescent="0.2">
      <c r="A39" s="75"/>
      <c r="B39" s="76"/>
      <c r="C39" s="77"/>
      <c r="D39" s="78"/>
      <c r="E39" s="5"/>
    </row>
    <row r="40" spans="1:12" x14ac:dyDescent="0.2">
      <c r="A40" s="113" t="s">
        <v>118</v>
      </c>
      <c r="B40" s="114"/>
      <c r="C40" s="114"/>
      <c r="D40" s="115"/>
      <c r="E40" s="10">
        <f>SUM(E33:E39)</f>
        <v>149448</v>
      </c>
    </row>
    <row r="41" spans="1:12" x14ac:dyDescent="0.2">
      <c r="A41" s="2"/>
      <c r="B41" s="1"/>
      <c r="C41" s="5"/>
      <c r="D41" s="1"/>
      <c r="E41" s="5"/>
    </row>
    <row r="42" spans="1:12" x14ac:dyDescent="0.2">
      <c r="A42" s="2">
        <v>45874</v>
      </c>
      <c r="B42" s="1" t="s">
        <v>44</v>
      </c>
      <c r="C42" s="24"/>
      <c r="D42" s="1" t="s">
        <v>124</v>
      </c>
      <c r="E42" s="5">
        <v>42256</v>
      </c>
      <c r="F42">
        <v>5</v>
      </c>
    </row>
    <row r="43" spans="1:12" x14ac:dyDescent="0.2">
      <c r="A43" s="2"/>
      <c r="B43" s="1" t="s">
        <v>46</v>
      </c>
      <c r="C43" s="5"/>
      <c r="D43" s="1" t="s">
        <v>129</v>
      </c>
      <c r="E43" s="5">
        <v>45168</v>
      </c>
      <c r="J43">
        <v>6</v>
      </c>
    </row>
    <row r="44" spans="1:12" x14ac:dyDescent="0.2">
      <c r="A44" s="2"/>
      <c r="B44" s="1" t="s">
        <v>42</v>
      </c>
      <c r="C44" s="5"/>
      <c r="D44" s="1" t="s">
        <v>123</v>
      </c>
      <c r="E44" s="5">
        <v>48727</v>
      </c>
      <c r="L44">
        <v>6.5</v>
      </c>
    </row>
    <row r="45" spans="1:12" x14ac:dyDescent="0.2">
      <c r="A45" s="75"/>
      <c r="B45" s="14" t="s">
        <v>59</v>
      </c>
      <c r="C45" s="24"/>
      <c r="D45" s="1" t="s">
        <v>60</v>
      </c>
      <c r="E45" s="5">
        <v>57332</v>
      </c>
    </row>
    <row r="46" spans="1:12" x14ac:dyDescent="0.2">
      <c r="A46" s="75"/>
      <c r="B46" s="76"/>
      <c r="C46" s="77"/>
      <c r="D46" s="78"/>
      <c r="E46" s="5"/>
    </row>
    <row r="47" spans="1:12" x14ac:dyDescent="0.2">
      <c r="A47" s="113" t="s">
        <v>132</v>
      </c>
      <c r="B47" s="114"/>
      <c r="C47" s="114"/>
      <c r="D47" s="115"/>
      <c r="E47" s="10">
        <f>SUM(E42:E46)</f>
        <v>193483</v>
      </c>
    </row>
    <row r="48" spans="1:12" x14ac:dyDescent="0.2">
      <c r="A48" s="2"/>
      <c r="B48" s="1"/>
      <c r="C48" s="5"/>
      <c r="D48" s="1"/>
      <c r="E48" s="5"/>
    </row>
    <row r="49" spans="1:12" x14ac:dyDescent="0.2">
      <c r="A49" s="2" t="s">
        <v>133</v>
      </c>
      <c r="B49" s="1" t="s">
        <v>44</v>
      </c>
      <c r="C49" s="5"/>
      <c r="D49" s="1" t="s">
        <v>100</v>
      </c>
      <c r="E49" s="5">
        <v>45492</v>
      </c>
      <c r="F49">
        <v>6</v>
      </c>
    </row>
    <row r="50" spans="1:12" x14ac:dyDescent="0.2">
      <c r="A50" s="2"/>
      <c r="B50" s="1" t="s">
        <v>46</v>
      </c>
      <c r="C50" s="5"/>
      <c r="D50" s="1" t="s">
        <v>129</v>
      </c>
      <c r="E50" s="5">
        <v>45492</v>
      </c>
      <c r="J50">
        <v>6</v>
      </c>
    </row>
    <row r="51" spans="1:12" x14ac:dyDescent="0.2">
      <c r="A51" s="2"/>
      <c r="B51" s="14" t="s">
        <v>59</v>
      </c>
      <c r="C51" s="24"/>
      <c r="D51" s="1" t="s">
        <v>60</v>
      </c>
      <c r="E51" s="5">
        <v>30666</v>
      </c>
    </row>
    <row r="52" spans="1:12" x14ac:dyDescent="0.2">
      <c r="A52" s="2"/>
      <c r="B52" s="14" t="s">
        <v>40</v>
      </c>
      <c r="C52" s="24"/>
      <c r="D52" s="1" t="s">
        <v>134</v>
      </c>
      <c r="E52" s="5">
        <v>32550</v>
      </c>
      <c r="K52">
        <v>4</v>
      </c>
    </row>
    <row r="53" spans="1:12" x14ac:dyDescent="0.2">
      <c r="A53" s="2"/>
      <c r="B53" s="14" t="s">
        <v>51</v>
      </c>
      <c r="C53" s="24"/>
      <c r="D53" s="1" t="s">
        <v>135</v>
      </c>
      <c r="E53" s="5">
        <v>35785</v>
      </c>
    </row>
    <row r="54" spans="1:12" x14ac:dyDescent="0.2">
      <c r="A54" s="2"/>
      <c r="B54" s="3"/>
      <c r="C54" s="5"/>
      <c r="D54" s="1"/>
      <c r="E54" s="5"/>
    </row>
    <row r="55" spans="1:12" x14ac:dyDescent="0.2">
      <c r="A55" s="113" t="s">
        <v>144</v>
      </c>
      <c r="B55" s="114"/>
      <c r="C55" s="114"/>
      <c r="D55" s="115"/>
      <c r="E55" s="10">
        <f>SUM(E49:E54)</f>
        <v>189985</v>
      </c>
    </row>
    <row r="56" spans="1:12" x14ac:dyDescent="0.2">
      <c r="A56" s="2"/>
      <c r="B56" s="1"/>
      <c r="C56" s="5"/>
      <c r="D56" s="1"/>
      <c r="E56" s="5"/>
    </row>
    <row r="57" spans="1:12" x14ac:dyDescent="0.2">
      <c r="A57" s="2">
        <v>45876</v>
      </c>
      <c r="B57" s="1" t="s">
        <v>42</v>
      </c>
      <c r="C57" s="5"/>
      <c r="D57" s="1" t="s">
        <v>154</v>
      </c>
      <c r="E57" s="5">
        <v>90216</v>
      </c>
      <c r="L57" s="98">
        <v>7.5</v>
      </c>
    </row>
    <row r="58" spans="1:12" x14ac:dyDescent="0.2">
      <c r="A58" s="2"/>
      <c r="B58" s="1" t="s">
        <v>44</v>
      </c>
      <c r="C58" s="5"/>
      <c r="D58" s="1" t="s">
        <v>155</v>
      </c>
      <c r="E58" s="5">
        <v>106926</v>
      </c>
      <c r="F58" s="98">
        <v>9</v>
      </c>
    </row>
    <row r="59" spans="1:12" x14ac:dyDescent="0.2">
      <c r="A59" s="2"/>
      <c r="B59" s="1" t="s">
        <v>51</v>
      </c>
      <c r="C59" s="5"/>
      <c r="D59" s="1" t="s">
        <v>156</v>
      </c>
      <c r="E59" s="5">
        <v>56796</v>
      </c>
    </row>
    <row r="60" spans="1:12" x14ac:dyDescent="0.2">
      <c r="A60" s="2"/>
      <c r="B60" s="1"/>
      <c r="C60" s="5"/>
      <c r="D60" s="1"/>
      <c r="E60" s="5"/>
    </row>
    <row r="61" spans="1:12" x14ac:dyDescent="0.2">
      <c r="A61" s="75"/>
      <c r="B61" s="76"/>
      <c r="C61" s="77"/>
      <c r="D61" s="78"/>
      <c r="E61" s="5"/>
    </row>
    <row r="62" spans="1:12" x14ac:dyDescent="0.2">
      <c r="A62" s="113" t="s">
        <v>161</v>
      </c>
      <c r="B62" s="114"/>
      <c r="C62" s="114"/>
      <c r="D62" s="115"/>
      <c r="E62" s="10">
        <f>SUM(E57:E61)</f>
        <v>253938</v>
      </c>
    </row>
    <row r="63" spans="1:12" x14ac:dyDescent="0.2">
      <c r="A63" s="2"/>
      <c r="B63" s="1"/>
      <c r="C63" s="5"/>
      <c r="D63" s="1"/>
      <c r="E63" s="5"/>
    </row>
    <row r="64" spans="1:12" x14ac:dyDescent="0.2">
      <c r="A64" s="2">
        <v>45877</v>
      </c>
      <c r="B64" s="1" t="s">
        <v>42</v>
      </c>
      <c r="C64" s="5"/>
      <c r="D64" s="1" t="s">
        <v>111</v>
      </c>
      <c r="E64" s="5">
        <v>61669</v>
      </c>
      <c r="L64">
        <v>8.5</v>
      </c>
    </row>
    <row r="65" spans="1:12" x14ac:dyDescent="0.2">
      <c r="A65" s="2"/>
      <c r="B65" s="1" t="s">
        <v>44</v>
      </c>
      <c r="C65" s="24"/>
      <c r="D65" s="1" t="s">
        <v>167</v>
      </c>
      <c r="E65" s="5">
        <v>58434</v>
      </c>
      <c r="F65">
        <v>7</v>
      </c>
    </row>
    <row r="66" spans="1:12" x14ac:dyDescent="0.2">
      <c r="A66" s="2"/>
      <c r="B66" s="1" t="s">
        <v>40</v>
      </c>
      <c r="C66" s="5"/>
      <c r="D66" s="1" t="s">
        <v>166</v>
      </c>
      <c r="E66" s="5">
        <v>39021</v>
      </c>
      <c r="K66">
        <v>5</v>
      </c>
    </row>
    <row r="67" spans="1:12" x14ac:dyDescent="0.2">
      <c r="A67" s="2"/>
      <c r="B67" s="14" t="s">
        <v>46</v>
      </c>
      <c r="C67" s="24"/>
      <c r="D67" s="1" t="s">
        <v>114</v>
      </c>
      <c r="E67" s="5">
        <v>51963</v>
      </c>
      <c r="J67">
        <v>7</v>
      </c>
    </row>
    <row r="68" spans="1:12" x14ac:dyDescent="0.2">
      <c r="A68" s="2"/>
      <c r="B68" s="3"/>
      <c r="C68" s="5"/>
      <c r="D68" s="1"/>
      <c r="E68" s="5"/>
    </row>
    <row r="69" spans="1:12" x14ac:dyDescent="0.2">
      <c r="A69" s="113" t="s">
        <v>176</v>
      </c>
      <c r="B69" s="114"/>
      <c r="C69" s="114"/>
      <c r="D69" s="115"/>
      <c r="E69" s="10">
        <f>SUM(E64:E68)</f>
        <v>211087</v>
      </c>
    </row>
    <row r="70" spans="1:12" ht="14.25" customHeight="1" x14ac:dyDescent="0.2">
      <c r="A70" s="2"/>
      <c r="B70" s="1"/>
      <c r="C70" s="5"/>
      <c r="D70" s="1"/>
      <c r="E70" s="5"/>
    </row>
    <row r="71" spans="1:12" ht="14.25" customHeight="1" x14ac:dyDescent="0.2">
      <c r="A71" s="2">
        <v>45878</v>
      </c>
      <c r="B71" s="1" t="s">
        <v>42</v>
      </c>
      <c r="C71" s="24"/>
      <c r="D71" s="1" t="s">
        <v>75</v>
      </c>
      <c r="E71" s="5">
        <v>45492</v>
      </c>
      <c r="L71">
        <v>6</v>
      </c>
    </row>
    <row r="72" spans="1:12" ht="14.25" customHeight="1" x14ac:dyDescent="0.2">
      <c r="A72" s="2"/>
      <c r="B72" s="1" t="s">
        <v>44</v>
      </c>
      <c r="C72" s="5"/>
      <c r="D72" s="1" t="s">
        <v>183</v>
      </c>
      <c r="E72" s="5">
        <v>61669</v>
      </c>
      <c r="F72">
        <v>8.5</v>
      </c>
    </row>
    <row r="73" spans="1:12" ht="14.25" customHeight="1" x14ac:dyDescent="0.2">
      <c r="A73" s="2"/>
      <c r="B73" s="1" t="s">
        <v>59</v>
      </c>
      <c r="C73" s="24"/>
      <c r="D73" s="1" t="s">
        <v>60</v>
      </c>
      <c r="E73" s="5">
        <v>65332</v>
      </c>
    </row>
    <row r="74" spans="1:12" ht="14.25" customHeight="1" x14ac:dyDescent="0.2">
      <c r="A74" s="2"/>
      <c r="B74" s="14" t="s">
        <v>46</v>
      </c>
      <c r="C74" s="5"/>
      <c r="D74" s="1" t="s">
        <v>184</v>
      </c>
      <c r="E74" s="5">
        <v>58434</v>
      </c>
      <c r="J74">
        <v>8</v>
      </c>
    </row>
    <row r="75" spans="1:12" ht="14.25" customHeight="1" x14ac:dyDescent="0.2">
      <c r="A75" s="75"/>
      <c r="B75" s="94"/>
      <c r="C75" s="77"/>
      <c r="D75" s="78"/>
      <c r="E75" s="5"/>
    </row>
    <row r="76" spans="1:12" ht="14.25" customHeight="1" x14ac:dyDescent="0.2">
      <c r="A76" s="113" t="s">
        <v>182</v>
      </c>
      <c r="B76" s="114"/>
      <c r="C76" s="114"/>
      <c r="D76" s="115"/>
      <c r="E76" s="10">
        <f>SUM(E71:E75)</f>
        <v>230927</v>
      </c>
    </row>
    <row r="77" spans="1:12" ht="14.25" customHeight="1" x14ac:dyDescent="0.2">
      <c r="A77" s="2"/>
      <c r="B77" s="1"/>
      <c r="C77" s="5"/>
      <c r="D77" s="1"/>
      <c r="E77" s="5"/>
    </row>
    <row r="78" spans="1:12" ht="14.25" customHeight="1" x14ac:dyDescent="0.2">
      <c r="A78" s="2">
        <v>45879</v>
      </c>
      <c r="B78" s="1" t="s">
        <v>42</v>
      </c>
      <c r="C78" s="5"/>
      <c r="D78" s="1" t="s">
        <v>193</v>
      </c>
      <c r="E78" s="5">
        <v>90216</v>
      </c>
      <c r="L78" s="98">
        <v>7.5</v>
      </c>
    </row>
    <row r="79" spans="1:12" ht="14.25" customHeight="1" x14ac:dyDescent="0.2">
      <c r="A79" s="2"/>
      <c r="B79" s="1" t="s">
        <v>44</v>
      </c>
      <c r="C79" s="5"/>
      <c r="D79" s="1" t="s">
        <v>154</v>
      </c>
      <c r="E79" s="5">
        <v>90202</v>
      </c>
      <c r="F79" s="98">
        <v>7.5</v>
      </c>
    </row>
    <row r="80" spans="1:12" ht="14.25" customHeight="1" x14ac:dyDescent="0.2">
      <c r="A80" s="2"/>
      <c r="B80" s="14" t="s">
        <v>46</v>
      </c>
      <c r="C80" s="5"/>
      <c r="D80" s="1" t="s">
        <v>124</v>
      </c>
      <c r="E80" s="5">
        <v>67936</v>
      </c>
      <c r="J80" s="98">
        <v>5.5</v>
      </c>
    </row>
    <row r="81" spans="1:12" ht="14.25" customHeight="1" x14ac:dyDescent="0.2">
      <c r="A81" s="2"/>
      <c r="B81" s="1"/>
      <c r="C81" s="5"/>
      <c r="D81" s="1"/>
      <c r="E81" s="5"/>
    </row>
    <row r="82" spans="1:12" ht="14.25" customHeight="1" x14ac:dyDescent="0.2">
      <c r="A82" s="75"/>
      <c r="B82" s="14"/>
      <c r="C82" s="24"/>
      <c r="D82" s="1"/>
      <c r="E82" s="5"/>
    </row>
    <row r="83" spans="1:12" ht="14.25" customHeight="1" x14ac:dyDescent="0.2">
      <c r="A83" s="75"/>
      <c r="B83" s="94"/>
      <c r="C83" s="77"/>
      <c r="D83" s="78"/>
      <c r="E83" s="5"/>
    </row>
    <row r="84" spans="1:12" ht="14.25" customHeight="1" x14ac:dyDescent="0.2">
      <c r="A84" s="113" t="s">
        <v>198</v>
      </c>
      <c r="B84" s="114"/>
      <c r="C84" s="114"/>
      <c r="D84" s="115"/>
      <c r="E84" s="10">
        <f>SUM(E78:E83)</f>
        <v>248354</v>
      </c>
    </row>
    <row r="85" spans="1:12" ht="14.25" customHeight="1" x14ac:dyDescent="0.2">
      <c r="A85" s="2"/>
      <c r="B85" s="1"/>
      <c r="C85" s="5"/>
      <c r="D85" s="1"/>
      <c r="E85" s="5"/>
    </row>
    <row r="86" spans="1:12" ht="14.25" customHeight="1" x14ac:dyDescent="0.2">
      <c r="A86" s="2">
        <v>45880</v>
      </c>
      <c r="B86" s="1" t="s">
        <v>42</v>
      </c>
      <c r="C86" s="5"/>
      <c r="D86" s="1" t="s">
        <v>111</v>
      </c>
      <c r="E86" s="5">
        <v>61669</v>
      </c>
      <c r="L86">
        <v>8.5</v>
      </c>
    </row>
    <row r="87" spans="1:12" ht="14.25" customHeight="1" x14ac:dyDescent="0.2">
      <c r="A87" s="2"/>
      <c r="B87" s="1" t="s">
        <v>51</v>
      </c>
      <c r="C87" s="5"/>
      <c r="D87" s="1" t="s">
        <v>202</v>
      </c>
      <c r="E87" s="5">
        <v>35785</v>
      </c>
    </row>
    <row r="88" spans="1:12" ht="14.25" customHeight="1" x14ac:dyDescent="0.2">
      <c r="A88" s="2"/>
      <c r="B88" s="1" t="s">
        <v>40</v>
      </c>
      <c r="C88" s="5"/>
      <c r="D88" s="1" t="s">
        <v>113</v>
      </c>
      <c r="E88" s="5">
        <v>35785</v>
      </c>
      <c r="K88">
        <v>4.5</v>
      </c>
    </row>
    <row r="89" spans="1:12" ht="14.25" customHeight="1" x14ac:dyDescent="0.2">
      <c r="A89" s="2"/>
      <c r="B89" s="14" t="s">
        <v>46</v>
      </c>
      <c r="C89" s="5"/>
      <c r="D89" s="1" t="s">
        <v>114</v>
      </c>
      <c r="E89" s="5">
        <v>51963</v>
      </c>
      <c r="J89">
        <v>7</v>
      </c>
    </row>
    <row r="90" spans="1:12" ht="14.25" customHeight="1" x14ac:dyDescent="0.2">
      <c r="A90" s="2"/>
      <c r="B90" s="1"/>
      <c r="C90" s="5"/>
      <c r="D90" s="1"/>
      <c r="E90" s="5"/>
    </row>
    <row r="91" spans="1:12" ht="14.25" customHeight="1" x14ac:dyDescent="0.2">
      <c r="A91" s="75"/>
      <c r="B91" s="14"/>
      <c r="C91" s="24"/>
      <c r="D91" s="1"/>
      <c r="E91" s="5"/>
    </row>
    <row r="92" spans="1:12" ht="14.25" customHeight="1" x14ac:dyDescent="0.2">
      <c r="A92" s="75"/>
      <c r="B92" s="94"/>
      <c r="C92" s="77"/>
      <c r="D92" s="78"/>
      <c r="E92" s="5"/>
    </row>
    <row r="93" spans="1:12" ht="14.25" customHeight="1" x14ac:dyDescent="0.2">
      <c r="A93" s="113" t="s">
        <v>205</v>
      </c>
      <c r="B93" s="114"/>
      <c r="C93" s="114"/>
      <c r="D93" s="115"/>
      <c r="E93" s="10">
        <f>SUM(E86:E92)</f>
        <v>185202</v>
      </c>
    </row>
    <row r="94" spans="1:12" ht="14.25" customHeight="1" x14ac:dyDescent="0.2">
      <c r="A94" s="2"/>
      <c r="B94" s="1"/>
      <c r="C94" s="5"/>
      <c r="D94" s="1"/>
      <c r="E94" s="5"/>
    </row>
    <row r="95" spans="1:12" ht="14.25" customHeight="1" x14ac:dyDescent="0.2">
      <c r="A95" s="2">
        <v>45881</v>
      </c>
      <c r="B95" s="1" t="s">
        <v>42</v>
      </c>
      <c r="C95" s="5"/>
      <c r="D95" s="1" t="s">
        <v>123</v>
      </c>
      <c r="E95" s="5">
        <v>48727</v>
      </c>
      <c r="L95">
        <v>6.5</v>
      </c>
    </row>
    <row r="96" spans="1:12" ht="14.25" customHeight="1" x14ac:dyDescent="0.2">
      <c r="A96" s="2"/>
      <c r="B96" s="1" t="s">
        <v>51</v>
      </c>
      <c r="C96" s="24"/>
      <c r="D96" s="1" t="s">
        <v>202</v>
      </c>
      <c r="E96" s="5">
        <v>35785</v>
      </c>
    </row>
    <row r="97" spans="1:12" ht="14.25" customHeight="1" x14ac:dyDescent="0.2">
      <c r="A97" s="75"/>
      <c r="B97" s="1" t="s">
        <v>212</v>
      </c>
      <c r="C97" s="24"/>
      <c r="D97" s="1" t="s">
        <v>213</v>
      </c>
      <c r="E97" s="5">
        <v>68140</v>
      </c>
      <c r="F97">
        <v>9.5</v>
      </c>
    </row>
    <row r="98" spans="1:12" ht="14.25" customHeight="1" x14ac:dyDescent="0.2">
      <c r="A98" s="75"/>
      <c r="B98" s="14" t="s">
        <v>46</v>
      </c>
      <c r="C98" s="5"/>
      <c r="D98" s="1" t="s">
        <v>114</v>
      </c>
      <c r="E98" s="5">
        <v>51963</v>
      </c>
      <c r="J98">
        <v>7</v>
      </c>
    </row>
    <row r="99" spans="1:12" ht="14.25" customHeight="1" x14ac:dyDescent="0.2">
      <c r="A99" s="75"/>
      <c r="B99" s="44" t="s">
        <v>59</v>
      </c>
      <c r="C99" s="77"/>
      <c r="D99" s="78" t="s">
        <v>60</v>
      </c>
      <c r="E99" s="5">
        <v>61332</v>
      </c>
    </row>
    <row r="100" spans="1:12" ht="14.25" customHeight="1" x14ac:dyDescent="0.2">
      <c r="A100" s="75"/>
      <c r="B100" s="44"/>
      <c r="C100" s="77"/>
      <c r="D100" s="78"/>
      <c r="E100" s="5"/>
    </row>
    <row r="101" spans="1:12" ht="14.25" customHeight="1" x14ac:dyDescent="0.2">
      <c r="A101" s="113" t="s">
        <v>214</v>
      </c>
      <c r="B101" s="114"/>
      <c r="C101" s="114"/>
      <c r="D101" s="115"/>
      <c r="E101" s="10">
        <f>SUM(E95:E100)</f>
        <v>265947</v>
      </c>
    </row>
    <row r="102" spans="1:12" ht="14.25" customHeight="1" x14ac:dyDescent="0.2">
      <c r="A102" s="2"/>
      <c r="B102" s="1"/>
      <c r="C102" s="5"/>
      <c r="D102" s="1"/>
      <c r="E102" s="5"/>
    </row>
    <row r="103" spans="1:12" ht="14.25" customHeight="1" x14ac:dyDescent="0.2">
      <c r="A103" s="2">
        <v>45882</v>
      </c>
      <c r="B103" s="1" t="s">
        <v>218</v>
      </c>
      <c r="C103" s="5"/>
      <c r="D103" s="1" t="s">
        <v>113</v>
      </c>
      <c r="E103" s="5">
        <v>35785</v>
      </c>
      <c r="K103">
        <v>4.5</v>
      </c>
    </row>
    <row r="104" spans="1:12" ht="14.25" customHeight="1" x14ac:dyDescent="0.2">
      <c r="A104" s="2"/>
      <c r="B104" s="1" t="s">
        <v>212</v>
      </c>
      <c r="C104" s="5"/>
      <c r="D104" s="1" t="s">
        <v>213</v>
      </c>
      <c r="E104" s="5">
        <v>68140</v>
      </c>
      <c r="F104">
        <v>9.5</v>
      </c>
    </row>
    <row r="105" spans="1:12" ht="14.25" customHeight="1" x14ac:dyDescent="0.2">
      <c r="A105" s="2"/>
      <c r="B105" s="14" t="s">
        <v>46</v>
      </c>
      <c r="C105" s="5"/>
      <c r="D105" s="1" t="s">
        <v>114</v>
      </c>
      <c r="E105" s="5">
        <v>51963</v>
      </c>
      <c r="J105">
        <v>7</v>
      </c>
    </row>
    <row r="106" spans="1:12" ht="14.25" customHeight="1" x14ac:dyDescent="0.2">
      <c r="A106" s="2"/>
      <c r="B106" s="44" t="s">
        <v>59</v>
      </c>
      <c r="C106" s="5"/>
      <c r="D106" s="1" t="s">
        <v>60</v>
      </c>
      <c r="E106" s="5">
        <v>34666</v>
      </c>
    </row>
    <row r="107" spans="1:12" ht="14.25" customHeight="1" x14ac:dyDescent="0.2">
      <c r="A107" s="2"/>
      <c r="B107" s="14"/>
      <c r="C107" s="24"/>
      <c r="D107" s="1"/>
      <c r="E107" s="5"/>
    </row>
    <row r="108" spans="1:12" ht="14.25" customHeight="1" x14ac:dyDescent="0.2">
      <c r="A108" s="75"/>
      <c r="B108" s="44"/>
      <c r="C108" s="64"/>
      <c r="D108" s="78"/>
      <c r="E108" s="5"/>
    </row>
    <row r="109" spans="1:12" x14ac:dyDescent="0.2">
      <c r="A109" s="113" t="s">
        <v>223</v>
      </c>
      <c r="B109" s="114"/>
      <c r="C109" s="114"/>
      <c r="D109" s="115"/>
      <c r="E109" s="10">
        <f>SUM(E103:E108)</f>
        <v>190554</v>
      </c>
      <c r="G109" s="32"/>
    </row>
    <row r="110" spans="1:12" ht="14.25" customHeight="1" x14ac:dyDescent="0.2">
      <c r="A110" s="2"/>
      <c r="B110" s="1"/>
      <c r="C110" s="5"/>
      <c r="D110" s="1"/>
      <c r="E110" s="5"/>
    </row>
    <row r="111" spans="1:12" ht="14.25" customHeight="1" x14ac:dyDescent="0.2">
      <c r="A111" s="2">
        <v>45883</v>
      </c>
      <c r="B111" s="1" t="s">
        <v>42</v>
      </c>
      <c r="C111" s="5"/>
      <c r="D111" s="1" t="s">
        <v>123</v>
      </c>
      <c r="E111" s="5">
        <v>48727</v>
      </c>
      <c r="L111">
        <v>6.5</v>
      </c>
    </row>
    <row r="112" spans="1:12" ht="14.25" customHeight="1" x14ac:dyDescent="0.2">
      <c r="A112" s="2"/>
      <c r="B112" s="1" t="s">
        <v>51</v>
      </c>
      <c r="C112" s="5"/>
      <c r="D112" s="1" t="s">
        <v>225</v>
      </c>
      <c r="E112" s="5">
        <v>35785</v>
      </c>
      <c r="J112" t="s">
        <v>18</v>
      </c>
    </row>
    <row r="113" spans="1:12" ht="14.25" customHeight="1" x14ac:dyDescent="0.2">
      <c r="A113" s="2"/>
      <c r="B113" s="1" t="s">
        <v>212</v>
      </c>
      <c r="C113" s="5"/>
      <c r="D113" s="1" t="s">
        <v>224</v>
      </c>
      <c r="E113" s="5">
        <v>71376</v>
      </c>
      <c r="F113">
        <v>10</v>
      </c>
    </row>
    <row r="114" spans="1:12" ht="14.25" customHeight="1" x14ac:dyDescent="0.2">
      <c r="A114" s="2"/>
      <c r="B114" s="14" t="s">
        <v>46</v>
      </c>
      <c r="C114" s="5"/>
      <c r="D114" s="1"/>
      <c r="E114" s="5"/>
    </row>
    <row r="115" spans="1:12" ht="14.25" customHeight="1" x14ac:dyDescent="0.2">
      <c r="A115" s="2"/>
      <c r="B115" s="1"/>
      <c r="C115" s="5"/>
      <c r="D115" s="1"/>
      <c r="E115" s="5"/>
    </row>
    <row r="116" spans="1:12" ht="14.25" customHeight="1" x14ac:dyDescent="0.2">
      <c r="A116" s="2"/>
      <c r="B116" s="14"/>
      <c r="C116" s="24"/>
      <c r="D116" s="1"/>
      <c r="E116" s="5"/>
    </row>
    <row r="117" spans="1:12" ht="14.25" customHeight="1" x14ac:dyDescent="0.2">
      <c r="A117" s="2"/>
      <c r="B117" s="14"/>
      <c r="C117" s="24"/>
      <c r="D117" s="1"/>
      <c r="E117" s="5"/>
    </row>
    <row r="118" spans="1:12" ht="14.25" customHeight="1" x14ac:dyDescent="0.2">
      <c r="A118" s="113" t="s">
        <v>229</v>
      </c>
      <c r="B118" s="114"/>
      <c r="C118" s="114"/>
      <c r="D118" s="115"/>
      <c r="E118" s="10">
        <f>SUM(E111:E117)</f>
        <v>155888</v>
      </c>
    </row>
    <row r="119" spans="1:12" ht="14.25" customHeight="1" x14ac:dyDescent="0.2">
      <c r="A119" s="2"/>
      <c r="B119" s="1"/>
      <c r="C119" s="5"/>
      <c r="D119" s="1"/>
      <c r="E119" s="5"/>
    </row>
    <row r="120" spans="1:12" ht="14.25" customHeight="1" x14ac:dyDescent="0.2">
      <c r="A120" s="2">
        <v>45884</v>
      </c>
      <c r="B120" s="1" t="s">
        <v>42</v>
      </c>
      <c r="C120" s="5"/>
      <c r="D120" s="1" t="s">
        <v>235</v>
      </c>
      <c r="E120" s="5">
        <v>58434</v>
      </c>
      <c r="L120">
        <v>8</v>
      </c>
    </row>
    <row r="121" spans="1:12" ht="14.25" customHeight="1" x14ac:dyDescent="0.2">
      <c r="A121" s="2"/>
      <c r="B121" s="1" t="s">
        <v>40</v>
      </c>
      <c r="C121" s="5"/>
      <c r="D121" s="1" t="s">
        <v>166</v>
      </c>
      <c r="E121" s="5">
        <v>39021</v>
      </c>
      <c r="K121">
        <v>5</v>
      </c>
    </row>
    <row r="122" spans="1:12" ht="14.25" customHeight="1" x14ac:dyDescent="0.2">
      <c r="A122" s="2"/>
      <c r="B122" s="1" t="s">
        <v>212</v>
      </c>
      <c r="C122" s="5"/>
      <c r="D122" s="1" t="s">
        <v>73</v>
      </c>
      <c r="E122" s="5">
        <v>51963</v>
      </c>
      <c r="F122">
        <v>7</v>
      </c>
    </row>
    <row r="123" spans="1:12" ht="14.25" customHeight="1" x14ac:dyDescent="0.2">
      <c r="A123" s="2"/>
      <c r="B123" s="14" t="s">
        <v>46</v>
      </c>
      <c r="C123" s="24"/>
      <c r="D123" s="1" t="s">
        <v>234</v>
      </c>
      <c r="E123" s="5">
        <v>55198</v>
      </c>
      <c r="J123">
        <v>7.5</v>
      </c>
    </row>
    <row r="124" spans="1:12" ht="14.25" customHeight="1" x14ac:dyDescent="0.2">
      <c r="A124" s="2"/>
      <c r="B124" s="14"/>
      <c r="C124" s="24"/>
      <c r="D124" s="1"/>
      <c r="E124" s="5"/>
    </row>
    <row r="125" spans="1:12" ht="14.25" customHeight="1" x14ac:dyDescent="0.2">
      <c r="A125" s="2"/>
      <c r="B125" s="14"/>
      <c r="C125" s="5"/>
      <c r="D125" s="1"/>
      <c r="E125" s="5"/>
    </row>
    <row r="126" spans="1:12" ht="14.25" customHeight="1" x14ac:dyDescent="0.2">
      <c r="A126" s="113" t="s">
        <v>241</v>
      </c>
      <c r="B126" s="114"/>
      <c r="C126" s="114"/>
      <c r="D126" s="115"/>
      <c r="E126" s="10">
        <f>SUM(E120:E125)</f>
        <v>204616</v>
      </c>
    </row>
    <row r="127" spans="1:12" ht="14.25" customHeight="1" x14ac:dyDescent="0.2">
      <c r="A127" s="2"/>
      <c r="B127" s="1"/>
      <c r="C127" s="5"/>
      <c r="D127" s="1"/>
      <c r="E127" s="5"/>
    </row>
    <row r="128" spans="1:12" ht="14.25" customHeight="1" x14ac:dyDescent="0.2">
      <c r="A128" s="2">
        <v>45885</v>
      </c>
      <c r="B128" s="1" t="s">
        <v>42</v>
      </c>
      <c r="C128" s="5"/>
      <c r="D128" s="1" t="s">
        <v>183</v>
      </c>
      <c r="E128" s="5">
        <v>61669</v>
      </c>
      <c r="L128">
        <v>8.5</v>
      </c>
    </row>
    <row r="129" spans="1:12" ht="14.25" customHeight="1" x14ac:dyDescent="0.2">
      <c r="A129" s="2"/>
      <c r="B129" s="1" t="s">
        <v>212</v>
      </c>
      <c r="C129" s="24"/>
      <c r="D129" s="1" t="s">
        <v>255</v>
      </c>
      <c r="E129" s="5">
        <v>74611</v>
      </c>
      <c r="F129">
        <v>10</v>
      </c>
    </row>
    <row r="130" spans="1:12" ht="14.25" customHeight="1" x14ac:dyDescent="0.2">
      <c r="A130" s="2"/>
      <c r="B130" s="14" t="s">
        <v>46</v>
      </c>
      <c r="C130" s="5"/>
      <c r="D130" s="1" t="s">
        <v>254</v>
      </c>
      <c r="E130" s="5">
        <v>55192</v>
      </c>
      <c r="J130">
        <v>7.5</v>
      </c>
    </row>
    <row r="131" spans="1:12" ht="14.25" customHeight="1" x14ac:dyDescent="0.2">
      <c r="A131" s="2"/>
      <c r="B131" s="14"/>
      <c r="C131" s="24"/>
      <c r="D131" s="1"/>
      <c r="E131" s="5"/>
    </row>
    <row r="132" spans="1:12" ht="14.25" customHeight="1" x14ac:dyDescent="0.2">
      <c r="A132" s="113" t="s">
        <v>256</v>
      </c>
      <c r="B132" s="114"/>
      <c r="C132" s="114"/>
      <c r="D132" s="115"/>
      <c r="E132" s="10">
        <f>SUM(E128:E131)</f>
        <v>191472</v>
      </c>
    </row>
    <row r="133" spans="1:12" ht="14.25" customHeight="1" x14ac:dyDescent="0.2">
      <c r="A133" s="2"/>
      <c r="B133" s="1"/>
      <c r="C133" s="5"/>
      <c r="D133" s="1"/>
      <c r="E133" s="5"/>
    </row>
    <row r="134" spans="1:12" ht="14.25" customHeight="1" x14ac:dyDescent="0.2">
      <c r="A134" s="2">
        <v>45886</v>
      </c>
      <c r="B134" s="1" t="s">
        <v>42</v>
      </c>
      <c r="C134" s="5"/>
      <c r="D134" s="1" t="s">
        <v>123</v>
      </c>
      <c r="E134" s="5">
        <v>79076</v>
      </c>
      <c r="L134" s="98">
        <v>6.5</v>
      </c>
    </row>
    <row r="135" spans="1:12" ht="14.25" customHeight="1" x14ac:dyDescent="0.2">
      <c r="A135" s="2"/>
      <c r="B135" s="1" t="s">
        <v>212</v>
      </c>
      <c r="C135" s="5"/>
      <c r="D135" s="1" t="s">
        <v>155</v>
      </c>
      <c r="E135" s="5">
        <v>106926</v>
      </c>
      <c r="F135" s="98">
        <v>9</v>
      </c>
    </row>
    <row r="136" spans="1:12" ht="14.25" customHeight="1" x14ac:dyDescent="0.2">
      <c r="A136" s="2"/>
      <c r="B136" s="14" t="s">
        <v>46</v>
      </c>
      <c r="C136" s="5"/>
      <c r="D136" s="1" t="s">
        <v>259</v>
      </c>
      <c r="E136" s="5">
        <v>84646</v>
      </c>
      <c r="J136" s="98">
        <v>7</v>
      </c>
    </row>
    <row r="137" spans="1:12" ht="14.25" customHeight="1" x14ac:dyDescent="0.2">
      <c r="A137" s="2"/>
      <c r="B137" s="1"/>
      <c r="C137" s="5"/>
      <c r="D137" s="1"/>
      <c r="E137" s="5"/>
    </row>
    <row r="138" spans="1:12" ht="14.25" customHeight="1" x14ac:dyDescent="0.2">
      <c r="A138" s="2"/>
      <c r="B138" s="14"/>
      <c r="C138" s="24"/>
      <c r="D138" s="1"/>
      <c r="E138" s="5"/>
    </row>
    <row r="139" spans="1:12" ht="14.25" customHeight="1" x14ac:dyDescent="0.2">
      <c r="A139" s="2"/>
      <c r="B139" s="1"/>
      <c r="C139" s="5"/>
      <c r="D139" s="1"/>
      <c r="E139" s="5"/>
    </row>
    <row r="140" spans="1:12" ht="14.25" customHeight="1" x14ac:dyDescent="0.2">
      <c r="A140" s="2"/>
      <c r="B140" s="3"/>
      <c r="C140" s="5"/>
      <c r="D140" s="1"/>
      <c r="E140" s="5"/>
    </row>
    <row r="141" spans="1:12" ht="14.25" customHeight="1" x14ac:dyDescent="0.2">
      <c r="A141" s="113" t="s">
        <v>260</v>
      </c>
      <c r="B141" s="114"/>
      <c r="C141" s="114"/>
      <c r="D141" s="115"/>
      <c r="E141" s="10">
        <f>SUM(E134:E140)</f>
        <v>270648</v>
      </c>
    </row>
    <row r="142" spans="1:12" ht="14.25" customHeight="1" x14ac:dyDescent="0.2">
      <c r="A142" s="2"/>
      <c r="B142" s="1"/>
      <c r="C142" s="5"/>
      <c r="D142" s="1"/>
      <c r="E142" s="5"/>
      <c r="G142" s="32"/>
    </row>
    <row r="143" spans="1:12" ht="14.25" customHeight="1" x14ac:dyDescent="0.2">
      <c r="A143" s="2">
        <v>45887</v>
      </c>
      <c r="B143" s="1" t="s">
        <v>42</v>
      </c>
      <c r="C143" s="5"/>
      <c r="D143" s="1" t="s">
        <v>213</v>
      </c>
      <c r="E143" s="5">
        <v>112496</v>
      </c>
      <c r="G143" s="32"/>
      <c r="L143" s="98">
        <v>9.5</v>
      </c>
    </row>
    <row r="144" spans="1:12" ht="14.25" customHeight="1" x14ac:dyDescent="0.2">
      <c r="A144" s="2"/>
      <c r="B144" s="1" t="s">
        <v>212</v>
      </c>
      <c r="C144" s="5"/>
      <c r="D144" s="1" t="s">
        <v>264</v>
      </c>
      <c r="E144" s="5">
        <v>79076</v>
      </c>
      <c r="F144" s="98">
        <v>6.5</v>
      </c>
      <c r="G144" s="32"/>
    </row>
    <row r="145" spans="1:12" ht="14.25" customHeight="1" x14ac:dyDescent="0.2">
      <c r="A145" s="2"/>
      <c r="B145" s="14" t="s">
        <v>46</v>
      </c>
      <c r="C145" s="5"/>
      <c r="D145" s="1" t="s">
        <v>259</v>
      </c>
      <c r="E145" s="5">
        <v>84646</v>
      </c>
      <c r="G145" s="32"/>
      <c r="J145" s="98">
        <v>7</v>
      </c>
    </row>
    <row r="146" spans="1:12" ht="14.25" customHeight="1" x14ac:dyDescent="0.2">
      <c r="A146" s="2"/>
      <c r="B146" s="1" t="s">
        <v>262</v>
      </c>
      <c r="C146" s="5"/>
      <c r="D146" s="1" t="s">
        <v>263</v>
      </c>
      <c r="E146" s="5">
        <v>67936</v>
      </c>
      <c r="G146" s="32"/>
    </row>
    <row r="147" spans="1:12" ht="14.25" customHeight="1" x14ac:dyDescent="0.2">
      <c r="A147" s="2"/>
      <c r="B147" s="1" t="s">
        <v>59</v>
      </c>
      <c r="C147" s="5"/>
      <c r="D147" s="1" t="s">
        <v>60</v>
      </c>
      <c r="E147" s="5">
        <v>57332</v>
      </c>
      <c r="G147" s="32"/>
    </row>
    <row r="148" spans="1:12" ht="14.25" customHeight="1" x14ac:dyDescent="0.2">
      <c r="A148" s="2"/>
      <c r="B148" s="14"/>
      <c r="C148" s="24"/>
      <c r="D148" s="1"/>
      <c r="E148" s="5"/>
      <c r="G148" s="32"/>
    </row>
    <row r="149" spans="1:12" ht="14.25" customHeight="1" x14ac:dyDescent="0.2">
      <c r="A149" s="2"/>
      <c r="B149" s="3"/>
      <c r="C149" s="5"/>
      <c r="D149" s="1"/>
      <c r="E149" s="5"/>
      <c r="G149" s="32"/>
    </row>
    <row r="150" spans="1:12" ht="14.25" customHeight="1" x14ac:dyDescent="0.2">
      <c r="A150" s="113" t="s">
        <v>272</v>
      </c>
      <c r="B150" s="114"/>
      <c r="C150" s="114"/>
      <c r="D150" s="115"/>
      <c r="E150" s="10">
        <f>SUM(E143:E149)</f>
        <v>401486</v>
      </c>
    </row>
    <row r="151" spans="1:12" ht="14.25" customHeight="1" x14ac:dyDescent="0.2">
      <c r="A151" s="2"/>
      <c r="B151" s="1"/>
      <c r="C151" s="5"/>
      <c r="D151" s="1"/>
      <c r="E151" s="5"/>
    </row>
    <row r="152" spans="1:12" ht="14.25" customHeight="1" x14ac:dyDescent="0.2">
      <c r="A152" s="2">
        <v>45888</v>
      </c>
      <c r="B152" s="1" t="s">
        <v>42</v>
      </c>
      <c r="C152" s="5"/>
      <c r="D152" s="1" t="s">
        <v>155</v>
      </c>
      <c r="E152" s="5">
        <v>64905</v>
      </c>
      <c r="L152">
        <v>9</v>
      </c>
    </row>
    <row r="153" spans="1:12" ht="14.25" customHeight="1" x14ac:dyDescent="0.2">
      <c r="A153" s="2"/>
      <c r="B153" s="14" t="s">
        <v>59</v>
      </c>
      <c r="C153" s="5"/>
      <c r="D153" s="1" t="s">
        <v>60</v>
      </c>
      <c r="E153" s="5">
        <v>38666</v>
      </c>
    </row>
    <row r="154" spans="1:12" ht="14.25" customHeight="1" x14ac:dyDescent="0.2">
      <c r="A154" s="2"/>
      <c r="B154" s="1" t="s">
        <v>46</v>
      </c>
      <c r="C154" s="5"/>
      <c r="D154" s="1" t="s">
        <v>114</v>
      </c>
      <c r="E154" s="5">
        <v>51963</v>
      </c>
      <c r="J154">
        <v>7</v>
      </c>
    </row>
    <row r="155" spans="1:12" ht="14.25" customHeight="1" x14ac:dyDescent="0.2">
      <c r="A155" s="2"/>
      <c r="B155" s="14" t="s">
        <v>51</v>
      </c>
      <c r="C155" s="24"/>
      <c r="D155" s="1" t="s">
        <v>202</v>
      </c>
      <c r="E155" s="5">
        <v>35785</v>
      </c>
    </row>
    <row r="156" spans="1:12" ht="14.25" customHeight="1" x14ac:dyDescent="0.2">
      <c r="A156" s="2"/>
      <c r="B156" s="14"/>
      <c r="C156" s="24"/>
      <c r="D156" s="1"/>
      <c r="E156" s="5"/>
    </row>
    <row r="157" spans="1:12" ht="14.25" customHeight="1" x14ac:dyDescent="0.2">
      <c r="A157" s="113" t="s">
        <v>275</v>
      </c>
      <c r="B157" s="114"/>
      <c r="C157" s="114"/>
      <c r="D157" s="115"/>
      <c r="E157" s="10">
        <f>SUM(E152:E156)</f>
        <v>191319</v>
      </c>
    </row>
    <row r="158" spans="1:12" x14ac:dyDescent="0.2">
      <c r="A158" s="2"/>
      <c r="B158" s="1"/>
      <c r="C158" s="5"/>
      <c r="D158" s="1"/>
      <c r="E158" s="5"/>
    </row>
    <row r="159" spans="1:12" x14ac:dyDescent="0.2">
      <c r="A159" s="2" t="s">
        <v>279</v>
      </c>
      <c r="B159" s="1" t="s">
        <v>42</v>
      </c>
      <c r="C159" s="105"/>
      <c r="D159" s="106"/>
      <c r="E159" s="5"/>
    </row>
    <row r="160" spans="1:12" x14ac:dyDescent="0.2">
      <c r="A160" s="2"/>
      <c r="B160" s="14" t="s">
        <v>59</v>
      </c>
      <c r="C160" s="5"/>
      <c r="D160" s="1" t="s">
        <v>60</v>
      </c>
      <c r="E160" s="5">
        <v>34666</v>
      </c>
    </row>
    <row r="161" spans="1:12" x14ac:dyDescent="0.2">
      <c r="A161" s="2"/>
      <c r="B161" s="1" t="s">
        <v>46</v>
      </c>
      <c r="C161" s="24"/>
      <c r="D161" s="1" t="s">
        <v>114</v>
      </c>
      <c r="E161" s="5">
        <v>51963</v>
      </c>
      <c r="J161">
        <v>7</v>
      </c>
    </row>
    <row r="162" spans="1:12" x14ac:dyDescent="0.2">
      <c r="A162" s="2"/>
      <c r="B162" s="14" t="s">
        <v>44</v>
      </c>
      <c r="C162" s="5"/>
      <c r="D162" s="1" t="s">
        <v>111</v>
      </c>
      <c r="E162" s="5">
        <v>61669</v>
      </c>
      <c r="F162">
        <v>8.5</v>
      </c>
    </row>
    <row r="163" spans="1:12" x14ac:dyDescent="0.2">
      <c r="A163" s="75"/>
      <c r="B163" s="1" t="s">
        <v>112</v>
      </c>
      <c r="C163" s="5"/>
      <c r="D163" s="1" t="s">
        <v>134</v>
      </c>
      <c r="E163" s="5">
        <v>32550</v>
      </c>
      <c r="K163">
        <v>4</v>
      </c>
    </row>
    <row r="164" spans="1:12" x14ac:dyDescent="0.2">
      <c r="A164" s="75"/>
      <c r="B164" s="76"/>
      <c r="C164" s="77"/>
      <c r="D164" s="78"/>
      <c r="E164" s="5"/>
    </row>
    <row r="165" spans="1:12" x14ac:dyDescent="0.2">
      <c r="A165" s="75"/>
      <c r="B165" s="76"/>
      <c r="C165" s="77"/>
      <c r="D165" s="78"/>
      <c r="E165" s="111"/>
    </row>
    <row r="166" spans="1:12" x14ac:dyDescent="0.2">
      <c r="A166" s="2"/>
      <c r="B166" s="1"/>
      <c r="C166" s="5"/>
      <c r="D166" s="1"/>
      <c r="E166" s="5"/>
    </row>
    <row r="167" spans="1:12" x14ac:dyDescent="0.2">
      <c r="A167" s="2"/>
      <c r="B167" s="14"/>
      <c r="C167" s="24"/>
      <c r="D167" s="1"/>
      <c r="E167" s="5"/>
    </row>
    <row r="168" spans="1:12" x14ac:dyDescent="0.2">
      <c r="A168" s="2"/>
      <c r="B168" s="14"/>
      <c r="C168" s="24"/>
      <c r="D168" s="1"/>
      <c r="E168" s="5"/>
    </row>
    <row r="169" spans="1:12" x14ac:dyDescent="0.2">
      <c r="A169" s="2"/>
      <c r="B169" s="3"/>
      <c r="C169" s="5"/>
      <c r="D169" s="1"/>
      <c r="E169" s="5"/>
    </row>
    <row r="170" spans="1:12" x14ac:dyDescent="0.2">
      <c r="A170" s="113" t="s">
        <v>287</v>
      </c>
      <c r="B170" s="114"/>
      <c r="C170" s="114"/>
      <c r="D170" s="115"/>
      <c r="E170" s="10">
        <f>SUM(E160:E169)</f>
        <v>180848</v>
      </c>
    </row>
    <row r="171" spans="1:12" x14ac:dyDescent="0.2">
      <c r="A171" s="2"/>
      <c r="B171" s="1"/>
      <c r="C171" s="5"/>
      <c r="D171" s="1"/>
      <c r="E171" s="5"/>
    </row>
    <row r="172" spans="1:12" x14ac:dyDescent="0.2">
      <c r="A172" s="2">
        <v>45890</v>
      </c>
      <c r="B172" s="1" t="s">
        <v>42</v>
      </c>
      <c r="C172" s="5"/>
      <c r="D172" s="1" t="s">
        <v>155</v>
      </c>
      <c r="E172" s="5">
        <v>64905</v>
      </c>
      <c r="L172">
        <v>9</v>
      </c>
    </row>
    <row r="173" spans="1:12" x14ac:dyDescent="0.2">
      <c r="A173" s="2"/>
      <c r="B173" s="14" t="s">
        <v>44</v>
      </c>
      <c r="C173" s="24"/>
      <c r="D173" s="1" t="s">
        <v>45</v>
      </c>
      <c r="E173" s="37">
        <v>51963</v>
      </c>
      <c r="F173">
        <v>7</v>
      </c>
    </row>
    <row r="174" spans="1:12" x14ac:dyDescent="0.2">
      <c r="A174" s="75"/>
      <c r="B174" s="104"/>
      <c r="C174" s="105"/>
      <c r="D174" s="106"/>
      <c r="E174" s="37"/>
    </row>
    <row r="175" spans="1:12" x14ac:dyDescent="0.2">
      <c r="A175" s="75"/>
      <c r="B175" s="14"/>
      <c r="C175" s="24"/>
      <c r="D175" s="1"/>
      <c r="E175" s="37"/>
    </row>
    <row r="176" spans="1:12" x14ac:dyDescent="0.2">
      <c r="A176" s="75"/>
      <c r="B176" s="76"/>
      <c r="C176" s="77"/>
      <c r="D176" s="78"/>
      <c r="E176" s="37"/>
    </row>
    <row r="177" spans="1:12" x14ac:dyDescent="0.2">
      <c r="A177" s="113" t="s">
        <v>296</v>
      </c>
      <c r="B177" s="114"/>
      <c r="C177" s="114"/>
      <c r="D177" s="115"/>
      <c r="E177" s="10">
        <f>SUM(E172:E176)</f>
        <v>116868</v>
      </c>
    </row>
    <row r="178" spans="1:12" x14ac:dyDescent="0.2">
      <c r="A178" s="2"/>
      <c r="B178" s="1"/>
      <c r="C178" s="5"/>
      <c r="D178" s="1"/>
      <c r="E178" s="5"/>
    </row>
    <row r="179" spans="1:12" x14ac:dyDescent="0.2">
      <c r="A179" s="2">
        <v>45891</v>
      </c>
      <c r="B179" s="1" t="s">
        <v>42</v>
      </c>
      <c r="C179" s="5"/>
      <c r="D179" s="1" t="s">
        <v>75</v>
      </c>
      <c r="E179" s="5">
        <v>45492</v>
      </c>
      <c r="L179">
        <v>6</v>
      </c>
    </row>
    <row r="180" spans="1:12" x14ac:dyDescent="0.2">
      <c r="A180" s="2"/>
      <c r="B180" s="14" t="s">
        <v>51</v>
      </c>
      <c r="C180" s="5"/>
      <c r="D180" s="1" t="s">
        <v>301</v>
      </c>
      <c r="E180" s="5">
        <v>29314</v>
      </c>
    </row>
    <row r="181" spans="1:12" x14ac:dyDescent="0.2">
      <c r="A181" s="2"/>
      <c r="B181" s="1" t="s">
        <v>46</v>
      </c>
      <c r="C181" s="5"/>
      <c r="D181" s="1" t="s">
        <v>114</v>
      </c>
      <c r="E181" s="5">
        <v>51963</v>
      </c>
      <c r="J181">
        <v>7</v>
      </c>
    </row>
    <row r="182" spans="1:12" x14ac:dyDescent="0.2">
      <c r="A182" s="2"/>
      <c r="B182" s="14" t="s">
        <v>44</v>
      </c>
      <c r="C182" s="5"/>
      <c r="D182" s="1" t="s">
        <v>45</v>
      </c>
      <c r="E182" s="5">
        <v>51963</v>
      </c>
      <c r="F182">
        <v>7</v>
      </c>
    </row>
    <row r="183" spans="1:12" x14ac:dyDescent="0.2">
      <c r="A183" s="2"/>
      <c r="B183" s="1" t="s">
        <v>112</v>
      </c>
      <c r="C183" s="5"/>
      <c r="D183" s="1" t="s">
        <v>166</v>
      </c>
      <c r="E183" s="5">
        <v>39021</v>
      </c>
      <c r="K183">
        <v>5</v>
      </c>
    </row>
    <row r="184" spans="1:12" x14ac:dyDescent="0.2">
      <c r="A184" s="75"/>
      <c r="B184" s="14"/>
      <c r="C184" s="24"/>
      <c r="D184" s="1"/>
      <c r="E184" s="5"/>
    </row>
    <row r="185" spans="1:12" x14ac:dyDescent="0.2">
      <c r="A185" s="75"/>
      <c r="B185" s="76"/>
      <c r="C185" s="77"/>
      <c r="D185" s="78"/>
      <c r="E185" s="37"/>
    </row>
    <row r="186" spans="1:12" x14ac:dyDescent="0.2">
      <c r="A186" s="113" t="s">
        <v>312</v>
      </c>
      <c r="B186" s="114"/>
      <c r="C186" s="114"/>
      <c r="D186" s="115"/>
      <c r="E186" s="10">
        <f>SUM(E179:E185)</f>
        <v>217753</v>
      </c>
    </row>
    <row r="187" spans="1:12" x14ac:dyDescent="0.2">
      <c r="A187" s="2"/>
      <c r="B187" s="1"/>
      <c r="C187" s="5"/>
      <c r="D187" s="1"/>
      <c r="E187" s="5"/>
    </row>
    <row r="188" spans="1:12" x14ac:dyDescent="0.2">
      <c r="A188" s="2">
        <v>45892</v>
      </c>
      <c r="B188" s="1" t="s">
        <v>42</v>
      </c>
      <c r="C188" s="5"/>
      <c r="D188" s="1" t="s">
        <v>320</v>
      </c>
      <c r="E188" s="5">
        <v>64905</v>
      </c>
      <c r="L188">
        <v>9</v>
      </c>
    </row>
    <row r="189" spans="1:12" x14ac:dyDescent="0.2">
      <c r="A189" s="2"/>
      <c r="B189" s="1" t="s">
        <v>46</v>
      </c>
      <c r="C189" s="24"/>
      <c r="D189" s="1" t="s">
        <v>254</v>
      </c>
      <c r="E189" s="5">
        <v>55198</v>
      </c>
      <c r="J189">
        <v>7.5</v>
      </c>
    </row>
    <row r="190" spans="1:12" x14ac:dyDescent="0.2">
      <c r="A190" s="2"/>
      <c r="B190" s="14" t="s">
        <v>44</v>
      </c>
      <c r="C190" s="105"/>
      <c r="D190" s="106" t="s">
        <v>321</v>
      </c>
      <c r="E190" s="5">
        <v>68140</v>
      </c>
      <c r="F190">
        <v>9.5</v>
      </c>
    </row>
    <row r="191" spans="1:12" x14ac:dyDescent="0.2">
      <c r="A191" s="75"/>
      <c r="B191" s="1"/>
      <c r="C191" s="5"/>
      <c r="D191" s="1"/>
      <c r="E191" s="5"/>
    </row>
    <row r="192" spans="1:12" x14ac:dyDescent="0.2">
      <c r="A192" s="75"/>
      <c r="B192" s="14"/>
      <c r="C192" s="24"/>
      <c r="D192" s="1"/>
      <c r="E192" s="5"/>
    </row>
    <row r="193" spans="1:12" x14ac:dyDescent="0.2">
      <c r="A193" s="75"/>
      <c r="B193" s="76"/>
      <c r="C193" s="64"/>
      <c r="D193" s="78"/>
      <c r="E193" s="36"/>
    </row>
    <row r="194" spans="1:12" x14ac:dyDescent="0.2">
      <c r="A194" s="113" t="s">
        <v>322</v>
      </c>
      <c r="B194" s="114"/>
      <c r="C194" s="114"/>
      <c r="D194" s="115"/>
      <c r="E194" s="10">
        <f>SUM(E188:E193)</f>
        <v>188243</v>
      </c>
    </row>
    <row r="195" spans="1:12" x14ac:dyDescent="0.2">
      <c r="A195" s="2"/>
      <c r="B195" s="1"/>
      <c r="C195" s="5"/>
      <c r="D195" s="1"/>
      <c r="E195" s="5"/>
    </row>
    <row r="196" spans="1:12" x14ac:dyDescent="0.2">
      <c r="A196" s="2">
        <v>45893</v>
      </c>
      <c r="B196" s="1" t="s">
        <v>42</v>
      </c>
      <c r="C196" s="5"/>
      <c r="D196" s="1" t="s">
        <v>99</v>
      </c>
      <c r="E196" s="5">
        <v>84646</v>
      </c>
      <c r="L196">
        <v>7</v>
      </c>
    </row>
    <row r="197" spans="1:12" x14ac:dyDescent="0.2">
      <c r="A197" s="2"/>
      <c r="B197" s="1" t="s">
        <v>46</v>
      </c>
      <c r="C197" s="24"/>
      <c r="D197" s="1" t="s">
        <v>326</v>
      </c>
      <c r="E197" s="5">
        <v>45656</v>
      </c>
      <c r="J197" s="98">
        <v>3.5</v>
      </c>
    </row>
    <row r="198" spans="1:12" x14ac:dyDescent="0.2">
      <c r="A198" s="75"/>
      <c r="B198" s="14" t="s">
        <v>44</v>
      </c>
      <c r="C198" s="24"/>
      <c r="D198" s="1" t="s">
        <v>325</v>
      </c>
      <c r="E198" s="5">
        <v>79076</v>
      </c>
      <c r="F198" s="98">
        <v>6.5</v>
      </c>
    </row>
    <row r="199" spans="1:12" x14ac:dyDescent="0.2">
      <c r="A199" s="75"/>
      <c r="B199" s="1"/>
      <c r="C199" s="5"/>
      <c r="D199" s="1"/>
      <c r="E199" s="5"/>
    </row>
    <row r="200" spans="1:12" x14ac:dyDescent="0.2">
      <c r="A200" s="75"/>
      <c r="B200" s="76"/>
      <c r="C200" s="64"/>
      <c r="D200" s="78"/>
      <c r="E200" s="5"/>
    </row>
    <row r="201" spans="1:12" x14ac:dyDescent="0.2">
      <c r="A201" s="113" t="s">
        <v>327</v>
      </c>
      <c r="B201" s="114"/>
      <c r="C201" s="114"/>
      <c r="D201" s="115"/>
      <c r="E201" s="10">
        <f>SUM(E196:E200)</f>
        <v>209378</v>
      </c>
    </row>
    <row r="202" spans="1:12" x14ac:dyDescent="0.2">
      <c r="A202" s="2"/>
      <c r="B202" s="1"/>
      <c r="C202" s="5"/>
      <c r="D202" s="1"/>
      <c r="E202" s="5"/>
    </row>
    <row r="203" spans="1:12" x14ac:dyDescent="0.2">
      <c r="A203" s="2">
        <v>45894</v>
      </c>
      <c r="B203" s="1" t="s">
        <v>46</v>
      </c>
      <c r="C203" s="24"/>
      <c r="D203" s="1" t="s">
        <v>234</v>
      </c>
      <c r="E203" s="5">
        <v>55198</v>
      </c>
      <c r="J203">
        <v>7.5</v>
      </c>
    </row>
    <row r="204" spans="1:12" x14ac:dyDescent="0.2">
      <c r="A204" s="2"/>
      <c r="B204" s="14" t="s">
        <v>44</v>
      </c>
      <c r="C204" s="5"/>
      <c r="D204" s="1" t="s">
        <v>111</v>
      </c>
      <c r="E204" s="5">
        <v>61669</v>
      </c>
      <c r="F204">
        <v>8.5</v>
      </c>
    </row>
    <row r="205" spans="1:12" x14ac:dyDescent="0.2">
      <c r="A205" s="2"/>
      <c r="B205" s="14" t="s">
        <v>40</v>
      </c>
      <c r="C205" s="24"/>
      <c r="D205" s="1" t="s">
        <v>113</v>
      </c>
      <c r="E205" s="5">
        <v>35785</v>
      </c>
      <c r="K205">
        <v>4.5</v>
      </c>
    </row>
    <row r="206" spans="1:12" x14ac:dyDescent="0.2">
      <c r="A206" s="75"/>
      <c r="B206" s="1"/>
      <c r="C206" s="1"/>
      <c r="D206" s="1"/>
      <c r="E206" s="1"/>
    </row>
    <row r="207" spans="1:12" x14ac:dyDescent="0.2">
      <c r="A207" s="113" t="s">
        <v>337</v>
      </c>
      <c r="B207" s="114"/>
      <c r="C207" s="114"/>
      <c r="D207" s="115"/>
      <c r="E207" s="10">
        <f>SUM(E203:E206)</f>
        <v>152652</v>
      </c>
    </row>
    <row r="208" spans="1:12" x14ac:dyDescent="0.2">
      <c r="A208" s="2"/>
      <c r="B208" s="1"/>
      <c r="C208" s="5"/>
      <c r="D208" s="1"/>
      <c r="E208" s="5"/>
    </row>
    <row r="209" spans="1:12" x14ac:dyDescent="0.2">
      <c r="A209" s="2">
        <v>45895</v>
      </c>
      <c r="B209" s="1" t="s">
        <v>46</v>
      </c>
      <c r="C209" s="24"/>
      <c r="D209" s="1" t="s">
        <v>114</v>
      </c>
      <c r="E209" s="5">
        <v>51963</v>
      </c>
      <c r="J209">
        <v>7</v>
      </c>
    </row>
    <row r="210" spans="1:12" x14ac:dyDescent="0.2">
      <c r="A210" s="2"/>
      <c r="B210" s="14" t="s">
        <v>344</v>
      </c>
      <c r="C210" s="5"/>
      <c r="D210" s="1" t="s">
        <v>111</v>
      </c>
      <c r="E210" s="5">
        <v>61669</v>
      </c>
      <c r="L210">
        <v>8.5</v>
      </c>
    </row>
    <row r="211" spans="1:12" x14ac:dyDescent="0.2">
      <c r="A211" s="2"/>
      <c r="B211" s="14"/>
      <c r="C211" s="5"/>
      <c r="D211" s="1"/>
      <c r="E211" s="5"/>
    </row>
    <row r="212" spans="1:12" x14ac:dyDescent="0.2">
      <c r="A212" s="2"/>
      <c r="B212" s="14"/>
      <c r="C212" s="24"/>
      <c r="D212" s="1"/>
      <c r="E212" s="5"/>
    </row>
    <row r="213" spans="1:12" x14ac:dyDescent="0.2">
      <c r="A213" s="2"/>
      <c r="B213" s="1"/>
      <c r="C213" s="5"/>
      <c r="D213" s="1"/>
      <c r="E213" s="5"/>
    </row>
    <row r="214" spans="1:12" x14ac:dyDescent="0.2">
      <c r="A214" s="2"/>
      <c r="B214" s="3"/>
      <c r="C214" s="24"/>
      <c r="D214" s="1"/>
      <c r="E214" s="5"/>
    </row>
    <row r="215" spans="1:12" x14ac:dyDescent="0.2">
      <c r="A215" s="113" t="s">
        <v>347</v>
      </c>
      <c r="B215" s="114"/>
      <c r="C215" s="114"/>
      <c r="D215" s="115"/>
      <c r="E215" s="10">
        <f>SUM(E209:E214)</f>
        <v>113632</v>
      </c>
    </row>
    <row r="216" spans="1:12" x14ac:dyDescent="0.2">
      <c r="A216" s="2"/>
      <c r="B216" s="1"/>
      <c r="C216" s="5"/>
      <c r="D216" s="1"/>
      <c r="E216" s="5"/>
    </row>
    <row r="217" spans="1:12" x14ac:dyDescent="0.2">
      <c r="A217" s="2">
        <v>45896</v>
      </c>
      <c r="B217" s="1" t="s">
        <v>46</v>
      </c>
      <c r="C217" s="24"/>
      <c r="D217" s="1" t="s">
        <v>350</v>
      </c>
      <c r="E217" s="5">
        <v>45492</v>
      </c>
      <c r="J217">
        <v>6</v>
      </c>
    </row>
    <row r="218" spans="1:12" x14ac:dyDescent="0.2">
      <c r="A218" s="2"/>
      <c r="B218" s="14" t="s">
        <v>44</v>
      </c>
      <c r="C218" s="24"/>
      <c r="D218" s="1" t="s">
        <v>111</v>
      </c>
      <c r="E218" s="5">
        <v>61669</v>
      </c>
      <c r="F218">
        <v>8.5</v>
      </c>
    </row>
    <row r="219" spans="1:12" x14ac:dyDescent="0.2">
      <c r="A219" s="75"/>
      <c r="B219" s="14" t="s">
        <v>40</v>
      </c>
      <c r="C219" s="64"/>
      <c r="D219" s="78" t="s">
        <v>113</v>
      </c>
      <c r="E219" s="5">
        <v>35785</v>
      </c>
      <c r="K219">
        <v>4.5</v>
      </c>
    </row>
    <row r="220" spans="1:12" x14ac:dyDescent="0.2">
      <c r="A220" s="75"/>
      <c r="B220" s="14" t="s">
        <v>59</v>
      </c>
      <c r="C220" s="24"/>
      <c r="D220" s="1" t="s">
        <v>60</v>
      </c>
      <c r="E220" s="5">
        <v>26666</v>
      </c>
    </row>
    <row r="221" spans="1:12" x14ac:dyDescent="0.2">
      <c r="A221" s="75"/>
      <c r="B221" s="14" t="s">
        <v>59</v>
      </c>
      <c r="C221" s="64"/>
      <c r="D221" s="78" t="s">
        <v>60</v>
      </c>
      <c r="E221" s="5">
        <v>77332</v>
      </c>
    </row>
    <row r="222" spans="1:12" x14ac:dyDescent="0.2">
      <c r="A222" s="75"/>
      <c r="B222" s="76"/>
      <c r="C222" s="64"/>
      <c r="D222" s="78"/>
      <c r="E222" s="5"/>
    </row>
    <row r="223" spans="1:12" x14ac:dyDescent="0.2">
      <c r="A223" s="113" t="s">
        <v>351</v>
      </c>
      <c r="B223" s="114"/>
      <c r="C223" s="114"/>
      <c r="D223" s="115"/>
      <c r="E223" s="10">
        <f>SUM(E217:E222)</f>
        <v>246944</v>
      </c>
    </row>
    <row r="224" spans="1:12" x14ac:dyDescent="0.2">
      <c r="A224" s="2"/>
      <c r="B224" s="1"/>
      <c r="C224" s="5"/>
      <c r="D224" s="1"/>
      <c r="E224" s="5"/>
    </row>
    <row r="225" spans="1:13" x14ac:dyDescent="0.2">
      <c r="A225" s="2" t="s">
        <v>360</v>
      </c>
      <c r="B225" s="1"/>
      <c r="C225" s="5"/>
      <c r="D225" s="1"/>
      <c r="E225" s="5"/>
    </row>
    <row r="226" spans="1:13" x14ac:dyDescent="0.2">
      <c r="A226" s="2"/>
      <c r="B226" s="14" t="s">
        <v>44</v>
      </c>
      <c r="C226" s="5"/>
      <c r="D226" s="1" t="s">
        <v>361</v>
      </c>
      <c r="E226" s="5">
        <v>71376</v>
      </c>
      <c r="F226">
        <v>10</v>
      </c>
    </row>
    <row r="227" spans="1:13" x14ac:dyDescent="0.2">
      <c r="A227" s="2"/>
      <c r="B227" s="14" t="s">
        <v>42</v>
      </c>
      <c r="C227" s="5"/>
      <c r="D227" s="1" t="s">
        <v>123</v>
      </c>
      <c r="E227" s="5">
        <v>48727</v>
      </c>
      <c r="L227">
        <v>6.5</v>
      </c>
    </row>
    <row r="228" spans="1:13" x14ac:dyDescent="0.2">
      <c r="A228" s="75"/>
      <c r="B228" s="14" t="s">
        <v>59</v>
      </c>
      <c r="C228" s="24"/>
      <c r="D228" s="1" t="s">
        <v>60</v>
      </c>
      <c r="E228" s="5">
        <v>34666</v>
      </c>
    </row>
    <row r="229" spans="1:13" x14ac:dyDescent="0.2">
      <c r="A229" s="75"/>
      <c r="B229" s="76"/>
      <c r="C229" s="64"/>
      <c r="D229" s="78"/>
      <c r="E229" s="36"/>
    </row>
    <row r="230" spans="1:13" x14ac:dyDescent="0.2">
      <c r="A230" s="113" t="s">
        <v>367</v>
      </c>
      <c r="B230" s="114"/>
      <c r="C230" s="114"/>
      <c r="D230" s="115"/>
      <c r="E230" s="10">
        <f>SUM(E226:E229)</f>
        <v>154769</v>
      </c>
    </row>
    <row r="231" spans="1:13" x14ac:dyDescent="0.2">
      <c r="A231" s="2"/>
      <c r="B231" s="1"/>
      <c r="C231" s="5"/>
      <c r="D231" s="1"/>
      <c r="E231" s="5"/>
    </row>
    <row r="232" spans="1:13" x14ac:dyDescent="0.2">
      <c r="A232" s="2">
        <v>45898</v>
      </c>
      <c r="B232" s="14" t="s">
        <v>44</v>
      </c>
      <c r="C232" s="5"/>
      <c r="D232" s="1" t="s">
        <v>254</v>
      </c>
      <c r="E232" s="5">
        <v>55198</v>
      </c>
      <c r="F232">
        <v>7.5</v>
      </c>
    </row>
    <row r="233" spans="1:13" x14ac:dyDescent="0.2">
      <c r="A233" s="2"/>
      <c r="B233" s="14" t="s">
        <v>42</v>
      </c>
      <c r="C233" s="24"/>
      <c r="D233" s="1" t="s">
        <v>111</v>
      </c>
      <c r="E233" s="5">
        <v>61669</v>
      </c>
      <c r="L233">
        <v>8.5</v>
      </c>
    </row>
    <row r="234" spans="1:13" x14ac:dyDescent="0.2">
      <c r="A234" s="75"/>
      <c r="B234" s="1" t="s">
        <v>40</v>
      </c>
      <c r="C234" s="5"/>
      <c r="D234" s="1" t="s">
        <v>41</v>
      </c>
      <c r="E234" s="5">
        <v>42256</v>
      </c>
      <c r="K234">
        <v>5.5</v>
      </c>
      <c r="M234" t="s">
        <v>18</v>
      </c>
    </row>
    <row r="235" spans="1:13" x14ac:dyDescent="0.2">
      <c r="A235" s="75"/>
      <c r="B235" s="94" t="s">
        <v>46</v>
      </c>
      <c r="C235" s="77"/>
      <c r="D235" s="78" t="s">
        <v>114</v>
      </c>
      <c r="E235" s="5">
        <v>51963</v>
      </c>
      <c r="J235">
        <v>7</v>
      </c>
    </row>
    <row r="236" spans="1:13" x14ac:dyDescent="0.2">
      <c r="A236" s="75"/>
      <c r="B236" s="76"/>
      <c r="C236" s="64"/>
      <c r="D236" s="78"/>
      <c r="E236" s="5"/>
    </row>
    <row r="237" spans="1:13" x14ac:dyDescent="0.2">
      <c r="A237" s="113" t="s">
        <v>379</v>
      </c>
      <c r="B237" s="114"/>
      <c r="C237" s="114"/>
      <c r="D237" s="115"/>
      <c r="E237" s="10">
        <f>SUM(E232:E236)</f>
        <v>211086</v>
      </c>
    </row>
    <row r="238" spans="1:13" x14ac:dyDescent="0.2">
      <c r="A238" s="2"/>
      <c r="B238" s="1"/>
      <c r="C238" s="5"/>
      <c r="D238" s="1"/>
      <c r="E238" s="5"/>
    </row>
    <row r="239" spans="1:13" x14ac:dyDescent="0.2">
      <c r="A239" s="2">
        <v>45899</v>
      </c>
      <c r="B239" s="14" t="s">
        <v>44</v>
      </c>
      <c r="C239" s="24"/>
      <c r="D239" s="1" t="s">
        <v>166</v>
      </c>
      <c r="E239" s="5">
        <v>39021</v>
      </c>
      <c r="F239">
        <v>5</v>
      </c>
    </row>
    <row r="240" spans="1:13" x14ac:dyDescent="0.2">
      <c r="A240" s="2"/>
      <c r="B240" s="14" t="s">
        <v>42</v>
      </c>
      <c r="C240" s="24"/>
      <c r="D240" s="1" t="s">
        <v>167</v>
      </c>
      <c r="E240" s="5">
        <v>58434</v>
      </c>
      <c r="L240">
        <v>7</v>
      </c>
    </row>
    <row r="241" spans="1:12" x14ac:dyDescent="0.2">
      <c r="A241" s="2"/>
      <c r="B241" s="94" t="s">
        <v>46</v>
      </c>
      <c r="C241" s="5"/>
      <c r="D241" s="1" t="s">
        <v>155</v>
      </c>
      <c r="E241" s="5">
        <v>64905</v>
      </c>
      <c r="J241">
        <v>9</v>
      </c>
    </row>
    <row r="242" spans="1:12" x14ac:dyDescent="0.2">
      <c r="A242" s="2"/>
      <c r="B242" s="1"/>
      <c r="C242" s="5"/>
      <c r="D242" s="1"/>
      <c r="E242" s="5"/>
    </row>
    <row r="243" spans="1:12" x14ac:dyDescent="0.2">
      <c r="A243" s="113" t="s">
        <v>391</v>
      </c>
      <c r="B243" s="114"/>
      <c r="C243" s="114"/>
      <c r="D243" s="115"/>
      <c r="E243" s="10">
        <f>SUM(E239:E242)</f>
        <v>162360</v>
      </c>
    </row>
    <row r="244" spans="1:12" x14ac:dyDescent="0.2">
      <c r="A244" s="2"/>
      <c r="B244" s="1"/>
      <c r="C244" s="5"/>
      <c r="D244" s="1"/>
      <c r="E244" s="5"/>
    </row>
    <row r="245" spans="1:12" x14ac:dyDescent="0.2">
      <c r="A245" s="2">
        <v>45900</v>
      </c>
      <c r="B245" s="14" t="s">
        <v>44</v>
      </c>
      <c r="C245" s="5"/>
      <c r="D245" s="1" t="s">
        <v>154</v>
      </c>
      <c r="E245" s="5">
        <v>90216</v>
      </c>
      <c r="F245" s="98">
        <v>7.5</v>
      </c>
    </row>
    <row r="246" spans="1:12" x14ac:dyDescent="0.2">
      <c r="A246" s="2"/>
      <c r="B246" s="14" t="s">
        <v>42</v>
      </c>
      <c r="C246" s="5"/>
      <c r="D246" s="1" t="s">
        <v>389</v>
      </c>
      <c r="E246" s="5">
        <v>90216</v>
      </c>
      <c r="L246" s="98">
        <v>7.5</v>
      </c>
    </row>
    <row r="247" spans="1:12" x14ac:dyDescent="0.2">
      <c r="A247" s="2"/>
      <c r="B247" s="94" t="s">
        <v>46</v>
      </c>
      <c r="C247" s="5"/>
      <c r="D247" s="1" t="s">
        <v>124</v>
      </c>
      <c r="E247" s="5">
        <v>67936</v>
      </c>
      <c r="J247" s="98">
        <v>5.5</v>
      </c>
    </row>
    <row r="248" spans="1:12" x14ac:dyDescent="0.2">
      <c r="A248" s="2"/>
      <c r="B248" s="1" t="s">
        <v>194</v>
      </c>
      <c r="C248" s="5"/>
      <c r="D248" s="1" t="s">
        <v>388</v>
      </c>
      <c r="E248" s="5">
        <v>130000</v>
      </c>
    </row>
    <row r="249" spans="1:12" x14ac:dyDescent="0.2">
      <c r="A249" s="2"/>
      <c r="B249" s="1" t="s">
        <v>107</v>
      </c>
      <c r="C249" s="5"/>
      <c r="D249" s="1" t="s">
        <v>388</v>
      </c>
      <c r="E249" s="5">
        <v>400000</v>
      </c>
    </row>
    <row r="250" spans="1:12" x14ac:dyDescent="0.2">
      <c r="A250" s="2"/>
      <c r="B250" s="1"/>
      <c r="C250" s="5"/>
      <c r="D250" s="1"/>
      <c r="E250" s="5"/>
    </row>
    <row r="251" spans="1:12" x14ac:dyDescent="0.2">
      <c r="A251" s="2"/>
      <c r="B251" s="1"/>
      <c r="C251" s="5"/>
      <c r="D251" s="1"/>
      <c r="E251" s="5"/>
    </row>
    <row r="252" spans="1:12" x14ac:dyDescent="0.2">
      <c r="A252" s="113" t="s">
        <v>390</v>
      </c>
      <c r="B252" s="114"/>
      <c r="C252" s="114"/>
      <c r="D252" s="115"/>
      <c r="E252" s="112">
        <f>SUM(E245:E251)</f>
        <v>778368</v>
      </c>
    </row>
    <row r="253" spans="1:12" x14ac:dyDescent="0.2">
      <c r="A253" s="2"/>
      <c r="B253" s="1"/>
      <c r="C253" s="5"/>
      <c r="D253" s="1"/>
      <c r="E253" s="5"/>
    </row>
    <row r="254" spans="1:12" x14ac:dyDescent="0.2">
      <c r="A254" s="2"/>
      <c r="B254" s="1"/>
      <c r="C254" s="5"/>
      <c r="D254" s="1"/>
      <c r="E254" s="5"/>
    </row>
    <row r="255" spans="1:12" x14ac:dyDescent="0.2">
      <c r="A255" s="103"/>
      <c r="B255" s="103"/>
      <c r="C255" s="103"/>
      <c r="D255" s="103"/>
      <c r="E255" s="10">
        <f>SUM(E11:E254)/2</f>
        <v>6947250.5</v>
      </c>
    </row>
    <row r="256" spans="1:12" x14ac:dyDescent="0.2">
      <c r="A256" s="2"/>
      <c r="B256" s="1"/>
      <c r="C256" s="5"/>
      <c r="D256" s="1"/>
      <c r="E256" s="5"/>
    </row>
    <row r="257" spans="1:5" x14ac:dyDescent="0.2">
      <c r="A257" s="116"/>
      <c r="B257" s="117"/>
      <c r="C257" s="117"/>
      <c r="D257" s="118"/>
      <c r="E257" s="7"/>
    </row>
  </sheetData>
  <mergeCells count="32">
    <mergeCell ref="A257:D257"/>
    <mergeCell ref="A12:D12"/>
    <mergeCell ref="A22:D22"/>
    <mergeCell ref="A31:D31"/>
    <mergeCell ref="A40:D40"/>
    <mergeCell ref="A47:D47"/>
    <mergeCell ref="A55:D55"/>
    <mergeCell ref="A62:D62"/>
    <mergeCell ref="A69:D69"/>
    <mergeCell ref="A76:D76"/>
    <mergeCell ref="A84:D84"/>
    <mergeCell ref="A93:D93"/>
    <mergeCell ref="A101:D101"/>
    <mergeCell ref="A109:D109"/>
    <mergeCell ref="A118:D118"/>
    <mergeCell ref="A243:D243"/>
    <mergeCell ref="A252:D252"/>
    <mergeCell ref="A237:D237"/>
    <mergeCell ref="A126:D126"/>
    <mergeCell ref="A132:D132"/>
    <mergeCell ref="A141:D141"/>
    <mergeCell ref="A150:D150"/>
    <mergeCell ref="A157:D157"/>
    <mergeCell ref="A170:D170"/>
    <mergeCell ref="A177:D177"/>
    <mergeCell ref="A186:D186"/>
    <mergeCell ref="A230:D230"/>
    <mergeCell ref="A194:D194"/>
    <mergeCell ref="A201:D201"/>
    <mergeCell ref="A207:D207"/>
    <mergeCell ref="A215:D215"/>
    <mergeCell ref="A223:D22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412"/>
  <sheetViews>
    <sheetView topLeftCell="C288" zoomScale="150" zoomScaleNormal="150" zoomScalePageLayoutView="125" workbookViewId="0">
      <selection activeCell="I300" sqref="I300"/>
    </sheetView>
  </sheetViews>
  <sheetFormatPr baseColWidth="10" defaultRowHeight="15" x14ac:dyDescent="0.2"/>
  <cols>
    <col min="1" max="1" width="12.6640625" style="22" customWidth="1"/>
    <col min="2" max="2" width="23.33203125" style="13" customWidth="1"/>
    <col min="3" max="3" width="15.33203125" style="52" bestFit="1" customWidth="1"/>
    <col min="4" max="4" width="40" style="13" customWidth="1"/>
    <col min="5" max="5" width="10.33203125" style="14" bestFit="1" customWidth="1"/>
    <col min="6" max="6" width="14.1640625" style="13" bestFit="1" customWidth="1"/>
    <col min="7" max="7" width="11.5" style="13" bestFit="1" customWidth="1"/>
    <col min="8" max="8" width="12.5" style="13" customWidth="1"/>
    <col min="9" max="9" width="9" style="13" customWidth="1"/>
    <col min="10" max="10" width="11.33203125" style="13" customWidth="1"/>
    <col min="11" max="11" width="7.6640625" style="13" customWidth="1"/>
    <col min="12" max="12" width="10" style="13" customWidth="1"/>
    <col min="13" max="16384" width="10.83203125" style="13"/>
  </cols>
  <sheetData>
    <row r="1" spans="1:10" x14ac:dyDescent="0.2">
      <c r="A1" s="20" t="s">
        <v>0</v>
      </c>
      <c r="B1" s="12" t="s">
        <v>1</v>
      </c>
      <c r="C1" s="48" t="s">
        <v>3</v>
      </c>
      <c r="D1" s="53" t="s">
        <v>6</v>
      </c>
      <c r="E1" s="12" t="s">
        <v>19</v>
      </c>
      <c r="F1" s="58" t="s">
        <v>2</v>
      </c>
      <c r="G1" s="12" t="s">
        <v>4</v>
      </c>
      <c r="H1" s="12" t="s">
        <v>5</v>
      </c>
    </row>
    <row r="2" spans="1:10" x14ac:dyDescent="0.2">
      <c r="A2" s="21"/>
      <c r="B2" s="14"/>
      <c r="C2" s="49"/>
      <c r="D2" s="54"/>
      <c r="F2" s="47"/>
      <c r="G2" s="15"/>
      <c r="H2" s="15"/>
      <c r="I2" s="17"/>
      <c r="J2" s="17"/>
    </row>
    <row r="3" spans="1:10" x14ac:dyDescent="0.2">
      <c r="A3" s="43">
        <v>45870</v>
      </c>
      <c r="B3" s="44" t="s">
        <v>35</v>
      </c>
      <c r="C3" s="50"/>
      <c r="D3" s="44" t="s">
        <v>39</v>
      </c>
      <c r="E3" s="44"/>
      <c r="F3" s="46"/>
      <c r="G3" s="47"/>
      <c r="H3" s="15">
        <v>9950</v>
      </c>
      <c r="I3" s="17"/>
      <c r="J3" s="17"/>
    </row>
    <row r="4" spans="1:10" ht="16" x14ac:dyDescent="0.2">
      <c r="A4" s="43"/>
      <c r="B4" s="44" t="s">
        <v>48</v>
      </c>
      <c r="C4" s="50"/>
      <c r="D4" s="45" t="s">
        <v>49</v>
      </c>
      <c r="E4" s="45"/>
      <c r="F4" s="46"/>
      <c r="G4" s="47"/>
      <c r="H4" s="15">
        <v>60000</v>
      </c>
      <c r="I4" s="17"/>
      <c r="J4" s="17"/>
    </row>
    <row r="5" spans="1:10" ht="16" x14ac:dyDescent="0.2">
      <c r="A5" s="43"/>
      <c r="B5" s="44" t="s">
        <v>36</v>
      </c>
      <c r="C5" s="50"/>
      <c r="D5" s="45" t="s">
        <v>50</v>
      </c>
      <c r="E5" s="45"/>
      <c r="F5" s="46"/>
      <c r="G5" s="47"/>
      <c r="H5" s="15">
        <v>98000</v>
      </c>
      <c r="I5" s="17"/>
      <c r="J5" s="17"/>
    </row>
    <row r="6" spans="1:10" ht="16" x14ac:dyDescent="0.2">
      <c r="A6" s="43"/>
      <c r="B6" s="44" t="s">
        <v>37</v>
      </c>
      <c r="C6" s="50"/>
      <c r="D6" s="45" t="s">
        <v>53</v>
      </c>
      <c r="E6" s="45"/>
      <c r="F6" s="46"/>
      <c r="G6" s="47"/>
      <c r="H6" s="15">
        <v>49000</v>
      </c>
      <c r="I6" s="17"/>
      <c r="J6" s="17"/>
    </row>
    <row r="7" spans="1:10" ht="16" x14ac:dyDescent="0.2">
      <c r="A7" s="43"/>
      <c r="B7" s="44" t="s">
        <v>54</v>
      </c>
      <c r="C7" s="50"/>
      <c r="D7" s="45" t="s">
        <v>55</v>
      </c>
      <c r="E7" s="45"/>
      <c r="F7" s="46"/>
      <c r="G7" s="47"/>
      <c r="H7" s="15">
        <v>66200</v>
      </c>
      <c r="I7" s="17"/>
      <c r="J7" s="17"/>
    </row>
    <row r="8" spans="1:10" ht="16" x14ac:dyDescent="0.2">
      <c r="A8" s="43"/>
      <c r="B8" s="44" t="s">
        <v>35</v>
      </c>
      <c r="C8" s="50"/>
      <c r="D8" s="45" t="s">
        <v>56</v>
      </c>
      <c r="E8" s="45"/>
      <c r="F8" s="46"/>
      <c r="G8" s="47"/>
      <c r="H8" s="15">
        <v>270200</v>
      </c>
      <c r="I8" s="17"/>
      <c r="J8" s="17"/>
    </row>
    <row r="9" spans="1:10" ht="16" x14ac:dyDescent="0.2">
      <c r="A9" s="43"/>
      <c r="B9" s="44" t="s">
        <v>57</v>
      </c>
      <c r="C9" s="50"/>
      <c r="D9" s="45" t="s">
        <v>58</v>
      </c>
      <c r="E9" s="45"/>
      <c r="F9" s="46"/>
      <c r="G9" s="47"/>
      <c r="H9" s="15">
        <v>41500</v>
      </c>
      <c r="I9" s="17"/>
      <c r="J9" s="17"/>
    </row>
    <row r="10" spans="1:10" ht="16" x14ac:dyDescent="0.2">
      <c r="A10" s="43"/>
      <c r="B10" s="44" t="s">
        <v>61</v>
      </c>
      <c r="C10" s="50"/>
      <c r="D10" s="45" t="s">
        <v>38</v>
      </c>
      <c r="E10" s="45"/>
      <c r="F10" s="46"/>
      <c r="G10" s="47"/>
      <c r="H10" s="15">
        <v>13800</v>
      </c>
      <c r="I10" s="17"/>
      <c r="J10" s="17"/>
    </row>
    <row r="11" spans="1:10" ht="16" x14ac:dyDescent="0.2">
      <c r="A11" s="43"/>
      <c r="B11" s="44" t="s">
        <v>62</v>
      </c>
      <c r="C11" s="50"/>
      <c r="D11" s="45" t="s">
        <v>63</v>
      </c>
      <c r="E11" s="45"/>
      <c r="F11" s="46"/>
      <c r="G11" s="47"/>
      <c r="H11" s="15">
        <v>47999</v>
      </c>
      <c r="I11" s="17"/>
      <c r="J11" s="17"/>
    </row>
    <row r="12" spans="1:10" ht="16" x14ac:dyDescent="0.2">
      <c r="A12" s="43"/>
      <c r="B12" s="44" t="s">
        <v>64</v>
      </c>
      <c r="C12" s="50"/>
      <c r="D12" s="45" t="s">
        <v>65</v>
      </c>
      <c r="E12" s="45"/>
      <c r="F12" s="46"/>
      <c r="G12" s="47"/>
      <c r="H12" s="15">
        <v>229687</v>
      </c>
      <c r="I12" s="17"/>
      <c r="J12" s="17"/>
    </row>
    <row r="13" spans="1:10" ht="16" x14ac:dyDescent="0.2">
      <c r="A13" s="43"/>
      <c r="B13" s="44" t="s">
        <v>66</v>
      </c>
      <c r="C13" s="50"/>
      <c r="D13" s="45" t="s">
        <v>67</v>
      </c>
      <c r="E13" s="45"/>
      <c r="F13" s="46"/>
      <c r="G13" s="47"/>
      <c r="H13" s="15">
        <v>108121</v>
      </c>
      <c r="I13" s="17"/>
      <c r="J13" s="17"/>
    </row>
    <row r="14" spans="1:10" ht="16" x14ac:dyDescent="0.2">
      <c r="A14" s="43"/>
      <c r="B14" s="44" t="s">
        <v>62</v>
      </c>
      <c r="C14" s="50"/>
      <c r="D14" s="45" t="s">
        <v>68</v>
      </c>
      <c r="E14" s="45"/>
      <c r="F14" s="46"/>
      <c r="G14" s="47"/>
      <c r="H14" s="15">
        <v>33400</v>
      </c>
      <c r="I14" s="17"/>
      <c r="J14" s="17"/>
    </row>
    <row r="15" spans="1:10" ht="16" x14ac:dyDescent="0.2">
      <c r="A15" s="43"/>
      <c r="B15" s="44" t="s">
        <v>69</v>
      </c>
      <c r="C15" s="50"/>
      <c r="D15" s="45" t="s">
        <v>70</v>
      </c>
      <c r="E15" s="45"/>
      <c r="F15" s="46"/>
      <c r="G15" s="47"/>
      <c r="H15" s="15">
        <v>86400</v>
      </c>
      <c r="I15" s="17"/>
      <c r="J15" s="17"/>
    </row>
    <row r="16" spans="1:10" x14ac:dyDescent="0.2">
      <c r="A16" s="43"/>
      <c r="B16" s="44"/>
      <c r="C16" s="50"/>
      <c r="D16" s="45"/>
      <c r="E16" s="45"/>
      <c r="F16" s="46"/>
      <c r="G16" s="47"/>
      <c r="H16" s="15"/>
      <c r="I16" s="17"/>
      <c r="J16" s="17"/>
    </row>
    <row r="17" spans="1:10" x14ac:dyDescent="0.2">
      <c r="A17" s="43"/>
      <c r="B17" s="44"/>
      <c r="C17" s="50"/>
      <c r="D17" s="45"/>
      <c r="E17" s="45"/>
      <c r="F17" s="46"/>
      <c r="G17" s="47"/>
      <c r="H17" s="15"/>
      <c r="I17" s="17"/>
      <c r="J17" s="17"/>
    </row>
    <row r="18" spans="1:10" x14ac:dyDescent="0.2">
      <c r="A18" s="43"/>
      <c r="B18" s="44"/>
      <c r="C18" s="50"/>
      <c r="D18" s="45"/>
      <c r="E18" s="45"/>
      <c r="F18" s="46"/>
      <c r="G18" s="47"/>
      <c r="H18" s="15"/>
      <c r="I18" s="17"/>
      <c r="J18" s="17"/>
    </row>
    <row r="19" spans="1:10" x14ac:dyDescent="0.2">
      <c r="A19" s="43"/>
      <c r="B19" s="44"/>
      <c r="C19" s="50"/>
      <c r="D19" s="45"/>
      <c r="E19" s="45"/>
      <c r="F19" s="46"/>
      <c r="G19" s="47"/>
      <c r="H19" s="15"/>
      <c r="I19" s="17"/>
      <c r="J19" s="17"/>
    </row>
    <row r="20" spans="1:10" x14ac:dyDescent="0.2">
      <c r="A20" s="43"/>
      <c r="B20" s="44"/>
      <c r="C20" s="50"/>
      <c r="D20" s="45"/>
      <c r="E20" s="45"/>
      <c r="F20" s="46"/>
      <c r="G20" s="47"/>
      <c r="H20" s="15"/>
      <c r="I20" s="17"/>
      <c r="J20" s="17"/>
    </row>
    <row r="21" spans="1:10" x14ac:dyDescent="0.2">
      <c r="A21" s="43"/>
      <c r="B21" s="44"/>
      <c r="C21" s="50"/>
      <c r="D21" s="45"/>
      <c r="E21" s="45"/>
      <c r="F21" s="46"/>
      <c r="G21" s="47"/>
      <c r="H21" s="15"/>
      <c r="I21" s="17"/>
      <c r="J21" s="17"/>
    </row>
    <row r="22" spans="1:10" x14ac:dyDescent="0.2">
      <c r="A22" s="113" t="s">
        <v>71</v>
      </c>
      <c r="B22" s="114"/>
      <c r="C22" s="114"/>
      <c r="D22" s="122"/>
      <c r="E22" s="84"/>
      <c r="F22" s="84"/>
      <c r="G22" s="85"/>
      <c r="H22" s="16">
        <f>SUM(H3:H21)</f>
        <v>1114257</v>
      </c>
    </row>
    <row r="23" spans="1:10" x14ac:dyDescent="0.2">
      <c r="A23" s="21"/>
      <c r="B23" s="14"/>
      <c r="C23" s="49"/>
      <c r="D23" s="54"/>
      <c r="F23" s="47"/>
      <c r="G23" s="15"/>
      <c r="H23" s="15"/>
    </row>
    <row r="24" spans="1:10" x14ac:dyDescent="0.2">
      <c r="A24" s="21">
        <v>45871</v>
      </c>
      <c r="B24" s="14" t="s">
        <v>78</v>
      </c>
      <c r="C24" s="49"/>
      <c r="D24" s="54" t="s">
        <v>79</v>
      </c>
      <c r="F24" s="47"/>
      <c r="G24" s="15"/>
      <c r="H24" s="15">
        <v>95900</v>
      </c>
    </row>
    <row r="25" spans="1:10" x14ac:dyDescent="0.2">
      <c r="A25" s="21"/>
      <c r="B25" s="14" t="s">
        <v>80</v>
      </c>
      <c r="C25" s="49"/>
      <c r="D25" s="49" t="s">
        <v>81</v>
      </c>
      <c r="E25" s="15"/>
      <c r="F25" s="47"/>
      <c r="G25" s="15"/>
      <c r="H25" s="15">
        <v>21960</v>
      </c>
    </row>
    <row r="26" spans="1:10" x14ac:dyDescent="0.2">
      <c r="A26" s="21"/>
      <c r="B26" s="14" t="s">
        <v>35</v>
      </c>
      <c r="C26" s="54"/>
      <c r="D26" s="13" t="s">
        <v>82</v>
      </c>
      <c r="F26" s="47"/>
      <c r="G26" s="15"/>
      <c r="H26" s="15">
        <v>74350</v>
      </c>
    </row>
    <row r="27" spans="1:10" x14ac:dyDescent="0.2">
      <c r="A27" s="21"/>
      <c r="B27" s="14" t="s">
        <v>37</v>
      </c>
      <c r="C27" s="49"/>
      <c r="D27" s="57" t="s">
        <v>53</v>
      </c>
      <c r="E27" s="15"/>
      <c r="F27" s="47"/>
      <c r="G27" s="15"/>
      <c r="H27" s="15">
        <v>58800</v>
      </c>
    </row>
    <row r="28" spans="1:10" ht="16" x14ac:dyDescent="0.2">
      <c r="A28" s="21"/>
      <c r="B28" s="14" t="s">
        <v>83</v>
      </c>
      <c r="C28" s="49"/>
      <c r="D28" s="55" t="s">
        <v>84</v>
      </c>
      <c r="E28" s="11"/>
      <c r="F28" s="47"/>
      <c r="G28" s="15"/>
      <c r="H28" s="15">
        <v>7600</v>
      </c>
    </row>
    <row r="29" spans="1:10" ht="16" x14ac:dyDescent="0.2">
      <c r="A29" s="43"/>
      <c r="B29" s="44" t="s">
        <v>85</v>
      </c>
      <c r="C29" s="50"/>
      <c r="D29" s="62" t="s">
        <v>58</v>
      </c>
      <c r="E29" s="62"/>
      <c r="F29" s="46"/>
      <c r="G29" s="47"/>
      <c r="H29" s="15">
        <v>36000</v>
      </c>
    </row>
    <row r="30" spans="1:10" ht="16" x14ac:dyDescent="0.2">
      <c r="A30" s="43"/>
      <c r="B30" s="44" t="s">
        <v>86</v>
      </c>
      <c r="C30" s="50"/>
      <c r="D30" s="62" t="s">
        <v>87</v>
      </c>
      <c r="E30" s="62"/>
      <c r="F30" s="46"/>
      <c r="G30" s="47"/>
      <c r="H30" s="15">
        <v>22100</v>
      </c>
    </row>
    <row r="31" spans="1:10" ht="16" x14ac:dyDescent="0.2">
      <c r="A31" s="43"/>
      <c r="B31" s="44" t="s">
        <v>36</v>
      </c>
      <c r="C31" s="50"/>
      <c r="D31" s="62" t="s">
        <v>88</v>
      </c>
      <c r="E31" s="62"/>
      <c r="F31" s="46"/>
      <c r="G31" s="47"/>
      <c r="H31" s="15">
        <v>196000</v>
      </c>
    </row>
    <row r="32" spans="1:10" ht="16" x14ac:dyDescent="0.2">
      <c r="A32" s="43"/>
      <c r="B32" s="14" t="s">
        <v>61</v>
      </c>
      <c r="C32" s="49"/>
      <c r="D32" s="62" t="s">
        <v>38</v>
      </c>
      <c r="E32" s="62"/>
      <c r="F32" s="46"/>
      <c r="G32" s="47"/>
      <c r="H32" s="15">
        <v>13800</v>
      </c>
    </row>
    <row r="33" spans="1:8" x14ac:dyDescent="0.2">
      <c r="A33" s="43"/>
      <c r="B33" s="44"/>
      <c r="C33" s="50"/>
      <c r="D33" s="62"/>
      <c r="E33" s="62"/>
      <c r="F33" s="46"/>
      <c r="G33" s="47"/>
      <c r="H33" s="15"/>
    </row>
    <row r="34" spans="1:8" x14ac:dyDescent="0.2">
      <c r="A34" s="43"/>
      <c r="B34" s="44"/>
      <c r="C34" s="50"/>
      <c r="D34" s="62"/>
      <c r="E34" s="62"/>
      <c r="F34" s="46"/>
      <c r="G34" s="47"/>
      <c r="H34" s="15"/>
    </row>
    <row r="35" spans="1:8" x14ac:dyDescent="0.2">
      <c r="A35" s="43"/>
      <c r="B35" s="44"/>
      <c r="C35" s="50"/>
      <c r="D35" s="44"/>
      <c r="E35" s="44"/>
      <c r="F35" s="46"/>
      <c r="G35" s="47"/>
      <c r="H35" s="15"/>
    </row>
    <row r="36" spans="1:8" x14ac:dyDescent="0.2">
      <c r="A36" s="113" t="s">
        <v>89</v>
      </c>
      <c r="B36" s="114"/>
      <c r="C36" s="114"/>
      <c r="D36" s="122"/>
      <c r="E36" s="84"/>
      <c r="F36" s="84"/>
      <c r="G36" s="85"/>
      <c r="H36" s="16">
        <f>SUM(H24:H35)</f>
        <v>526510</v>
      </c>
    </row>
    <row r="37" spans="1:8" x14ac:dyDescent="0.2">
      <c r="A37" s="21"/>
      <c r="B37" s="14"/>
      <c r="C37" s="49"/>
      <c r="D37" s="55"/>
      <c r="E37" s="11"/>
      <c r="F37" s="47"/>
      <c r="G37" s="15"/>
      <c r="H37" s="15"/>
    </row>
    <row r="38" spans="1:8" ht="16" x14ac:dyDescent="0.2">
      <c r="A38" s="21">
        <v>45872</v>
      </c>
      <c r="B38" s="14" t="s">
        <v>91</v>
      </c>
      <c r="C38" s="49"/>
      <c r="D38" s="55" t="s">
        <v>92</v>
      </c>
      <c r="E38" s="11"/>
      <c r="F38" s="47"/>
      <c r="G38" s="15"/>
      <c r="H38" s="15">
        <v>33500</v>
      </c>
    </row>
    <row r="39" spans="1:8" ht="16" x14ac:dyDescent="0.2">
      <c r="A39" s="21"/>
      <c r="B39" s="14" t="s">
        <v>93</v>
      </c>
      <c r="C39" s="49"/>
      <c r="D39" s="55" t="s">
        <v>94</v>
      </c>
      <c r="E39" s="11"/>
      <c r="F39" s="47"/>
      <c r="G39" s="15"/>
      <c r="H39" s="15">
        <v>12900</v>
      </c>
    </row>
    <row r="40" spans="1:8" ht="16" x14ac:dyDescent="0.2">
      <c r="A40" s="21"/>
      <c r="B40" s="14" t="s">
        <v>35</v>
      </c>
      <c r="C40" s="49"/>
      <c r="D40" s="55" t="s">
        <v>95</v>
      </c>
      <c r="E40" s="11"/>
      <c r="F40" s="47"/>
      <c r="G40" s="15"/>
      <c r="H40" s="15">
        <v>137656</v>
      </c>
    </row>
    <row r="41" spans="1:8" ht="16" x14ac:dyDescent="0.2">
      <c r="A41" s="21"/>
      <c r="B41" s="14" t="s">
        <v>35</v>
      </c>
      <c r="C41" s="49"/>
      <c r="D41" s="55" t="s">
        <v>96</v>
      </c>
      <c r="E41" s="11"/>
      <c r="F41" s="47"/>
      <c r="G41" s="15"/>
      <c r="H41" s="15">
        <v>5180</v>
      </c>
    </row>
    <row r="42" spans="1:8" x14ac:dyDescent="0.2">
      <c r="A42" s="21"/>
      <c r="B42" s="14" t="s">
        <v>97</v>
      </c>
      <c r="C42" s="49"/>
      <c r="D42" s="57" t="s">
        <v>98</v>
      </c>
      <c r="E42" s="15"/>
      <c r="F42" s="47"/>
      <c r="G42" s="15"/>
      <c r="H42" s="15">
        <v>8800</v>
      </c>
    </row>
    <row r="43" spans="1:8" x14ac:dyDescent="0.2">
      <c r="A43" s="43"/>
      <c r="B43" s="44" t="s">
        <v>37</v>
      </c>
      <c r="C43" s="50"/>
      <c r="D43" s="46" t="s">
        <v>53</v>
      </c>
      <c r="E43" s="46"/>
      <c r="F43" s="46"/>
      <c r="G43" s="47"/>
      <c r="H43" s="15">
        <v>73000</v>
      </c>
    </row>
    <row r="44" spans="1:8" x14ac:dyDescent="0.2">
      <c r="A44" s="43"/>
      <c r="B44" s="14" t="s">
        <v>103</v>
      </c>
      <c r="C44" s="50"/>
      <c r="D44" s="46" t="s">
        <v>104</v>
      </c>
      <c r="E44" s="46"/>
      <c r="F44" s="46"/>
      <c r="G44" s="47"/>
      <c r="H44" s="15">
        <v>100000</v>
      </c>
    </row>
    <row r="45" spans="1:8" x14ac:dyDescent="0.2">
      <c r="A45" s="43"/>
      <c r="B45" s="44"/>
      <c r="C45" s="50"/>
      <c r="D45" s="46"/>
      <c r="E45" s="46"/>
      <c r="F45" s="46"/>
      <c r="G45" s="47"/>
      <c r="H45" s="15"/>
    </row>
    <row r="46" spans="1:8" x14ac:dyDescent="0.2">
      <c r="A46" s="43"/>
      <c r="B46" s="44"/>
      <c r="C46" s="50"/>
      <c r="D46" s="46"/>
      <c r="E46" s="46"/>
      <c r="F46" s="46"/>
      <c r="G46" s="47"/>
      <c r="H46" s="15"/>
    </row>
    <row r="47" spans="1:8" x14ac:dyDescent="0.2">
      <c r="A47" s="43"/>
      <c r="B47" s="44"/>
      <c r="C47" s="50"/>
      <c r="D47" s="46"/>
      <c r="E47" s="46"/>
      <c r="F47" s="46"/>
      <c r="G47" s="47"/>
      <c r="H47" s="15"/>
    </row>
    <row r="48" spans="1:8" x14ac:dyDescent="0.2">
      <c r="A48" s="43"/>
      <c r="B48" s="14"/>
      <c r="C48" s="49"/>
      <c r="D48" s="46"/>
      <c r="E48" s="46"/>
      <c r="F48" s="46"/>
      <c r="G48" s="47"/>
      <c r="H48" s="15"/>
    </row>
    <row r="49" spans="1:8" x14ac:dyDescent="0.2">
      <c r="A49" s="43"/>
      <c r="B49" s="44"/>
      <c r="C49" s="50"/>
      <c r="D49" s="46"/>
      <c r="E49" s="62"/>
      <c r="F49" s="46"/>
      <c r="G49" s="47"/>
      <c r="H49" s="15"/>
    </row>
    <row r="50" spans="1:8" x14ac:dyDescent="0.2">
      <c r="A50" s="113" t="s">
        <v>102</v>
      </c>
      <c r="B50" s="114"/>
      <c r="C50" s="114"/>
      <c r="D50" s="122"/>
      <c r="E50" s="84"/>
      <c r="F50" s="84"/>
      <c r="G50" s="85"/>
      <c r="H50" s="16">
        <f>SUM(H38:H49)</f>
        <v>371036</v>
      </c>
    </row>
    <row r="51" spans="1:8" x14ac:dyDescent="0.2">
      <c r="A51" s="21"/>
      <c r="B51" s="14"/>
      <c r="C51" s="49"/>
      <c r="D51" s="55"/>
      <c r="E51" s="11"/>
      <c r="F51" s="47"/>
      <c r="G51" s="15"/>
      <c r="H51" s="15"/>
    </row>
    <row r="52" spans="1:8" ht="16" x14ac:dyDescent="0.2">
      <c r="A52" s="21">
        <v>45873</v>
      </c>
      <c r="B52" s="14" t="s">
        <v>105</v>
      </c>
      <c r="C52" s="50"/>
      <c r="D52" s="55" t="s">
        <v>106</v>
      </c>
      <c r="E52" s="11"/>
      <c r="F52" s="47"/>
      <c r="G52" s="15"/>
      <c r="H52" s="15">
        <v>250000</v>
      </c>
    </row>
    <row r="53" spans="1:8" ht="16" x14ac:dyDescent="0.2">
      <c r="A53" s="21"/>
      <c r="B53" s="14" t="s">
        <v>107</v>
      </c>
      <c r="C53" s="50"/>
      <c r="D53" s="55" t="s">
        <v>108</v>
      </c>
      <c r="E53" s="11"/>
      <c r="F53" s="47"/>
      <c r="G53" s="15"/>
      <c r="H53" s="15">
        <v>115000</v>
      </c>
    </row>
    <row r="54" spans="1:8" ht="16" x14ac:dyDescent="0.2">
      <c r="A54" s="21"/>
      <c r="B54" s="14" t="s">
        <v>85</v>
      </c>
      <c r="C54" s="50"/>
      <c r="D54" s="55" t="s">
        <v>109</v>
      </c>
      <c r="E54" s="11"/>
      <c r="F54" s="47"/>
      <c r="G54" s="15"/>
      <c r="H54" s="15">
        <v>15000</v>
      </c>
    </row>
    <row r="55" spans="1:8" ht="16" x14ac:dyDescent="0.2">
      <c r="A55" s="21"/>
      <c r="B55" s="14" t="s">
        <v>37</v>
      </c>
      <c r="C55" s="50"/>
      <c r="D55" s="55" t="s">
        <v>53</v>
      </c>
      <c r="E55" s="11"/>
      <c r="F55" s="47"/>
      <c r="G55" s="15"/>
      <c r="H55" s="15">
        <v>73000</v>
      </c>
    </row>
    <row r="56" spans="1:8" ht="16" x14ac:dyDescent="0.2">
      <c r="A56" s="21"/>
      <c r="B56" s="14" t="s">
        <v>35</v>
      </c>
      <c r="C56" s="50"/>
      <c r="D56" s="55" t="s">
        <v>110</v>
      </c>
      <c r="E56" s="11"/>
      <c r="F56" s="47"/>
      <c r="G56" s="15"/>
      <c r="H56" s="15">
        <v>101190</v>
      </c>
    </row>
    <row r="57" spans="1:8" ht="16" x14ac:dyDescent="0.2">
      <c r="A57" s="21"/>
      <c r="B57" s="14" t="s">
        <v>61</v>
      </c>
      <c r="C57" s="50"/>
      <c r="D57" s="55" t="s">
        <v>38</v>
      </c>
      <c r="E57" s="11"/>
      <c r="F57" s="47"/>
      <c r="G57" s="15"/>
      <c r="H57" s="15">
        <v>13800</v>
      </c>
    </row>
    <row r="58" spans="1:8" ht="16" x14ac:dyDescent="0.2">
      <c r="A58" s="21"/>
      <c r="B58" s="14" t="s">
        <v>115</v>
      </c>
      <c r="C58" s="50"/>
      <c r="D58" s="55" t="s">
        <v>116</v>
      </c>
      <c r="E58" s="11"/>
      <c r="F58" s="47"/>
      <c r="G58" s="15"/>
      <c r="H58" s="15">
        <v>100000</v>
      </c>
    </row>
    <row r="59" spans="1:8" ht="16" x14ac:dyDescent="0.2">
      <c r="A59" s="21"/>
      <c r="B59" s="14" t="s">
        <v>119</v>
      </c>
      <c r="C59" s="50"/>
      <c r="D59" s="55" t="s">
        <v>81</v>
      </c>
      <c r="E59" s="11"/>
      <c r="F59" s="47"/>
      <c r="G59" s="15"/>
      <c r="H59" s="15">
        <v>31720</v>
      </c>
    </row>
    <row r="60" spans="1:8" ht="16" x14ac:dyDescent="0.2">
      <c r="A60" s="21"/>
      <c r="B60" s="14" t="s">
        <v>120</v>
      </c>
      <c r="C60" s="50"/>
      <c r="D60" s="55" t="s">
        <v>121</v>
      </c>
      <c r="E60" s="11"/>
      <c r="F60" s="47"/>
      <c r="G60" s="15"/>
      <c r="H60" s="15">
        <v>7800</v>
      </c>
    </row>
    <row r="61" spans="1:8" x14ac:dyDescent="0.2">
      <c r="A61" s="21"/>
      <c r="B61" s="14" t="s">
        <v>35</v>
      </c>
      <c r="C61" s="50"/>
      <c r="D61" s="57" t="s">
        <v>79</v>
      </c>
      <c r="E61" s="33"/>
      <c r="F61" s="47"/>
      <c r="G61" s="15"/>
      <c r="H61" s="15">
        <v>81824</v>
      </c>
    </row>
    <row r="62" spans="1:8" x14ac:dyDescent="0.2">
      <c r="A62" s="21"/>
      <c r="B62" s="14"/>
      <c r="C62" s="49"/>
      <c r="D62" s="56"/>
      <c r="F62" s="47"/>
      <c r="G62" s="15"/>
      <c r="H62" s="15"/>
    </row>
    <row r="63" spans="1:8" x14ac:dyDescent="0.2">
      <c r="A63" s="43"/>
      <c r="B63" s="44"/>
      <c r="C63" s="50"/>
      <c r="D63" s="44"/>
      <c r="E63" s="44"/>
      <c r="F63" s="46"/>
      <c r="G63" s="47"/>
      <c r="H63" s="15"/>
    </row>
    <row r="64" spans="1:8" x14ac:dyDescent="0.2">
      <c r="A64" s="113" t="s">
        <v>117</v>
      </c>
      <c r="B64" s="114"/>
      <c r="C64" s="114"/>
      <c r="D64" s="122"/>
      <c r="E64" s="84"/>
      <c r="F64" s="84"/>
      <c r="G64" s="85"/>
      <c r="H64" s="16">
        <f>SUM(H52:H63)</f>
        <v>789334</v>
      </c>
    </row>
    <row r="65" spans="1:8" x14ac:dyDescent="0.2">
      <c r="A65" s="21"/>
      <c r="B65" s="14"/>
      <c r="C65" s="49"/>
      <c r="D65" s="54"/>
      <c r="F65" s="47"/>
      <c r="G65" s="15"/>
      <c r="H65" s="15"/>
    </row>
    <row r="66" spans="1:8" x14ac:dyDescent="0.2">
      <c r="A66" s="21">
        <v>45874</v>
      </c>
      <c r="B66" s="14" t="s">
        <v>122</v>
      </c>
      <c r="C66" s="107"/>
      <c r="D66" s="44" t="s">
        <v>53</v>
      </c>
      <c r="F66" s="46"/>
      <c r="G66" s="47"/>
      <c r="H66" s="15">
        <v>27600</v>
      </c>
    </row>
    <row r="67" spans="1:8" x14ac:dyDescent="0.2">
      <c r="A67" s="21"/>
      <c r="B67" s="14" t="s">
        <v>85</v>
      </c>
      <c r="C67" s="107"/>
      <c r="D67" s="44" t="s">
        <v>55</v>
      </c>
      <c r="F67" s="46"/>
      <c r="G67" s="47"/>
      <c r="H67" s="15">
        <v>30000</v>
      </c>
    </row>
    <row r="68" spans="1:8" x14ac:dyDescent="0.2">
      <c r="A68" s="21"/>
      <c r="B68" s="14" t="s">
        <v>125</v>
      </c>
      <c r="C68" s="107"/>
      <c r="D68" s="44" t="s">
        <v>126</v>
      </c>
      <c r="F68" s="46"/>
      <c r="G68" s="47"/>
      <c r="H68" s="15">
        <v>270000</v>
      </c>
    </row>
    <row r="69" spans="1:8" x14ac:dyDescent="0.2">
      <c r="A69" s="21"/>
      <c r="B69" s="14" t="s">
        <v>127</v>
      </c>
      <c r="C69" s="107"/>
      <c r="D69" s="44" t="s">
        <v>128</v>
      </c>
      <c r="F69" s="46"/>
      <c r="G69" s="47"/>
      <c r="H69" s="15">
        <v>24900</v>
      </c>
    </row>
    <row r="70" spans="1:8" x14ac:dyDescent="0.2">
      <c r="A70" s="21"/>
      <c r="B70" s="14" t="s">
        <v>36</v>
      </c>
      <c r="C70" s="107"/>
      <c r="D70" s="44" t="s">
        <v>130</v>
      </c>
      <c r="F70" s="46"/>
      <c r="G70" s="47"/>
      <c r="H70" s="15">
        <v>196000</v>
      </c>
    </row>
    <row r="71" spans="1:8" x14ac:dyDescent="0.2">
      <c r="A71" s="21"/>
      <c r="B71" s="14"/>
      <c r="C71" s="107"/>
      <c r="D71" s="44"/>
      <c r="F71" s="46"/>
      <c r="G71" s="47"/>
      <c r="H71" s="15"/>
    </row>
    <row r="72" spans="1:8" x14ac:dyDescent="0.2">
      <c r="A72" s="21"/>
      <c r="B72" s="14"/>
      <c r="C72" s="54"/>
      <c r="D72" s="45"/>
      <c r="E72" s="33"/>
      <c r="F72" s="46"/>
      <c r="G72" s="47"/>
      <c r="H72" s="15"/>
    </row>
    <row r="73" spans="1:8" x14ac:dyDescent="0.2">
      <c r="A73" s="21"/>
      <c r="B73" s="14"/>
      <c r="C73" s="51"/>
      <c r="D73" s="55"/>
      <c r="E73" s="11"/>
      <c r="F73" s="47"/>
      <c r="G73" s="15"/>
      <c r="H73" s="15"/>
    </row>
    <row r="74" spans="1:8" x14ac:dyDescent="0.2">
      <c r="A74" s="43"/>
      <c r="B74" s="44"/>
      <c r="C74" s="50"/>
      <c r="D74" s="45"/>
      <c r="E74" s="45"/>
      <c r="F74" s="46"/>
      <c r="G74" s="47"/>
      <c r="H74" s="15"/>
    </row>
    <row r="75" spans="1:8" x14ac:dyDescent="0.2">
      <c r="A75" s="119" t="s">
        <v>131</v>
      </c>
      <c r="B75" s="120"/>
      <c r="C75" s="120"/>
      <c r="D75" s="120"/>
      <c r="E75" s="120"/>
      <c r="F75" s="120"/>
      <c r="G75" s="121"/>
      <c r="H75" s="16">
        <f>SUM(H66:H74)</f>
        <v>548500</v>
      </c>
    </row>
    <row r="76" spans="1:8" x14ac:dyDescent="0.2">
      <c r="A76" s="21"/>
      <c r="B76" s="14"/>
      <c r="C76" s="49"/>
      <c r="D76" s="54"/>
      <c r="F76" s="47"/>
      <c r="G76" s="15"/>
      <c r="H76" s="15"/>
    </row>
    <row r="77" spans="1:8" x14ac:dyDescent="0.2">
      <c r="A77" s="21">
        <v>45875</v>
      </c>
      <c r="B77" s="14" t="s">
        <v>136</v>
      </c>
      <c r="C77" s="49"/>
      <c r="D77" s="54" t="s">
        <v>98</v>
      </c>
      <c r="F77" s="47"/>
      <c r="G77" s="15"/>
      <c r="H77" s="15">
        <v>8408</v>
      </c>
    </row>
    <row r="78" spans="1:8" x14ac:dyDescent="0.2">
      <c r="A78" s="21"/>
      <c r="B78" s="14" t="s">
        <v>137</v>
      </c>
      <c r="C78" s="49"/>
      <c r="D78" s="54" t="s">
        <v>138</v>
      </c>
      <c r="F78" s="47"/>
      <c r="G78" s="15"/>
      <c r="H78" s="15">
        <v>65150</v>
      </c>
    </row>
    <row r="79" spans="1:8" x14ac:dyDescent="0.2">
      <c r="A79" s="21"/>
      <c r="B79" s="14" t="s">
        <v>85</v>
      </c>
      <c r="C79" s="49"/>
      <c r="D79" s="54" t="s">
        <v>39</v>
      </c>
      <c r="F79" s="47"/>
      <c r="G79" s="15"/>
      <c r="H79" s="15">
        <v>12000</v>
      </c>
    </row>
    <row r="80" spans="1:8" x14ac:dyDescent="0.2">
      <c r="A80" s="21"/>
      <c r="B80" s="14" t="s">
        <v>35</v>
      </c>
      <c r="C80" s="49"/>
      <c r="D80" s="54" t="s">
        <v>139</v>
      </c>
      <c r="F80" s="47"/>
      <c r="G80" s="15"/>
      <c r="H80" s="15">
        <v>78310</v>
      </c>
    </row>
    <row r="81" spans="1:8" x14ac:dyDescent="0.2">
      <c r="A81" s="21"/>
      <c r="B81" s="14" t="s">
        <v>85</v>
      </c>
      <c r="C81" s="49"/>
      <c r="D81" s="54" t="s">
        <v>140</v>
      </c>
      <c r="F81" s="47"/>
      <c r="G81" s="15"/>
      <c r="H81" s="15">
        <v>60000</v>
      </c>
    </row>
    <row r="82" spans="1:8" x14ac:dyDescent="0.2">
      <c r="A82" s="21"/>
      <c r="B82" s="14" t="s">
        <v>61</v>
      </c>
      <c r="C82" s="49"/>
      <c r="D82" s="54" t="s">
        <v>38</v>
      </c>
      <c r="F82" s="47"/>
      <c r="G82" s="15"/>
      <c r="H82" s="15">
        <v>13800</v>
      </c>
    </row>
    <row r="83" spans="1:8" x14ac:dyDescent="0.2">
      <c r="A83" s="21"/>
      <c r="B83" s="14" t="s">
        <v>141</v>
      </c>
      <c r="C83" s="49"/>
      <c r="D83" s="54" t="s">
        <v>142</v>
      </c>
      <c r="F83" s="47"/>
      <c r="G83" s="15"/>
      <c r="H83" s="15">
        <v>424039</v>
      </c>
    </row>
    <row r="84" spans="1:8" x14ac:dyDescent="0.2">
      <c r="A84" s="21"/>
      <c r="B84" s="14"/>
      <c r="C84" s="49"/>
      <c r="D84" s="54"/>
      <c r="F84" s="47"/>
      <c r="G84" s="15"/>
      <c r="H84" s="15"/>
    </row>
    <row r="85" spans="1:8" x14ac:dyDescent="0.2">
      <c r="A85" s="21"/>
      <c r="B85" s="14"/>
      <c r="C85" s="49"/>
      <c r="D85" s="54"/>
      <c r="F85" s="47"/>
      <c r="G85" s="15"/>
      <c r="H85" s="15"/>
    </row>
    <row r="86" spans="1:8" x14ac:dyDescent="0.2">
      <c r="A86" s="21"/>
      <c r="B86" s="14"/>
      <c r="C86" s="49"/>
      <c r="D86" s="54"/>
      <c r="F86" s="47"/>
      <c r="G86" s="15"/>
      <c r="H86" s="15"/>
    </row>
    <row r="87" spans="1:8" x14ac:dyDescent="0.2">
      <c r="A87" s="21"/>
      <c r="B87" s="14"/>
      <c r="C87" s="49"/>
      <c r="D87" s="55"/>
      <c r="E87" s="15"/>
      <c r="F87" s="47"/>
      <c r="G87" s="15"/>
      <c r="H87" s="15"/>
    </row>
    <row r="88" spans="1:8" x14ac:dyDescent="0.2">
      <c r="A88" s="21"/>
      <c r="B88" s="14"/>
      <c r="C88" s="51"/>
      <c r="D88" s="55"/>
      <c r="E88" s="33"/>
      <c r="F88" s="47"/>
      <c r="G88" s="15"/>
      <c r="H88" s="15"/>
    </row>
    <row r="89" spans="1:8" x14ac:dyDescent="0.2">
      <c r="A89" s="43"/>
      <c r="B89" s="44"/>
      <c r="C89" s="50"/>
      <c r="D89" s="45"/>
      <c r="E89" s="45"/>
      <c r="F89" s="46"/>
      <c r="G89" s="47"/>
      <c r="H89" s="15"/>
    </row>
    <row r="90" spans="1:8" x14ac:dyDescent="0.2">
      <c r="A90" s="119" t="s">
        <v>143</v>
      </c>
      <c r="B90" s="120"/>
      <c r="C90" s="120"/>
      <c r="D90" s="120"/>
      <c r="E90" s="120"/>
      <c r="F90" s="120"/>
      <c r="G90" s="121"/>
      <c r="H90" s="16">
        <f>SUM(H77:H89)</f>
        <v>661707</v>
      </c>
    </row>
    <row r="91" spans="1:8" x14ac:dyDescent="0.2">
      <c r="A91" s="21"/>
      <c r="B91" s="14"/>
      <c r="C91" s="49"/>
      <c r="D91" s="54"/>
      <c r="F91" s="47"/>
      <c r="G91" s="15"/>
      <c r="H91" s="15"/>
    </row>
    <row r="92" spans="1:8" x14ac:dyDescent="0.2">
      <c r="A92" s="21">
        <v>45876</v>
      </c>
      <c r="B92" s="44" t="s">
        <v>85</v>
      </c>
      <c r="C92" s="50"/>
      <c r="D92" s="54" t="s">
        <v>151</v>
      </c>
      <c r="F92" s="47"/>
      <c r="G92" s="15"/>
      <c r="H92" s="15">
        <v>60000</v>
      </c>
    </row>
    <row r="93" spans="1:8" x14ac:dyDescent="0.2">
      <c r="A93" s="21"/>
      <c r="B93" s="44" t="s">
        <v>152</v>
      </c>
      <c r="C93" s="50"/>
      <c r="D93" s="54" t="s">
        <v>153</v>
      </c>
      <c r="F93" s="47"/>
      <c r="G93" s="15"/>
      <c r="H93" s="15">
        <v>184000</v>
      </c>
    </row>
    <row r="94" spans="1:8" x14ac:dyDescent="0.2">
      <c r="A94" s="21"/>
      <c r="B94" s="44" t="s">
        <v>157</v>
      </c>
      <c r="C94" s="50"/>
      <c r="D94" s="54" t="s">
        <v>92</v>
      </c>
      <c r="F94" s="47"/>
      <c r="G94" s="15"/>
      <c r="H94" s="15">
        <v>45750</v>
      </c>
    </row>
    <row r="95" spans="1:8" x14ac:dyDescent="0.2">
      <c r="A95" s="21"/>
      <c r="B95" s="44" t="s">
        <v>35</v>
      </c>
      <c r="C95" s="50"/>
      <c r="D95" s="54" t="s">
        <v>158</v>
      </c>
      <c r="F95" s="47"/>
      <c r="G95" s="15"/>
      <c r="H95" s="15">
        <v>149270</v>
      </c>
    </row>
    <row r="96" spans="1:8" x14ac:dyDescent="0.2">
      <c r="A96" s="21"/>
      <c r="B96" s="44" t="s">
        <v>36</v>
      </c>
      <c r="C96" s="50"/>
      <c r="D96" s="54" t="s">
        <v>159</v>
      </c>
      <c r="F96" s="47"/>
      <c r="G96" s="15"/>
      <c r="H96" s="15">
        <v>146000</v>
      </c>
    </row>
    <row r="97" spans="1:8" x14ac:dyDescent="0.2">
      <c r="A97" s="21"/>
      <c r="B97" s="44" t="s">
        <v>162</v>
      </c>
      <c r="C97" s="50"/>
      <c r="D97" s="54" t="s">
        <v>163</v>
      </c>
      <c r="F97" s="47"/>
      <c r="G97" s="15"/>
      <c r="H97" s="15">
        <v>19200</v>
      </c>
    </row>
    <row r="98" spans="1:8" x14ac:dyDescent="0.2">
      <c r="A98" s="21"/>
      <c r="B98" s="44" t="s">
        <v>37</v>
      </c>
      <c r="C98" s="50"/>
      <c r="D98" s="54" t="s">
        <v>164</v>
      </c>
      <c r="F98" s="47"/>
      <c r="G98" s="15"/>
      <c r="H98" s="15">
        <v>51600</v>
      </c>
    </row>
    <row r="99" spans="1:8" x14ac:dyDescent="0.2">
      <c r="A99" s="21"/>
      <c r="B99" s="44" t="s">
        <v>165</v>
      </c>
      <c r="C99" s="50"/>
      <c r="D99" s="54" t="s">
        <v>79</v>
      </c>
      <c r="F99" s="47"/>
      <c r="G99" s="15"/>
      <c r="H99" s="15">
        <v>119500</v>
      </c>
    </row>
    <row r="100" spans="1:8" x14ac:dyDescent="0.2">
      <c r="A100" s="21"/>
      <c r="B100" s="44"/>
      <c r="C100" s="50"/>
      <c r="D100" s="54"/>
      <c r="F100" s="47"/>
      <c r="G100" s="15"/>
      <c r="H100" s="15"/>
    </row>
    <row r="101" spans="1:8" x14ac:dyDescent="0.2">
      <c r="A101" s="21"/>
      <c r="B101" s="44"/>
      <c r="C101" s="50"/>
      <c r="D101" s="55"/>
      <c r="E101" s="11"/>
      <c r="F101" s="47"/>
      <c r="G101" s="15"/>
      <c r="H101" s="15"/>
    </row>
    <row r="102" spans="1:8" x14ac:dyDescent="0.2">
      <c r="A102" s="43"/>
      <c r="B102" s="44"/>
      <c r="C102" s="50"/>
      <c r="D102" s="62"/>
      <c r="E102" s="62"/>
      <c r="F102" s="46"/>
      <c r="G102" s="47"/>
      <c r="H102" s="15"/>
    </row>
    <row r="103" spans="1:8" x14ac:dyDescent="0.2">
      <c r="A103" s="119" t="s">
        <v>160</v>
      </c>
      <c r="B103" s="120"/>
      <c r="C103" s="120"/>
      <c r="D103" s="120"/>
      <c r="E103" s="120"/>
      <c r="F103" s="120"/>
      <c r="G103" s="121"/>
      <c r="H103" s="16">
        <f>SUM(H92:H102)</f>
        <v>775320</v>
      </c>
    </row>
    <row r="104" spans="1:8" x14ac:dyDescent="0.2">
      <c r="A104" s="21"/>
      <c r="B104" s="14"/>
      <c r="C104" s="49"/>
      <c r="D104" s="54"/>
      <c r="F104" s="47"/>
      <c r="G104" s="15"/>
      <c r="H104" s="15"/>
    </row>
    <row r="105" spans="1:8" x14ac:dyDescent="0.2">
      <c r="A105" s="21">
        <v>45877</v>
      </c>
      <c r="B105" s="44" t="s">
        <v>36</v>
      </c>
      <c r="C105" s="50"/>
      <c r="D105" s="54" t="s">
        <v>168</v>
      </c>
      <c r="F105" s="47"/>
      <c r="G105" s="15"/>
      <c r="H105" s="15">
        <v>146000</v>
      </c>
    </row>
    <row r="106" spans="1:8" x14ac:dyDescent="0.2">
      <c r="A106" s="21"/>
      <c r="B106" s="44" t="s">
        <v>35</v>
      </c>
      <c r="C106" s="50"/>
      <c r="D106" s="54" t="s">
        <v>169</v>
      </c>
      <c r="F106" s="47"/>
      <c r="G106" s="15"/>
      <c r="H106" s="15">
        <v>127140</v>
      </c>
    </row>
    <row r="107" spans="1:8" x14ac:dyDescent="0.2">
      <c r="A107" s="21"/>
      <c r="B107" s="44" t="s">
        <v>37</v>
      </c>
      <c r="C107" s="50"/>
      <c r="D107" s="54" t="s">
        <v>53</v>
      </c>
      <c r="F107" s="47"/>
      <c r="G107" s="15"/>
      <c r="H107" s="15">
        <v>73500</v>
      </c>
    </row>
    <row r="108" spans="1:8" x14ac:dyDescent="0.2">
      <c r="A108" s="21"/>
      <c r="B108" s="44" t="s">
        <v>61</v>
      </c>
      <c r="C108" s="50"/>
      <c r="D108" s="54" t="s">
        <v>38</v>
      </c>
      <c r="F108" s="47"/>
      <c r="G108" s="15"/>
      <c r="H108" s="15">
        <v>13800</v>
      </c>
    </row>
    <row r="109" spans="1:8" x14ac:dyDescent="0.2">
      <c r="A109" s="21"/>
      <c r="B109" s="44" t="s">
        <v>66</v>
      </c>
      <c r="C109" s="50"/>
      <c r="D109" s="54" t="s">
        <v>170</v>
      </c>
      <c r="F109" s="47"/>
      <c r="G109" s="15"/>
      <c r="H109" s="15">
        <v>160543</v>
      </c>
    </row>
    <row r="110" spans="1:8" ht="16" x14ac:dyDescent="0.2">
      <c r="A110" s="21"/>
      <c r="B110" s="14" t="s">
        <v>171</v>
      </c>
      <c r="C110" s="49"/>
      <c r="D110" s="55" t="s">
        <v>172</v>
      </c>
      <c r="E110" s="11"/>
      <c r="F110" s="47"/>
      <c r="G110" s="15"/>
      <c r="H110" s="15">
        <v>183071</v>
      </c>
    </row>
    <row r="111" spans="1:8" x14ac:dyDescent="0.2">
      <c r="A111" s="21"/>
      <c r="B111" s="44" t="s">
        <v>173</v>
      </c>
      <c r="C111" s="50"/>
      <c r="D111" s="46" t="s">
        <v>174</v>
      </c>
      <c r="F111" s="47"/>
      <c r="G111" s="15"/>
      <c r="H111" s="15">
        <v>115200</v>
      </c>
    </row>
    <row r="112" spans="1:8" x14ac:dyDescent="0.2">
      <c r="A112" s="21"/>
      <c r="B112" s="14"/>
      <c r="C112" s="54"/>
      <c r="D112" s="44"/>
      <c r="E112" s="44"/>
      <c r="F112" s="46"/>
      <c r="G112" s="47"/>
      <c r="H112" s="15"/>
    </row>
    <row r="113" spans="1:8" x14ac:dyDescent="0.2">
      <c r="A113" s="43"/>
      <c r="B113" s="44"/>
      <c r="C113" s="50"/>
      <c r="D113" s="44"/>
      <c r="E113" s="44"/>
      <c r="F113" s="46"/>
      <c r="G113" s="47"/>
      <c r="H113" s="15"/>
    </row>
    <row r="114" spans="1:8" x14ac:dyDescent="0.2">
      <c r="A114" s="43"/>
      <c r="B114" s="44"/>
      <c r="C114" s="50"/>
      <c r="D114" s="44"/>
      <c r="E114" s="44"/>
      <c r="F114" s="46"/>
      <c r="G114" s="47"/>
      <c r="H114" s="15"/>
    </row>
    <row r="115" spans="1:8" x14ac:dyDescent="0.2">
      <c r="A115" s="119" t="s">
        <v>175</v>
      </c>
      <c r="B115" s="120"/>
      <c r="C115" s="120"/>
      <c r="D115" s="120"/>
      <c r="E115" s="120"/>
      <c r="F115" s="120"/>
      <c r="G115" s="121"/>
      <c r="H115" s="16">
        <f>SUM(H105:H114)</f>
        <v>819254</v>
      </c>
    </row>
    <row r="116" spans="1:8" x14ac:dyDescent="0.2">
      <c r="A116" s="21"/>
      <c r="B116" s="14"/>
      <c r="C116" s="49"/>
      <c r="D116" s="54"/>
      <c r="F116" s="47"/>
      <c r="G116" s="15"/>
      <c r="H116" s="15"/>
    </row>
    <row r="117" spans="1:8" x14ac:dyDescent="0.2">
      <c r="A117" s="21">
        <v>45878</v>
      </c>
      <c r="B117" s="14" t="s">
        <v>80</v>
      </c>
      <c r="C117" s="49"/>
      <c r="D117" s="54" t="s">
        <v>81</v>
      </c>
      <c r="F117" s="47"/>
      <c r="G117" s="15"/>
      <c r="H117" s="15">
        <v>39590</v>
      </c>
    </row>
    <row r="118" spans="1:8" x14ac:dyDescent="0.2">
      <c r="A118" s="21"/>
      <c r="B118" s="14" t="s">
        <v>35</v>
      </c>
      <c r="C118" s="49"/>
      <c r="D118" s="54" t="s">
        <v>177</v>
      </c>
      <c r="F118" s="47"/>
      <c r="G118" s="15"/>
      <c r="H118" s="15">
        <v>63000</v>
      </c>
    </row>
    <row r="119" spans="1:8" x14ac:dyDescent="0.2">
      <c r="A119" s="21"/>
      <c r="B119" s="14" t="s">
        <v>37</v>
      </c>
      <c r="C119" s="49"/>
      <c r="D119" s="54" t="s">
        <v>53</v>
      </c>
      <c r="F119" s="47"/>
      <c r="G119" s="15"/>
      <c r="H119" s="15">
        <v>75000</v>
      </c>
    </row>
    <row r="120" spans="1:8" x14ac:dyDescent="0.2">
      <c r="A120" s="21"/>
      <c r="B120" s="14" t="s">
        <v>35</v>
      </c>
      <c r="C120" s="49"/>
      <c r="D120" s="54" t="s">
        <v>178</v>
      </c>
      <c r="F120" s="47"/>
      <c r="G120" s="15"/>
      <c r="H120" s="15">
        <v>27965</v>
      </c>
    </row>
    <row r="121" spans="1:8" x14ac:dyDescent="0.2">
      <c r="A121" s="21"/>
      <c r="B121" s="14" t="s">
        <v>61</v>
      </c>
      <c r="C121" s="49"/>
      <c r="D121" s="54" t="s">
        <v>38</v>
      </c>
      <c r="F121" s="47"/>
      <c r="G121" s="15"/>
      <c r="H121" s="15">
        <v>13800</v>
      </c>
    </row>
    <row r="122" spans="1:8" x14ac:dyDescent="0.2">
      <c r="A122" s="21"/>
      <c r="B122" s="14" t="s">
        <v>36</v>
      </c>
      <c r="C122" s="49"/>
      <c r="D122" s="54" t="s">
        <v>179</v>
      </c>
      <c r="F122" s="47"/>
      <c r="G122" s="15"/>
      <c r="H122" s="15">
        <v>196000</v>
      </c>
    </row>
    <row r="123" spans="1:8" x14ac:dyDescent="0.2">
      <c r="A123" s="21"/>
      <c r="B123" s="14" t="s">
        <v>62</v>
      </c>
      <c r="C123" s="49"/>
      <c r="D123" s="54" t="s">
        <v>180</v>
      </c>
      <c r="F123" s="47"/>
      <c r="G123" s="15"/>
      <c r="H123" s="15">
        <v>51799</v>
      </c>
    </row>
    <row r="124" spans="1:8" x14ac:dyDescent="0.2">
      <c r="A124" s="21"/>
      <c r="B124" s="14" t="s">
        <v>35</v>
      </c>
      <c r="C124" s="49"/>
      <c r="D124" s="54" t="s">
        <v>185</v>
      </c>
      <c r="F124" s="47"/>
      <c r="G124" s="15"/>
      <c r="H124" s="15">
        <v>55200</v>
      </c>
    </row>
    <row r="125" spans="1:8" x14ac:dyDescent="0.2">
      <c r="A125" s="21"/>
      <c r="B125" s="14"/>
      <c r="C125" s="49"/>
      <c r="D125" s="54"/>
      <c r="F125" s="47"/>
      <c r="G125" s="15"/>
      <c r="H125" s="15"/>
    </row>
    <row r="126" spans="1:8" x14ac:dyDescent="0.2">
      <c r="A126" s="21"/>
      <c r="B126" s="14"/>
      <c r="C126" s="50"/>
      <c r="D126" s="55"/>
      <c r="E126" s="11"/>
      <c r="F126" s="47"/>
      <c r="G126" s="15"/>
      <c r="H126" s="15"/>
    </row>
    <row r="127" spans="1:8" x14ac:dyDescent="0.2">
      <c r="A127" s="21"/>
      <c r="B127" s="14"/>
      <c r="C127" s="50"/>
      <c r="D127" s="46"/>
      <c r="E127" s="11"/>
      <c r="F127" s="47"/>
      <c r="G127" s="15"/>
      <c r="H127" s="15"/>
    </row>
    <row r="128" spans="1:8" x14ac:dyDescent="0.2">
      <c r="A128" s="21"/>
      <c r="B128" s="14"/>
      <c r="C128" s="51"/>
      <c r="D128" s="62"/>
      <c r="E128" s="62"/>
      <c r="F128" s="46"/>
      <c r="G128" s="47"/>
      <c r="H128" s="15"/>
    </row>
    <row r="129" spans="1:8" x14ac:dyDescent="0.2">
      <c r="A129" s="43"/>
      <c r="B129" s="44"/>
      <c r="C129" s="50"/>
      <c r="D129" s="62"/>
      <c r="E129" s="62"/>
      <c r="F129" s="46"/>
      <c r="G129" s="47"/>
      <c r="H129" s="15"/>
    </row>
    <row r="130" spans="1:8" x14ac:dyDescent="0.2">
      <c r="A130" s="119" t="s">
        <v>181</v>
      </c>
      <c r="B130" s="120"/>
      <c r="C130" s="120"/>
      <c r="D130" s="120"/>
      <c r="E130" s="120"/>
      <c r="F130" s="120"/>
      <c r="G130" s="121"/>
      <c r="H130" s="16">
        <f>SUM(H117:H129)</f>
        <v>522354</v>
      </c>
    </row>
    <row r="131" spans="1:8" x14ac:dyDescent="0.2">
      <c r="A131" s="21"/>
      <c r="B131" s="14"/>
      <c r="C131" s="49"/>
      <c r="D131" s="54"/>
      <c r="F131" s="47"/>
      <c r="G131" s="15"/>
      <c r="H131" s="15"/>
    </row>
    <row r="132" spans="1:8" x14ac:dyDescent="0.2">
      <c r="A132" s="21">
        <v>45879</v>
      </c>
      <c r="B132" s="14" t="s">
        <v>85</v>
      </c>
      <c r="C132" s="49"/>
      <c r="D132" s="54" t="s">
        <v>186</v>
      </c>
      <c r="F132" s="47"/>
      <c r="G132" s="15"/>
      <c r="H132" s="15">
        <v>14500</v>
      </c>
    </row>
    <row r="133" spans="1:8" x14ac:dyDescent="0.2">
      <c r="A133" s="21"/>
      <c r="B133" s="14" t="s">
        <v>85</v>
      </c>
      <c r="C133" s="49"/>
      <c r="D133" s="54" t="s">
        <v>58</v>
      </c>
      <c r="F133" s="47"/>
      <c r="G133" s="15"/>
      <c r="H133" s="15">
        <v>24000</v>
      </c>
    </row>
    <row r="134" spans="1:8" x14ac:dyDescent="0.2">
      <c r="A134" s="21"/>
      <c r="B134" s="14" t="s">
        <v>35</v>
      </c>
      <c r="C134" s="49"/>
      <c r="D134" s="54" t="s">
        <v>187</v>
      </c>
      <c r="F134" s="47"/>
      <c r="G134" s="15"/>
      <c r="H134" s="15">
        <v>15100</v>
      </c>
    </row>
    <row r="135" spans="1:8" x14ac:dyDescent="0.2">
      <c r="A135" s="21"/>
      <c r="B135" s="14" t="s">
        <v>188</v>
      </c>
      <c r="C135" s="49"/>
      <c r="D135" s="54" t="s">
        <v>189</v>
      </c>
      <c r="F135" s="47"/>
      <c r="G135" s="15"/>
      <c r="H135" s="15">
        <v>100000</v>
      </c>
    </row>
    <row r="136" spans="1:8" ht="16" x14ac:dyDescent="0.2">
      <c r="A136" s="21"/>
      <c r="B136" s="14" t="s">
        <v>35</v>
      </c>
      <c r="C136" s="49"/>
      <c r="D136" s="55" t="s">
        <v>190</v>
      </c>
      <c r="E136" s="11"/>
      <c r="F136" s="47"/>
      <c r="G136" s="15"/>
      <c r="H136" s="15">
        <v>143800</v>
      </c>
    </row>
    <row r="137" spans="1:8" ht="16" x14ac:dyDescent="0.2">
      <c r="A137" s="21"/>
      <c r="B137" s="80" t="s">
        <v>85</v>
      </c>
      <c r="C137" s="50"/>
      <c r="D137" s="55" t="s">
        <v>191</v>
      </c>
      <c r="E137" s="11"/>
      <c r="F137" s="47"/>
      <c r="G137" s="15"/>
      <c r="H137" s="15">
        <v>83500</v>
      </c>
    </row>
    <row r="138" spans="1:8" ht="16" x14ac:dyDescent="0.2">
      <c r="A138" s="21"/>
      <c r="B138" s="80" t="s">
        <v>85</v>
      </c>
      <c r="C138" s="50"/>
      <c r="D138" s="62" t="s">
        <v>192</v>
      </c>
      <c r="E138" s="62"/>
      <c r="F138" s="46"/>
      <c r="G138" s="47"/>
      <c r="H138" s="15">
        <v>28000</v>
      </c>
    </row>
    <row r="139" spans="1:8" x14ac:dyDescent="0.2">
      <c r="A139" s="21"/>
      <c r="B139" s="14" t="s">
        <v>165</v>
      </c>
      <c r="C139" s="49"/>
      <c r="D139" s="57" t="s">
        <v>79</v>
      </c>
      <c r="E139" s="62"/>
      <c r="F139" s="46"/>
      <c r="G139" s="47"/>
      <c r="H139" s="15">
        <v>80100</v>
      </c>
    </row>
    <row r="140" spans="1:8" x14ac:dyDescent="0.2">
      <c r="A140" s="43"/>
      <c r="B140" s="44"/>
      <c r="C140" s="61"/>
      <c r="D140" s="62"/>
      <c r="E140" s="62"/>
      <c r="F140" s="46"/>
      <c r="G140" s="47"/>
      <c r="H140" s="15"/>
    </row>
    <row r="141" spans="1:8" x14ac:dyDescent="0.2">
      <c r="A141" s="43"/>
      <c r="B141" s="44"/>
      <c r="C141" s="61"/>
      <c r="D141" s="62"/>
      <c r="E141" s="62"/>
      <c r="F141" s="46"/>
      <c r="G141" s="47"/>
      <c r="H141" s="15"/>
    </row>
    <row r="142" spans="1:8" x14ac:dyDescent="0.2">
      <c r="A142" s="43"/>
      <c r="B142" s="44"/>
      <c r="C142" s="61"/>
      <c r="D142" s="62"/>
      <c r="E142" s="62"/>
      <c r="F142" s="46"/>
      <c r="G142" s="47"/>
      <c r="H142" s="15"/>
    </row>
    <row r="143" spans="1:8" x14ac:dyDescent="0.2">
      <c r="A143" s="119" t="s">
        <v>197</v>
      </c>
      <c r="B143" s="120"/>
      <c r="C143" s="120"/>
      <c r="D143" s="120"/>
      <c r="E143" s="120"/>
      <c r="F143" s="120"/>
      <c r="G143" s="121"/>
      <c r="H143" s="16">
        <f>SUM(H132:H142)</f>
        <v>489000</v>
      </c>
    </row>
    <row r="144" spans="1:8" x14ac:dyDescent="0.2">
      <c r="A144" s="21"/>
      <c r="B144" s="14"/>
      <c r="C144" s="49"/>
      <c r="D144" s="54"/>
      <c r="F144" s="47"/>
      <c r="G144" s="15"/>
      <c r="H144" s="15"/>
    </row>
    <row r="145" spans="1:8" ht="16" x14ac:dyDescent="0.2">
      <c r="A145" s="21">
        <v>45880</v>
      </c>
      <c r="B145" s="14" t="s">
        <v>137</v>
      </c>
      <c r="C145" s="49"/>
      <c r="D145" s="55" t="s">
        <v>199</v>
      </c>
      <c r="E145" s="11"/>
      <c r="F145" s="47"/>
      <c r="G145" s="15"/>
      <c r="H145" s="15">
        <v>66600</v>
      </c>
    </row>
    <row r="146" spans="1:8" ht="16" x14ac:dyDescent="0.2">
      <c r="A146" s="21"/>
      <c r="B146" s="14" t="s">
        <v>35</v>
      </c>
      <c r="C146" s="49"/>
      <c r="D146" s="55" t="s">
        <v>200</v>
      </c>
      <c r="E146" s="11"/>
      <c r="F146" s="47"/>
      <c r="G146" s="15"/>
      <c r="H146" s="15">
        <v>130370</v>
      </c>
    </row>
    <row r="147" spans="1:8" x14ac:dyDescent="0.2">
      <c r="A147" s="21"/>
      <c r="B147" s="14" t="s">
        <v>136</v>
      </c>
      <c r="C147" s="49"/>
      <c r="D147" s="54" t="s">
        <v>201</v>
      </c>
      <c r="E147" s="11"/>
      <c r="F147" s="47"/>
      <c r="G147" s="15"/>
      <c r="H147" s="15">
        <v>33008</v>
      </c>
    </row>
    <row r="148" spans="1:8" ht="16" x14ac:dyDescent="0.2">
      <c r="A148" s="43"/>
      <c r="B148" s="44" t="s">
        <v>36</v>
      </c>
      <c r="C148" s="50"/>
      <c r="D148" s="62" t="s">
        <v>203</v>
      </c>
      <c r="E148" s="62"/>
      <c r="F148" s="46"/>
      <c r="G148" s="47"/>
      <c r="H148" s="15">
        <v>196000</v>
      </c>
    </row>
    <row r="149" spans="1:8" ht="16" x14ac:dyDescent="0.2">
      <c r="A149" s="43"/>
      <c r="B149" s="44" t="s">
        <v>61</v>
      </c>
      <c r="C149" s="50"/>
      <c r="D149" s="62" t="s">
        <v>38</v>
      </c>
      <c r="E149" s="62"/>
      <c r="F149" s="46"/>
      <c r="G149" s="47"/>
      <c r="H149" s="15">
        <v>13800</v>
      </c>
    </row>
    <row r="150" spans="1:8" x14ac:dyDescent="0.2">
      <c r="A150" s="43"/>
      <c r="B150" s="44" t="s">
        <v>125</v>
      </c>
      <c r="C150" s="50"/>
      <c r="D150" s="46" t="s">
        <v>206</v>
      </c>
      <c r="E150" s="62"/>
      <c r="F150" s="46"/>
      <c r="G150" s="47"/>
      <c r="H150" s="15">
        <v>270000</v>
      </c>
    </row>
    <row r="151" spans="1:8" x14ac:dyDescent="0.2">
      <c r="A151" s="43"/>
      <c r="B151" s="44"/>
      <c r="C151" s="50"/>
      <c r="D151" s="44"/>
      <c r="E151" s="62"/>
      <c r="F151" s="46"/>
      <c r="G151" s="47"/>
      <c r="H151" s="15"/>
    </row>
    <row r="152" spans="1:8" x14ac:dyDescent="0.2">
      <c r="A152" s="43"/>
      <c r="B152" s="44"/>
      <c r="C152" s="50"/>
      <c r="D152" s="62"/>
      <c r="E152" s="62"/>
      <c r="F152" s="46"/>
      <c r="G152" s="47"/>
      <c r="H152" s="15"/>
    </row>
    <row r="153" spans="1:8" x14ac:dyDescent="0.2">
      <c r="A153" s="119" t="s">
        <v>204</v>
      </c>
      <c r="B153" s="120"/>
      <c r="C153" s="120"/>
      <c r="D153" s="120"/>
      <c r="E153" s="120"/>
      <c r="F153" s="120"/>
      <c r="G153" s="121"/>
      <c r="H153" s="16">
        <f>SUM(H145:H152)</f>
        <v>709778</v>
      </c>
    </row>
    <row r="154" spans="1:8" x14ac:dyDescent="0.2">
      <c r="A154" s="21"/>
      <c r="B154" s="14"/>
      <c r="C154" s="49"/>
      <c r="D154" s="54"/>
      <c r="F154" s="47"/>
      <c r="G154" s="15"/>
      <c r="H154" s="15"/>
    </row>
    <row r="155" spans="1:8" x14ac:dyDescent="0.2">
      <c r="A155" s="21">
        <v>45850</v>
      </c>
      <c r="B155" s="14" t="s">
        <v>35</v>
      </c>
      <c r="C155" s="54"/>
      <c r="D155" s="54" t="s">
        <v>207</v>
      </c>
      <c r="F155" s="47"/>
      <c r="G155" s="15"/>
      <c r="H155" s="15">
        <v>81600</v>
      </c>
    </row>
    <row r="156" spans="1:8" ht="16" x14ac:dyDescent="0.2">
      <c r="A156" s="21"/>
      <c r="B156" s="44" t="s">
        <v>208</v>
      </c>
      <c r="C156" s="49"/>
      <c r="D156" s="55" t="s">
        <v>58</v>
      </c>
      <c r="E156" s="11"/>
      <c r="F156" s="47"/>
      <c r="G156" s="15"/>
      <c r="H156" s="15">
        <v>36000</v>
      </c>
    </row>
    <row r="157" spans="1:8" ht="16" x14ac:dyDescent="0.2">
      <c r="A157" s="21"/>
      <c r="B157" s="14" t="s">
        <v>35</v>
      </c>
      <c r="C157" s="50"/>
      <c r="D157" s="55" t="s">
        <v>209</v>
      </c>
      <c r="E157" s="11"/>
      <c r="F157" s="47"/>
      <c r="G157" s="15"/>
      <c r="H157" s="15">
        <v>64330</v>
      </c>
    </row>
    <row r="158" spans="1:8" ht="16" x14ac:dyDescent="0.2">
      <c r="A158" s="21"/>
      <c r="B158" s="44" t="s">
        <v>210</v>
      </c>
      <c r="C158" s="50"/>
      <c r="D158" s="55" t="s">
        <v>211</v>
      </c>
      <c r="E158" s="11"/>
      <c r="F158" s="47"/>
      <c r="G158" s="15"/>
      <c r="H158" s="15">
        <v>120000</v>
      </c>
    </row>
    <row r="159" spans="1:8" x14ac:dyDescent="0.2">
      <c r="A159" s="21"/>
      <c r="B159" s="44"/>
      <c r="C159" s="50"/>
      <c r="D159" s="56"/>
      <c r="E159" s="33"/>
      <c r="F159" s="47"/>
      <c r="G159" s="15"/>
      <c r="H159" s="15"/>
    </row>
    <row r="160" spans="1:8" x14ac:dyDescent="0.2">
      <c r="A160" s="43"/>
      <c r="B160" s="14"/>
      <c r="C160" s="49"/>
      <c r="D160" s="45"/>
      <c r="E160" s="45"/>
      <c r="F160" s="46"/>
      <c r="G160" s="47"/>
      <c r="H160" s="15"/>
    </row>
    <row r="161" spans="1:8" x14ac:dyDescent="0.2">
      <c r="A161" s="43"/>
      <c r="B161" s="44"/>
      <c r="C161" s="50"/>
      <c r="D161" s="45"/>
      <c r="E161" s="45"/>
      <c r="F161" s="46"/>
      <c r="G161" s="47"/>
      <c r="H161" s="15"/>
    </row>
    <row r="162" spans="1:8" x14ac:dyDescent="0.2">
      <c r="A162" s="119" t="s">
        <v>215</v>
      </c>
      <c r="B162" s="120"/>
      <c r="C162" s="120"/>
      <c r="D162" s="120"/>
      <c r="E162" s="120"/>
      <c r="F162" s="120"/>
      <c r="G162" s="121"/>
      <c r="H162" s="16">
        <f>SUM(H155:H161)</f>
        <v>301930</v>
      </c>
    </row>
    <row r="163" spans="1:8" x14ac:dyDescent="0.2">
      <c r="A163" s="43"/>
      <c r="B163" s="44"/>
      <c r="C163" s="50"/>
      <c r="D163" s="45"/>
      <c r="E163" s="45"/>
      <c r="F163" s="46"/>
      <c r="G163" s="47"/>
      <c r="H163" s="15"/>
    </row>
    <row r="164" spans="1:8" ht="16" x14ac:dyDescent="0.2">
      <c r="A164" s="43">
        <v>45882</v>
      </c>
      <c r="B164" s="44" t="s">
        <v>37</v>
      </c>
      <c r="C164" s="50"/>
      <c r="D164" s="45" t="s">
        <v>216</v>
      </c>
      <c r="E164" s="45"/>
      <c r="F164" s="46"/>
      <c r="G164" s="47"/>
      <c r="H164" s="15">
        <v>73000</v>
      </c>
    </row>
    <row r="165" spans="1:8" ht="16" x14ac:dyDescent="0.2">
      <c r="A165" s="43"/>
      <c r="B165" s="44" t="s">
        <v>35</v>
      </c>
      <c r="C165" s="50"/>
      <c r="D165" s="45" t="s">
        <v>217</v>
      </c>
      <c r="E165" s="45"/>
      <c r="F165" s="46"/>
      <c r="G165" s="47"/>
      <c r="H165" s="15">
        <v>86332</v>
      </c>
    </row>
    <row r="166" spans="1:8" ht="16" x14ac:dyDescent="0.2">
      <c r="A166" s="43"/>
      <c r="B166" s="44" t="s">
        <v>36</v>
      </c>
      <c r="C166" s="50"/>
      <c r="D166" s="45" t="s">
        <v>219</v>
      </c>
      <c r="E166" s="45"/>
      <c r="F166" s="46"/>
      <c r="G166" s="47"/>
      <c r="H166" s="15">
        <v>146000</v>
      </c>
    </row>
    <row r="167" spans="1:8" ht="16" x14ac:dyDescent="0.2">
      <c r="A167" s="43"/>
      <c r="B167" s="44" t="s">
        <v>61</v>
      </c>
      <c r="C167" s="50"/>
      <c r="D167" s="45" t="s">
        <v>38</v>
      </c>
      <c r="E167" s="45"/>
      <c r="F167" s="46"/>
      <c r="G167" s="47"/>
      <c r="H167" s="15">
        <v>13800</v>
      </c>
    </row>
    <row r="168" spans="1:8" ht="16" x14ac:dyDescent="0.2">
      <c r="A168" s="43"/>
      <c r="B168" s="44" t="s">
        <v>220</v>
      </c>
      <c r="C168" s="50"/>
      <c r="D168" s="45" t="s">
        <v>221</v>
      </c>
      <c r="E168" s="45"/>
      <c r="F168" s="46"/>
      <c r="G168" s="47"/>
      <c r="H168" s="15">
        <v>339231</v>
      </c>
    </row>
    <row r="169" spans="1:8" x14ac:dyDescent="0.2">
      <c r="A169" s="43"/>
      <c r="B169" s="44"/>
      <c r="C169" s="50"/>
      <c r="D169" s="45"/>
      <c r="E169" s="45"/>
      <c r="F169" s="46"/>
      <c r="G169" s="47"/>
      <c r="H169" s="15"/>
    </row>
    <row r="170" spans="1:8" x14ac:dyDescent="0.2">
      <c r="A170" s="43"/>
      <c r="B170" s="44"/>
      <c r="C170" s="50"/>
      <c r="D170" s="45"/>
      <c r="E170" s="45"/>
      <c r="F170" s="46"/>
      <c r="G170" s="47"/>
      <c r="H170" s="15"/>
    </row>
    <row r="171" spans="1:8" x14ac:dyDescent="0.2">
      <c r="A171" s="43"/>
      <c r="B171" s="44"/>
      <c r="C171" s="50"/>
      <c r="D171" s="45"/>
      <c r="E171" s="45"/>
      <c r="F171" s="46"/>
      <c r="G171" s="47"/>
      <c r="H171" s="15"/>
    </row>
    <row r="172" spans="1:8" x14ac:dyDescent="0.2">
      <c r="A172" s="43"/>
      <c r="B172" s="44"/>
      <c r="C172" s="61"/>
      <c r="D172" s="62"/>
      <c r="E172" s="62"/>
      <c r="F172" s="46"/>
      <c r="G172" s="47"/>
      <c r="H172" s="15"/>
    </row>
    <row r="173" spans="1:8" x14ac:dyDescent="0.2">
      <c r="A173" s="119" t="s">
        <v>222</v>
      </c>
      <c r="B173" s="120"/>
      <c r="C173" s="120"/>
      <c r="D173" s="120"/>
      <c r="E173" s="120"/>
      <c r="F173" s="120"/>
      <c r="G173" s="121"/>
      <c r="H173" s="16">
        <f>SUM(H164:H172)</f>
        <v>658363</v>
      </c>
    </row>
    <row r="174" spans="1:8" x14ac:dyDescent="0.2">
      <c r="A174" s="21"/>
      <c r="B174" s="14"/>
      <c r="C174" s="49"/>
      <c r="D174" s="54"/>
      <c r="F174" s="47"/>
      <c r="G174" s="15"/>
      <c r="H174" s="15"/>
    </row>
    <row r="175" spans="1:8" x14ac:dyDescent="0.2">
      <c r="A175" s="21">
        <v>45883</v>
      </c>
      <c r="B175" s="14" t="s">
        <v>37</v>
      </c>
      <c r="C175" s="49"/>
      <c r="D175" s="54" t="s">
        <v>226</v>
      </c>
      <c r="F175" s="47"/>
      <c r="G175" s="15"/>
      <c r="H175" s="15">
        <v>39000</v>
      </c>
    </row>
    <row r="176" spans="1:8" x14ac:dyDescent="0.2">
      <c r="A176" s="21"/>
      <c r="B176" s="14" t="s">
        <v>152</v>
      </c>
      <c r="C176" s="49"/>
      <c r="D176" s="54" t="s">
        <v>153</v>
      </c>
      <c r="F176" s="47"/>
      <c r="G176" s="15"/>
      <c r="H176" s="15">
        <v>184000</v>
      </c>
    </row>
    <row r="177" spans="1:8" ht="16" x14ac:dyDescent="0.2">
      <c r="A177" s="21"/>
      <c r="B177" s="14" t="s">
        <v>36</v>
      </c>
      <c r="C177" s="49"/>
      <c r="D177" s="55" t="s">
        <v>227</v>
      </c>
      <c r="E177" s="11"/>
      <c r="F177" s="47"/>
      <c r="G177" s="15"/>
      <c r="H177" s="15">
        <v>96000</v>
      </c>
    </row>
    <row r="178" spans="1:8" x14ac:dyDescent="0.2">
      <c r="A178" s="21"/>
      <c r="B178" s="14"/>
      <c r="C178" s="49"/>
      <c r="D178" s="55"/>
      <c r="F178" s="47"/>
      <c r="G178" s="15"/>
      <c r="H178" s="15"/>
    </row>
    <row r="179" spans="1:8" x14ac:dyDescent="0.2">
      <c r="A179" s="43"/>
      <c r="B179" s="44"/>
      <c r="C179" s="50"/>
      <c r="D179" s="44"/>
      <c r="E179" s="44"/>
      <c r="F179" s="46"/>
      <c r="G179" s="47"/>
      <c r="H179" s="15"/>
    </row>
    <row r="180" spans="1:8" x14ac:dyDescent="0.2">
      <c r="A180" s="43"/>
      <c r="B180" s="14"/>
      <c r="C180" s="50"/>
      <c r="D180" s="44"/>
      <c r="E180" s="44"/>
      <c r="F180" s="46"/>
      <c r="G180" s="47"/>
      <c r="H180" s="15"/>
    </row>
    <row r="181" spans="1:8" x14ac:dyDescent="0.2">
      <c r="A181" s="43"/>
      <c r="B181" s="44"/>
      <c r="C181" s="50"/>
      <c r="D181" s="44"/>
      <c r="E181" s="44"/>
      <c r="F181" s="46"/>
      <c r="G181" s="47"/>
      <c r="H181" s="15"/>
    </row>
    <row r="182" spans="1:8" x14ac:dyDescent="0.2">
      <c r="A182" s="119" t="s">
        <v>228</v>
      </c>
      <c r="B182" s="120"/>
      <c r="C182" s="120"/>
      <c r="D182" s="120"/>
      <c r="E182" s="120"/>
      <c r="F182" s="120"/>
      <c r="G182" s="121"/>
      <c r="H182" s="16">
        <f>SUM(H175:H181)</f>
        <v>319000</v>
      </c>
    </row>
    <row r="183" spans="1:8" x14ac:dyDescent="0.2">
      <c r="A183" s="21"/>
      <c r="B183" s="14"/>
      <c r="C183" s="49"/>
      <c r="D183" s="54"/>
      <c r="F183" s="47"/>
      <c r="G183" s="15"/>
      <c r="H183" s="15"/>
    </row>
    <row r="184" spans="1:8" ht="16" x14ac:dyDescent="0.2">
      <c r="A184" s="21">
        <v>45884</v>
      </c>
      <c r="B184" s="14" t="s">
        <v>230</v>
      </c>
      <c r="C184" s="49"/>
      <c r="D184" s="55" t="s">
        <v>231</v>
      </c>
      <c r="E184" s="11"/>
      <c r="F184" s="47"/>
      <c r="G184" s="15"/>
      <c r="H184" s="15">
        <v>104000</v>
      </c>
    </row>
    <row r="185" spans="1:8" ht="16" x14ac:dyDescent="0.2">
      <c r="A185" s="21"/>
      <c r="B185" s="14" t="s">
        <v>35</v>
      </c>
      <c r="C185" s="49"/>
      <c r="D185" s="55" t="s">
        <v>232</v>
      </c>
      <c r="E185" s="11"/>
      <c r="F185" s="47"/>
      <c r="G185" s="15"/>
      <c r="H185" s="15">
        <v>171900</v>
      </c>
    </row>
    <row r="186" spans="1:8" ht="16" x14ac:dyDescent="0.2">
      <c r="A186" s="21"/>
      <c r="B186" s="14" t="s">
        <v>85</v>
      </c>
      <c r="C186" s="107"/>
      <c r="D186" s="55" t="s">
        <v>233</v>
      </c>
      <c r="E186" s="11"/>
      <c r="F186" s="47"/>
      <c r="G186" s="15"/>
      <c r="H186" s="15">
        <v>12000</v>
      </c>
    </row>
    <row r="187" spans="1:8" ht="16" x14ac:dyDescent="0.2">
      <c r="A187" s="21"/>
      <c r="B187" s="14" t="s">
        <v>36</v>
      </c>
      <c r="C187" s="107"/>
      <c r="D187" s="55" t="s">
        <v>236</v>
      </c>
      <c r="E187" s="11"/>
      <c r="F187" s="47"/>
      <c r="G187" s="15"/>
      <c r="H187" s="15">
        <v>146000</v>
      </c>
    </row>
    <row r="188" spans="1:8" ht="16" x14ac:dyDescent="0.2">
      <c r="A188" s="21"/>
      <c r="B188" s="14" t="s">
        <v>115</v>
      </c>
      <c r="C188" s="107"/>
      <c r="D188" s="55" t="s">
        <v>237</v>
      </c>
      <c r="E188" s="11"/>
      <c r="F188" s="47"/>
      <c r="G188" s="15"/>
      <c r="H188" s="15">
        <v>100000</v>
      </c>
    </row>
    <row r="189" spans="1:8" ht="16" x14ac:dyDescent="0.2">
      <c r="A189" s="21"/>
      <c r="B189" s="14" t="s">
        <v>78</v>
      </c>
      <c r="C189" s="107"/>
      <c r="D189" s="55" t="s">
        <v>79</v>
      </c>
      <c r="E189" s="11"/>
      <c r="F189" s="47"/>
      <c r="G189" s="15"/>
      <c r="H189" s="15">
        <v>99100</v>
      </c>
    </row>
    <row r="190" spans="1:8" ht="16" x14ac:dyDescent="0.2">
      <c r="A190" s="21"/>
      <c r="B190" s="14" t="s">
        <v>238</v>
      </c>
      <c r="C190" s="107"/>
      <c r="D190" s="55" t="s">
        <v>53</v>
      </c>
      <c r="E190" s="11"/>
      <c r="F190" s="47"/>
      <c r="G190" s="15"/>
      <c r="H190" s="15">
        <v>50000</v>
      </c>
    </row>
    <row r="191" spans="1:8" x14ac:dyDescent="0.2">
      <c r="A191" s="21"/>
      <c r="B191" s="14" t="s">
        <v>62</v>
      </c>
      <c r="C191" s="54"/>
      <c r="D191" s="54" t="s">
        <v>180</v>
      </c>
      <c r="F191" s="47"/>
      <c r="G191" s="15"/>
      <c r="H191" s="15">
        <v>51799</v>
      </c>
    </row>
    <row r="192" spans="1:8" ht="16" x14ac:dyDescent="0.2">
      <c r="A192" s="21"/>
      <c r="B192" s="44" t="s">
        <v>66</v>
      </c>
      <c r="C192" s="61"/>
      <c r="D192" s="62" t="s">
        <v>170</v>
      </c>
      <c r="E192" s="62"/>
      <c r="F192" s="46"/>
      <c r="G192" s="47"/>
      <c r="H192" s="15">
        <v>85916</v>
      </c>
    </row>
    <row r="193" spans="1:8" ht="16" x14ac:dyDescent="0.2">
      <c r="A193" s="21"/>
      <c r="B193" s="14" t="s">
        <v>173</v>
      </c>
      <c r="C193" s="49"/>
      <c r="D193" s="55" t="s">
        <v>239</v>
      </c>
      <c r="E193" s="11"/>
      <c r="F193" s="47"/>
      <c r="G193" s="15"/>
      <c r="H193" s="15">
        <v>145200</v>
      </c>
    </row>
    <row r="194" spans="1:8" x14ac:dyDescent="0.2">
      <c r="A194" s="21"/>
      <c r="B194" s="14"/>
      <c r="C194" s="54"/>
      <c r="D194" s="44"/>
      <c r="E194" s="62"/>
      <c r="F194" s="46"/>
      <c r="G194" s="47"/>
      <c r="H194" s="15"/>
    </row>
    <row r="195" spans="1:8" x14ac:dyDescent="0.2">
      <c r="A195" s="21"/>
      <c r="B195" s="44"/>
      <c r="C195" s="50"/>
      <c r="D195" s="62"/>
      <c r="E195" s="62"/>
      <c r="F195" s="46"/>
      <c r="G195" s="47"/>
      <c r="H195" s="15"/>
    </row>
    <row r="196" spans="1:8" x14ac:dyDescent="0.2">
      <c r="A196" s="43"/>
      <c r="B196" s="44"/>
      <c r="C196" s="50"/>
      <c r="D196" s="62"/>
      <c r="E196" s="62"/>
      <c r="F196" s="46"/>
      <c r="G196" s="47"/>
      <c r="H196" s="15"/>
    </row>
    <row r="197" spans="1:8" x14ac:dyDescent="0.2">
      <c r="A197" s="119" t="s">
        <v>240</v>
      </c>
      <c r="B197" s="120"/>
      <c r="C197" s="120"/>
      <c r="D197" s="120"/>
      <c r="E197" s="120"/>
      <c r="F197" s="120"/>
      <c r="G197" s="121"/>
      <c r="H197" s="16">
        <f>SUM(H184:H196)</f>
        <v>965915</v>
      </c>
    </row>
    <row r="198" spans="1:8" x14ac:dyDescent="0.2">
      <c r="A198" s="21"/>
      <c r="B198" s="14"/>
      <c r="C198" s="49"/>
      <c r="D198" s="54"/>
      <c r="F198" s="47"/>
      <c r="G198" s="15"/>
      <c r="H198" s="15"/>
    </row>
    <row r="199" spans="1:8" x14ac:dyDescent="0.2">
      <c r="A199" s="21" t="s">
        <v>242</v>
      </c>
      <c r="B199" s="14" t="s">
        <v>80</v>
      </c>
      <c r="C199" s="49"/>
      <c r="D199" s="54" t="s">
        <v>81</v>
      </c>
      <c r="F199" s="47"/>
      <c r="G199" s="15"/>
      <c r="H199" s="15">
        <v>39040</v>
      </c>
    </row>
    <row r="200" spans="1:8" x14ac:dyDescent="0.2">
      <c r="A200" s="21"/>
      <c r="B200" s="14" t="s">
        <v>243</v>
      </c>
      <c r="C200" s="49"/>
      <c r="D200" s="54" t="s">
        <v>94</v>
      </c>
      <c r="F200" s="47"/>
      <c r="G200" s="15"/>
      <c r="H200" s="15">
        <v>25900</v>
      </c>
    </row>
    <row r="201" spans="1:8" x14ac:dyDescent="0.2">
      <c r="A201" s="21"/>
      <c r="B201" s="14" t="s">
        <v>244</v>
      </c>
      <c r="C201" s="49"/>
      <c r="D201" s="54" t="s">
        <v>245</v>
      </c>
      <c r="F201" s="47"/>
      <c r="G201" s="15"/>
      <c r="H201" s="15">
        <v>133100</v>
      </c>
    </row>
    <row r="202" spans="1:8" x14ac:dyDescent="0.2">
      <c r="A202" s="21"/>
      <c r="B202" s="14" t="s">
        <v>246</v>
      </c>
      <c r="C202" s="49"/>
      <c r="D202" s="54" t="s">
        <v>247</v>
      </c>
      <c r="F202" s="47"/>
      <c r="G202" s="15"/>
      <c r="H202" s="15">
        <v>41000</v>
      </c>
    </row>
    <row r="203" spans="1:8" x14ac:dyDescent="0.2">
      <c r="A203" s="21"/>
      <c r="B203" s="14" t="s">
        <v>35</v>
      </c>
      <c r="C203" s="49"/>
      <c r="D203" s="54" t="s">
        <v>248</v>
      </c>
      <c r="F203" s="47"/>
      <c r="G203" s="15"/>
      <c r="H203" s="15">
        <v>213934</v>
      </c>
    </row>
    <row r="204" spans="1:8" ht="16" x14ac:dyDescent="0.2">
      <c r="A204" s="21"/>
      <c r="B204" s="14" t="s">
        <v>246</v>
      </c>
      <c r="C204" s="49"/>
      <c r="D204" s="55" t="s">
        <v>249</v>
      </c>
      <c r="E204" s="11"/>
      <c r="F204" s="47"/>
      <c r="G204" s="15"/>
      <c r="H204" s="15">
        <v>36000</v>
      </c>
    </row>
    <row r="205" spans="1:8" x14ac:dyDescent="0.2">
      <c r="A205" s="21"/>
      <c r="B205" s="44" t="s">
        <v>250</v>
      </c>
      <c r="C205" s="50"/>
      <c r="D205" s="54" t="s">
        <v>251</v>
      </c>
      <c r="F205" s="47"/>
      <c r="G205" s="15"/>
      <c r="H205" s="15">
        <v>66600</v>
      </c>
    </row>
    <row r="206" spans="1:8" x14ac:dyDescent="0.2">
      <c r="A206" s="21"/>
      <c r="B206" s="14" t="s">
        <v>125</v>
      </c>
      <c r="C206" s="54"/>
      <c r="D206" s="54" t="s">
        <v>252</v>
      </c>
      <c r="F206" s="47"/>
      <c r="G206" s="15"/>
      <c r="H206" s="15">
        <v>270000</v>
      </c>
    </row>
    <row r="207" spans="1:8" x14ac:dyDescent="0.2">
      <c r="A207" s="21"/>
      <c r="B207" s="44" t="s">
        <v>238</v>
      </c>
      <c r="C207" s="44"/>
      <c r="D207" s="54" t="s">
        <v>53</v>
      </c>
      <c r="F207" s="47"/>
      <c r="G207" s="15"/>
      <c r="H207" s="15">
        <v>73000</v>
      </c>
    </row>
    <row r="208" spans="1:8" x14ac:dyDescent="0.2">
      <c r="A208" s="21"/>
      <c r="B208" s="44" t="s">
        <v>36</v>
      </c>
      <c r="C208" s="44"/>
      <c r="D208" s="54" t="s">
        <v>253</v>
      </c>
      <c r="F208" s="47"/>
      <c r="G208" s="15"/>
      <c r="H208" s="15">
        <v>200000</v>
      </c>
    </row>
    <row r="209" spans="1:8" x14ac:dyDescent="0.2">
      <c r="A209" s="21"/>
      <c r="B209" s="44" t="s">
        <v>61</v>
      </c>
      <c r="C209" s="44"/>
      <c r="D209" s="54" t="s">
        <v>38</v>
      </c>
      <c r="F209" s="47"/>
      <c r="G209" s="15"/>
      <c r="H209" s="15">
        <v>18400</v>
      </c>
    </row>
    <row r="210" spans="1:8" x14ac:dyDescent="0.2">
      <c r="A210" s="21"/>
      <c r="B210" s="44"/>
      <c r="C210" s="44"/>
      <c r="D210" s="54"/>
      <c r="F210" s="47"/>
      <c r="G210" s="15"/>
      <c r="H210" s="15"/>
    </row>
    <row r="211" spans="1:8" x14ac:dyDescent="0.2">
      <c r="A211" s="21"/>
      <c r="B211" s="44"/>
      <c r="C211" s="50"/>
      <c r="D211" s="55"/>
      <c r="E211" s="11"/>
      <c r="F211" s="47"/>
      <c r="G211" s="15"/>
      <c r="H211" s="15"/>
    </row>
    <row r="212" spans="1:8" x14ac:dyDescent="0.2">
      <c r="A212" s="21"/>
      <c r="B212" s="44"/>
      <c r="C212" s="50"/>
      <c r="D212" s="55"/>
      <c r="E212" s="11"/>
      <c r="F212" s="47"/>
      <c r="G212" s="15"/>
      <c r="H212" s="15"/>
    </row>
    <row r="213" spans="1:8" x14ac:dyDescent="0.2">
      <c r="A213" s="43"/>
      <c r="B213" s="44"/>
      <c r="C213" s="50"/>
      <c r="D213" s="44"/>
      <c r="E213" s="44"/>
      <c r="F213" s="46"/>
      <c r="G213" s="47"/>
      <c r="H213" s="15"/>
    </row>
    <row r="214" spans="1:8" x14ac:dyDescent="0.2">
      <c r="A214" s="119" t="s">
        <v>257</v>
      </c>
      <c r="B214" s="120"/>
      <c r="C214" s="120"/>
      <c r="D214" s="120"/>
      <c r="E214" s="120"/>
      <c r="F214" s="120"/>
      <c r="G214" s="121"/>
      <c r="H214" s="16">
        <f>SUM(H199:H213)</f>
        <v>1116974</v>
      </c>
    </row>
    <row r="215" spans="1:8" x14ac:dyDescent="0.2">
      <c r="A215" s="21"/>
      <c r="B215" s="14"/>
      <c r="C215" s="49"/>
      <c r="D215" s="54"/>
      <c r="F215" s="47"/>
      <c r="G215" s="15"/>
      <c r="H215" s="15"/>
    </row>
    <row r="216" spans="1:8" x14ac:dyDescent="0.2">
      <c r="A216" s="21">
        <v>45886</v>
      </c>
      <c r="B216" s="14" t="s">
        <v>35</v>
      </c>
      <c r="C216" s="49"/>
      <c r="D216" s="54" t="s">
        <v>258</v>
      </c>
      <c r="F216" s="47"/>
      <c r="G216" s="15"/>
      <c r="H216" s="15">
        <v>98992</v>
      </c>
    </row>
    <row r="217" spans="1:8" x14ac:dyDescent="0.2">
      <c r="A217" s="21"/>
      <c r="B217" s="14" t="s">
        <v>85</v>
      </c>
      <c r="C217" s="49"/>
      <c r="D217" s="54" t="s">
        <v>58</v>
      </c>
      <c r="F217" s="47"/>
      <c r="G217" s="15"/>
      <c r="H217" s="15">
        <v>60000</v>
      </c>
    </row>
    <row r="218" spans="1:8" x14ac:dyDescent="0.2">
      <c r="A218" s="21"/>
      <c r="B218" s="14" t="s">
        <v>37</v>
      </c>
      <c r="C218" s="49"/>
      <c r="D218" s="54" t="s">
        <v>53</v>
      </c>
      <c r="F218" s="47"/>
      <c r="G218" s="15"/>
      <c r="H218" s="15">
        <v>68200</v>
      </c>
    </row>
    <row r="219" spans="1:8" x14ac:dyDescent="0.2">
      <c r="A219" s="21"/>
      <c r="B219" s="14"/>
      <c r="C219" s="49"/>
      <c r="D219" s="54"/>
      <c r="F219" s="47"/>
      <c r="G219" s="15"/>
      <c r="H219" s="15"/>
    </row>
    <row r="220" spans="1:8" x14ac:dyDescent="0.2">
      <c r="A220" s="21"/>
      <c r="B220" s="14"/>
      <c r="C220" s="49"/>
      <c r="D220" s="54"/>
      <c r="F220" s="47"/>
      <c r="G220" s="15"/>
      <c r="H220" s="15"/>
    </row>
    <row r="221" spans="1:8" x14ac:dyDescent="0.2">
      <c r="A221" s="21"/>
      <c r="B221" s="14"/>
      <c r="C221" s="49"/>
      <c r="D221" s="54"/>
      <c r="F221" s="47"/>
      <c r="G221" s="15"/>
      <c r="H221" s="15"/>
    </row>
    <row r="222" spans="1:8" x14ac:dyDescent="0.2">
      <c r="A222" s="21"/>
      <c r="B222" s="14"/>
      <c r="C222" s="49"/>
      <c r="D222" s="55"/>
      <c r="E222" s="11"/>
      <c r="F222" s="47"/>
      <c r="G222" s="15"/>
      <c r="H222" s="15"/>
    </row>
    <row r="223" spans="1:8" x14ac:dyDescent="0.2">
      <c r="A223" s="21"/>
      <c r="B223" s="14"/>
      <c r="C223" s="49"/>
      <c r="D223" s="55"/>
      <c r="E223" s="11"/>
      <c r="F223" s="47"/>
      <c r="G223" s="15"/>
      <c r="H223" s="15"/>
    </row>
    <row r="224" spans="1:8" x14ac:dyDescent="0.2">
      <c r="A224" s="21"/>
      <c r="B224" s="44"/>
      <c r="C224" s="50"/>
      <c r="D224" s="55"/>
      <c r="E224" s="11"/>
      <c r="F224" s="47"/>
      <c r="G224" s="15"/>
      <c r="H224" s="15"/>
    </row>
    <row r="225" spans="1:8" x14ac:dyDescent="0.2">
      <c r="A225" s="43"/>
      <c r="B225" s="44"/>
      <c r="C225" s="50"/>
      <c r="D225" s="44"/>
      <c r="E225" s="44"/>
      <c r="F225" s="46"/>
      <c r="G225" s="47"/>
      <c r="H225" s="15"/>
    </row>
    <row r="226" spans="1:8" x14ac:dyDescent="0.2">
      <c r="A226" s="119" t="s">
        <v>261</v>
      </c>
      <c r="B226" s="120"/>
      <c r="C226" s="120"/>
      <c r="D226" s="120"/>
      <c r="E226" s="120"/>
      <c r="F226" s="120"/>
      <c r="G226" s="121"/>
      <c r="H226" s="16">
        <f>SUM(H216:H225)</f>
        <v>227192</v>
      </c>
    </row>
    <row r="227" spans="1:8" x14ac:dyDescent="0.2">
      <c r="A227" s="21"/>
      <c r="B227" s="14"/>
      <c r="C227" s="49"/>
      <c r="D227" s="54"/>
      <c r="F227" s="47"/>
      <c r="G227" s="15"/>
      <c r="H227" s="15"/>
    </row>
    <row r="228" spans="1:8" x14ac:dyDescent="0.2">
      <c r="A228" s="21">
        <v>45887</v>
      </c>
      <c r="B228" s="14" t="s">
        <v>78</v>
      </c>
      <c r="C228" s="49"/>
      <c r="D228" s="54" t="s">
        <v>79</v>
      </c>
      <c r="F228" s="47"/>
      <c r="G228" s="15"/>
      <c r="H228" s="15">
        <v>82800</v>
      </c>
    </row>
    <row r="229" spans="1:8" x14ac:dyDescent="0.2">
      <c r="A229" s="21"/>
      <c r="B229" s="14" t="s">
        <v>35</v>
      </c>
      <c r="C229" s="49"/>
      <c r="D229" s="54" t="s">
        <v>207</v>
      </c>
      <c r="F229" s="47"/>
      <c r="G229" s="15"/>
      <c r="H229" s="15">
        <v>75600</v>
      </c>
    </row>
    <row r="230" spans="1:8" x14ac:dyDescent="0.2">
      <c r="A230" s="21"/>
      <c r="B230" s="14" t="s">
        <v>35</v>
      </c>
      <c r="C230" s="49"/>
      <c r="D230" s="54" t="s">
        <v>265</v>
      </c>
      <c r="F230" s="47"/>
      <c r="G230" s="15"/>
      <c r="H230" s="15">
        <v>116462</v>
      </c>
    </row>
    <row r="231" spans="1:8" x14ac:dyDescent="0.2">
      <c r="A231" s="21"/>
      <c r="B231" s="14" t="s">
        <v>35</v>
      </c>
      <c r="C231" s="49"/>
      <c r="D231" s="54" t="s">
        <v>266</v>
      </c>
      <c r="F231" s="47"/>
      <c r="G231" s="15"/>
      <c r="H231" s="15">
        <v>10940</v>
      </c>
    </row>
    <row r="232" spans="1:8" x14ac:dyDescent="0.2">
      <c r="A232" s="21"/>
      <c r="B232" s="14" t="s">
        <v>80</v>
      </c>
      <c r="C232" s="49"/>
      <c r="D232" s="54" t="s">
        <v>81</v>
      </c>
      <c r="F232" s="47"/>
      <c r="G232" s="15"/>
      <c r="H232" s="15">
        <v>48800</v>
      </c>
    </row>
    <row r="233" spans="1:8" ht="16" x14ac:dyDescent="0.2">
      <c r="A233" s="21"/>
      <c r="B233" s="14" t="s">
        <v>85</v>
      </c>
      <c r="C233" s="51"/>
      <c r="D233" s="55" t="s">
        <v>58</v>
      </c>
      <c r="E233" s="11"/>
      <c r="F233" s="47"/>
      <c r="G233" s="15"/>
      <c r="H233" s="15">
        <v>44000</v>
      </c>
    </row>
    <row r="234" spans="1:8" ht="16" x14ac:dyDescent="0.2">
      <c r="A234" s="21"/>
      <c r="B234" s="14" t="s">
        <v>85</v>
      </c>
      <c r="C234" s="50"/>
      <c r="D234" s="55" t="s">
        <v>55</v>
      </c>
      <c r="E234" s="11"/>
      <c r="F234" s="47"/>
      <c r="G234" s="15"/>
      <c r="H234" s="15">
        <v>23500</v>
      </c>
    </row>
    <row r="235" spans="1:8" ht="16" x14ac:dyDescent="0.2">
      <c r="A235" s="21"/>
      <c r="B235" s="80" t="s">
        <v>85</v>
      </c>
      <c r="C235" s="49"/>
      <c r="D235" s="55" t="s">
        <v>267</v>
      </c>
      <c r="E235" s="11"/>
      <c r="F235" s="47"/>
      <c r="G235" s="15"/>
      <c r="H235" s="15">
        <v>11000</v>
      </c>
    </row>
    <row r="236" spans="1:8" ht="16" x14ac:dyDescent="0.2">
      <c r="A236" s="21"/>
      <c r="B236" s="44" t="s">
        <v>188</v>
      </c>
      <c r="C236" s="50"/>
      <c r="D236" s="55" t="s">
        <v>268</v>
      </c>
      <c r="E236" s="11"/>
      <c r="F236" s="47"/>
      <c r="G236" s="15"/>
      <c r="H236" s="15">
        <v>195000</v>
      </c>
    </row>
    <row r="237" spans="1:8" ht="16" x14ac:dyDescent="0.2">
      <c r="A237" s="21"/>
      <c r="B237" s="44" t="s">
        <v>269</v>
      </c>
      <c r="C237" s="50"/>
      <c r="D237" s="55" t="s">
        <v>270</v>
      </c>
      <c r="E237" s="11"/>
      <c r="F237" s="47"/>
      <c r="G237" s="15"/>
      <c r="H237" s="15">
        <v>56000</v>
      </c>
    </row>
    <row r="238" spans="1:8" x14ac:dyDescent="0.2">
      <c r="A238" s="21"/>
      <c r="B238" s="14"/>
      <c r="C238" s="49"/>
      <c r="D238" s="55"/>
      <c r="E238" s="11"/>
      <c r="F238" s="47"/>
      <c r="G238" s="15"/>
      <c r="H238" s="15"/>
    </row>
    <row r="239" spans="1:8" ht="17.25" customHeight="1" x14ac:dyDescent="0.2">
      <c r="A239" s="21"/>
      <c r="B239" s="14"/>
      <c r="C239" s="49"/>
      <c r="D239" s="14"/>
      <c r="F239" s="15"/>
      <c r="G239" s="15"/>
      <c r="H239" s="15"/>
    </row>
    <row r="240" spans="1:8" ht="17.25" customHeight="1" x14ac:dyDescent="0.2">
      <c r="A240" s="43"/>
      <c r="B240" s="44"/>
      <c r="C240" s="50"/>
      <c r="D240" s="44"/>
      <c r="E240" s="44"/>
      <c r="F240" s="46"/>
      <c r="G240" s="47"/>
      <c r="H240" s="15"/>
    </row>
    <row r="241" spans="1:8" x14ac:dyDescent="0.2">
      <c r="A241" s="119" t="s">
        <v>271</v>
      </c>
      <c r="B241" s="120"/>
      <c r="C241" s="120"/>
      <c r="D241" s="120"/>
      <c r="E241" s="120"/>
      <c r="F241" s="120"/>
      <c r="G241" s="121"/>
      <c r="H241" s="16">
        <f>SUM(H228:H240)</f>
        <v>664102</v>
      </c>
    </row>
    <row r="242" spans="1:8" x14ac:dyDescent="0.2">
      <c r="A242" s="21"/>
      <c r="B242" s="14"/>
      <c r="C242" s="49"/>
      <c r="D242" s="54"/>
      <c r="F242" s="47"/>
      <c r="G242" s="15"/>
      <c r="H242" s="15"/>
    </row>
    <row r="243" spans="1:8" x14ac:dyDescent="0.2">
      <c r="A243" s="21">
        <v>45888</v>
      </c>
      <c r="B243" s="14" t="s">
        <v>85</v>
      </c>
      <c r="C243" s="50"/>
      <c r="D243" s="54" t="s">
        <v>109</v>
      </c>
      <c r="F243" s="47"/>
      <c r="G243" s="15"/>
      <c r="H243" s="15">
        <v>15000</v>
      </c>
    </row>
    <row r="244" spans="1:8" x14ac:dyDescent="0.2">
      <c r="A244" s="21"/>
      <c r="B244" s="14" t="s">
        <v>37</v>
      </c>
      <c r="C244" s="50"/>
      <c r="D244" s="54" t="s">
        <v>273</v>
      </c>
      <c r="F244" s="47"/>
      <c r="G244" s="15"/>
      <c r="H244" s="15">
        <v>34500</v>
      </c>
    </row>
    <row r="245" spans="1:8" x14ac:dyDescent="0.2">
      <c r="A245" s="21"/>
      <c r="B245" s="14" t="s">
        <v>61</v>
      </c>
      <c r="C245" s="50"/>
      <c r="D245" s="54" t="s">
        <v>38</v>
      </c>
      <c r="F245" s="47"/>
      <c r="G245" s="15"/>
      <c r="H245" s="15">
        <v>13800</v>
      </c>
    </row>
    <row r="246" spans="1:8" x14ac:dyDescent="0.2">
      <c r="A246" s="21"/>
      <c r="B246" s="14" t="s">
        <v>36</v>
      </c>
      <c r="C246" s="50"/>
      <c r="D246" s="54" t="s">
        <v>274</v>
      </c>
      <c r="F246" s="47"/>
      <c r="G246" s="15"/>
      <c r="H246" s="15">
        <v>246000</v>
      </c>
    </row>
    <row r="247" spans="1:8" ht="16" x14ac:dyDescent="0.2">
      <c r="A247" s="21"/>
      <c r="B247" s="14" t="s">
        <v>35</v>
      </c>
      <c r="C247" s="50"/>
      <c r="D247" s="55" t="s">
        <v>288</v>
      </c>
      <c r="E247" s="11"/>
      <c r="F247" s="47"/>
      <c r="G247" s="15"/>
      <c r="H247" s="15">
        <v>157252</v>
      </c>
    </row>
    <row r="248" spans="1:8" x14ac:dyDescent="0.2">
      <c r="A248" s="21"/>
      <c r="B248" s="14"/>
      <c r="C248" s="54"/>
      <c r="D248" s="54"/>
      <c r="F248" s="47"/>
      <c r="G248" s="15"/>
      <c r="H248" s="15"/>
    </row>
    <row r="249" spans="1:8" x14ac:dyDescent="0.2">
      <c r="A249" s="21"/>
      <c r="B249" s="14"/>
      <c r="C249" s="49"/>
      <c r="D249" s="54"/>
      <c r="F249" s="47"/>
      <c r="G249" s="15"/>
      <c r="H249" s="15"/>
    </row>
    <row r="250" spans="1:8" x14ac:dyDescent="0.2">
      <c r="A250" s="21"/>
      <c r="B250" s="14"/>
      <c r="C250" s="51"/>
      <c r="D250" s="55"/>
      <c r="E250" s="11"/>
      <c r="F250" s="47"/>
      <c r="G250" s="15"/>
      <c r="H250" s="15"/>
    </row>
    <row r="251" spans="1:8" x14ac:dyDescent="0.2">
      <c r="A251" s="21"/>
      <c r="B251" s="44"/>
      <c r="C251" s="61"/>
      <c r="D251" s="62"/>
      <c r="E251" s="62"/>
      <c r="F251" s="46"/>
      <c r="G251" s="47"/>
      <c r="H251" s="15"/>
    </row>
    <row r="252" spans="1:8" x14ac:dyDescent="0.2">
      <c r="A252" s="119" t="s">
        <v>276</v>
      </c>
      <c r="B252" s="120"/>
      <c r="C252" s="120"/>
      <c r="D252" s="120"/>
      <c r="E252" s="120"/>
      <c r="F252" s="120"/>
      <c r="G252" s="121"/>
      <c r="H252" s="16">
        <f>SUM(H243:H251)</f>
        <v>466552</v>
      </c>
    </row>
    <row r="253" spans="1:8" x14ac:dyDescent="0.2">
      <c r="A253" s="21"/>
      <c r="B253" s="14"/>
      <c r="C253" s="49"/>
      <c r="D253" s="54"/>
      <c r="F253" s="47"/>
      <c r="G253" s="15"/>
      <c r="H253" s="15"/>
    </row>
    <row r="254" spans="1:8" x14ac:dyDescent="0.2">
      <c r="A254" s="21">
        <v>45889</v>
      </c>
      <c r="B254" s="14" t="s">
        <v>35</v>
      </c>
      <c r="C254" s="49"/>
      <c r="D254" s="54" t="s">
        <v>278</v>
      </c>
      <c r="F254" s="47"/>
      <c r="G254" s="15"/>
      <c r="H254" s="15">
        <v>8270</v>
      </c>
    </row>
    <row r="255" spans="1:8" x14ac:dyDescent="0.2">
      <c r="A255" s="21"/>
      <c r="B255" s="14" t="s">
        <v>36</v>
      </c>
      <c r="C255" s="49"/>
      <c r="D255" s="54" t="s">
        <v>283</v>
      </c>
      <c r="F255" s="47"/>
      <c r="G255" s="15"/>
      <c r="H255" s="15">
        <v>96000</v>
      </c>
    </row>
    <row r="256" spans="1:8" x14ac:dyDescent="0.2">
      <c r="A256" s="21"/>
      <c r="B256" s="14" t="s">
        <v>35</v>
      </c>
      <c r="C256" s="49"/>
      <c r="D256" s="54" t="s">
        <v>284</v>
      </c>
      <c r="F256" s="47"/>
      <c r="G256" s="15"/>
      <c r="H256" s="15">
        <v>48860</v>
      </c>
    </row>
    <row r="257" spans="1:12" x14ac:dyDescent="0.2">
      <c r="A257" s="21"/>
      <c r="B257" s="14" t="s">
        <v>37</v>
      </c>
      <c r="C257" s="49"/>
      <c r="D257" s="54" t="s">
        <v>285</v>
      </c>
      <c r="F257" s="47"/>
      <c r="G257" s="15"/>
      <c r="H257" s="15">
        <v>31200</v>
      </c>
    </row>
    <row r="258" spans="1:12" x14ac:dyDescent="0.2">
      <c r="A258" s="21"/>
      <c r="B258" s="14" t="s">
        <v>220</v>
      </c>
      <c r="C258" s="49"/>
      <c r="D258" s="54" t="s">
        <v>142</v>
      </c>
      <c r="F258" s="47"/>
      <c r="G258" s="15"/>
      <c r="H258" s="15">
        <v>313789</v>
      </c>
    </row>
    <row r="259" spans="1:12" x14ac:dyDescent="0.2">
      <c r="A259" s="21"/>
      <c r="B259" s="14" t="s">
        <v>64</v>
      </c>
      <c r="C259" s="49"/>
      <c r="D259" s="54" t="s">
        <v>172</v>
      </c>
      <c r="F259" s="47"/>
      <c r="G259" s="15"/>
      <c r="H259" s="15">
        <v>185820</v>
      </c>
    </row>
    <row r="260" spans="1:12" x14ac:dyDescent="0.2">
      <c r="A260" s="21"/>
      <c r="B260" s="14"/>
      <c r="C260" s="49"/>
      <c r="D260" s="55"/>
      <c r="E260" s="11"/>
      <c r="F260" s="47"/>
      <c r="G260" s="15"/>
      <c r="H260" s="15"/>
    </row>
    <row r="261" spans="1:12" x14ac:dyDescent="0.2">
      <c r="A261" s="21"/>
      <c r="B261" s="44"/>
      <c r="C261" s="50"/>
      <c r="D261" s="54"/>
      <c r="F261" s="47"/>
      <c r="G261" s="15"/>
      <c r="H261" s="15"/>
    </row>
    <row r="262" spans="1:12" x14ac:dyDescent="0.2">
      <c r="A262" s="43"/>
      <c r="B262" s="44"/>
      <c r="C262" s="50"/>
      <c r="D262" s="44"/>
      <c r="E262" s="44"/>
      <c r="F262" s="46"/>
      <c r="G262" s="47"/>
      <c r="H262" s="15"/>
    </row>
    <row r="263" spans="1:12" x14ac:dyDescent="0.2">
      <c r="A263" s="119" t="s">
        <v>286</v>
      </c>
      <c r="B263" s="120"/>
      <c r="C263" s="120"/>
      <c r="D263" s="120"/>
      <c r="E263" s="120"/>
      <c r="F263" s="120"/>
      <c r="G263" s="121"/>
      <c r="H263" s="16">
        <f>SUM(H254:H262)</f>
        <v>683939</v>
      </c>
    </row>
    <row r="264" spans="1:12" x14ac:dyDescent="0.2">
      <c r="A264" s="21"/>
      <c r="B264" s="14"/>
      <c r="C264" s="49"/>
      <c r="D264" s="54"/>
      <c r="F264" s="47"/>
      <c r="G264" s="15"/>
      <c r="H264" s="15"/>
      <c r="I264" s="30"/>
      <c r="J264" s="29"/>
      <c r="K264" s="31"/>
      <c r="L264" s="29"/>
    </row>
    <row r="265" spans="1:12" ht="16" x14ac:dyDescent="0.2">
      <c r="A265" s="21">
        <v>45890</v>
      </c>
      <c r="B265" s="14" t="s">
        <v>35</v>
      </c>
      <c r="C265" s="49"/>
      <c r="D265" s="55" t="s">
        <v>39</v>
      </c>
      <c r="E265" s="11"/>
      <c r="F265" s="47"/>
      <c r="G265" s="15"/>
      <c r="H265" s="15">
        <v>7630</v>
      </c>
      <c r="I265" s="30"/>
      <c r="J265" s="29"/>
      <c r="K265" s="31"/>
      <c r="L265" s="29"/>
    </row>
    <row r="266" spans="1:12" ht="16" x14ac:dyDescent="0.2">
      <c r="A266" s="21"/>
      <c r="B266" s="14" t="s">
        <v>269</v>
      </c>
      <c r="C266" s="49"/>
      <c r="D266" s="62" t="s">
        <v>92</v>
      </c>
      <c r="F266" s="47"/>
      <c r="G266" s="15"/>
      <c r="H266" s="15">
        <v>24550</v>
      </c>
      <c r="I266" s="30"/>
      <c r="J266" s="29"/>
      <c r="K266" s="31"/>
      <c r="L266" s="29"/>
    </row>
    <row r="267" spans="1:12" ht="16" x14ac:dyDescent="0.2">
      <c r="A267" s="21"/>
      <c r="B267" s="14" t="s">
        <v>35</v>
      </c>
      <c r="C267" s="50"/>
      <c r="D267" s="62" t="s">
        <v>292</v>
      </c>
      <c r="E267" s="44"/>
      <c r="F267" s="46"/>
      <c r="G267" s="47"/>
      <c r="H267" s="15">
        <v>37550</v>
      </c>
      <c r="I267" s="30"/>
      <c r="J267" s="29"/>
      <c r="K267" s="31"/>
      <c r="L267" s="29"/>
    </row>
    <row r="268" spans="1:12" ht="16" x14ac:dyDescent="0.2">
      <c r="A268" s="21"/>
      <c r="B268" s="14" t="s">
        <v>85</v>
      </c>
      <c r="C268" s="50"/>
      <c r="D268" s="62" t="s">
        <v>55</v>
      </c>
      <c r="E268" s="44"/>
      <c r="F268" s="46"/>
      <c r="G268" s="47"/>
      <c r="H268" s="15">
        <v>10000</v>
      </c>
      <c r="I268" s="30"/>
      <c r="J268" s="29"/>
      <c r="K268" s="31"/>
      <c r="L268" s="29"/>
    </row>
    <row r="269" spans="1:12" x14ac:dyDescent="0.2">
      <c r="A269" s="21"/>
      <c r="B269" s="14" t="s">
        <v>36</v>
      </c>
      <c r="C269" s="50"/>
      <c r="D269" s="44" t="s">
        <v>293</v>
      </c>
      <c r="E269" s="44"/>
      <c r="F269" s="46"/>
      <c r="G269" s="47"/>
      <c r="H269" s="15">
        <v>100000</v>
      </c>
      <c r="I269" s="30"/>
      <c r="J269" s="29"/>
      <c r="K269" s="31"/>
      <c r="L269" s="29"/>
    </row>
    <row r="270" spans="1:12" x14ac:dyDescent="0.2">
      <c r="A270" s="43"/>
      <c r="B270" s="44" t="s">
        <v>152</v>
      </c>
      <c r="C270" s="50"/>
      <c r="D270" s="44" t="s">
        <v>294</v>
      </c>
      <c r="E270" s="44"/>
      <c r="F270" s="46"/>
      <c r="G270" s="47"/>
      <c r="H270" s="15">
        <v>184000</v>
      </c>
      <c r="I270" s="30"/>
      <c r="J270" s="29"/>
      <c r="K270" s="31"/>
      <c r="L270" s="29"/>
    </row>
    <row r="271" spans="1:12" x14ac:dyDescent="0.2">
      <c r="A271" s="43"/>
      <c r="B271" s="44"/>
      <c r="C271" s="50"/>
      <c r="D271" s="44"/>
      <c r="E271" s="44"/>
      <c r="F271" s="46"/>
      <c r="G271" s="47"/>
      <c r="H271" s="15"/>
      <c r="I271" s="30"/>
      <c r="J271" s="29"/>
      <c r="K271" s="31"/>
      <c r="L271" s="29"/>
    </row>
    <row r="272" spans="1:12" x14ac:dyDescent="0.2">
      <c r="A272" s="119" t="s">
        <v>295</v>
      </c>
      <c r="B272" s="120"/>
      <c r="C272" s="120"/>
      <c r="D272" s="120"/>
      <c r="E272" s="120"/>
      <c r="F272" s="120"/>
      <c r="G272" s="121"/>
      <c r="H272" s="16">
        <f>SUM(H265:H271)</f>
        <v>363730</v>
      </c>
    </row>
    <row r="273" spans="1:8" x14ac:dyDescent="0.2">
      <c r="A273" s="21"/>
      <c r="B273" s="14"/>
      <c r="C273" s="49"/>
      <c r="D273" s="54"/>
      <c r="F273" s="47"/>
      <c r="G273" s="15"/>
      <c r="H273" s="15"/>
    </row>
    <row r="274" spans="1:8" x14ac:dyDescent="0.2">
      <c r="A274" s="21">
        <v>45891</v>
      </c>
      <c r="B274" s="14" t="s">
        <v>80</v>
      </c>
      <c r="C274" s="49"/>
      <c r="D274" s="54" t="s">
        <v>81</v>
      </c>
      <c r="F274" s="47"/>
      <c r="G274" s="15"/>
      <c r="H274" s="15">
        <v>29300</v>
      </c>
    </row>
    <row r="275" spans="1:8" x14ac:dyDescent="0.2">
      <c r="A275" s="21"/>
      <c r="B275" s="14" t="s">
        <v>35</v>
      </c>
      <c r="C275" s="49"/>
      <c r="D275" s="54" t="s">
        <v>297</v>
      </c>
      <c r="F275" s="47"/>
      <c r="G275" s="15"/>
      <c r="H275" s="15">
        <v>25360</v>
      </c>
    </row>
    <row r="276" spans="1:8" x14ac:dyDescent="0.2">
      <c r="A276" s="21"/>
      <c r="B276" s="14" t="s">
        <v>35</v>
      </c>
      <c r="C276" s="49"/>
      <c r="D276" s="54" t="s">
        <v>298</v>
      </c>
      <c r="F276" s="47"/>
      <c r="G276" s="15"/>
      <c r="H276" s="15">
        <v>115112</v>
      </c>
    </row>
    <row r="277" spans="1:8" x14ac:dyDescent="0.2">
      <c r="A277" s="21"/>
      <c r="B277" s="14" t="s">
        <v>299</v>
      </c>
      <c r="C277" s="49"/>
      <c r="D277" s="54" t="s">
        <v>300</v>
      </c>
      <c r="F277" s="47"/>
      <c r="G277" s="15"/>
      <c r="H277" s="15">
        <v>56000</v>
      </c>
    </row>
    <row r="278" spans="1:8" x14ac:dyDescent="0.2">
      <c r="A278" s="21"/>
      <c r="B278" s="14" t="s">
        <v>36</v>
      </c>
      <c r="C278" s="49"/>
      <c r="D278" s="54" t="s">
        <v>302</v>
      </c>
      <c r="F278" s="47"/>
      <c r="G278" s="15"/>
      <c r="H278" s="15">
        <v>96000</v>
      </c>
    </row>
    <row r="279" spans="1:8" x14ac:dyDescent="0.2">
      <c r="A279" s="21"/>
      <c r="B279" s="14" t="s">
        <v>115</v>
      </c>
      <c r="C279" s="49"/>
      <c r="D279" s="54" t="s">
        <v>303</v>
      </c>
      <c r="E279" s="11"/>
      <c r="F279" s="47"/>
      <c r="G279" s="15"/>
      <c r="H279" s="15">
        <v>100000</v>
      </c>
    </row>
    <row r="280" spans="1:8" x14ac:dyDescent="0.2">
      <c r="A280" s="21"/>
      <c r="B280" s="14" t="s">
        <v>137</v>
      </c>
      <c r="C280" s="49"/>
      <c r="D280" s="54" t="s">
        <v>55</v>
      </c>
      <c r="F280" s="47"/>
      <c r="G280" s="15"/>
      <c r="H280" s="15">
        <v>55000</v>
      </c>
    </row>
    <row r="281" spans="1:8" x14ac:dyDescent="0.2">
      <c r="A281" s="21"/>
      <c r="B281" s="14" t="s">
        <v>37</v>
      </c>
      <c r="C281" s="49"/>
      <c r="D281" s="44" t="s">
        <v>304</v>
      </c>
      <c r="E281" s="44"/>
      <c r="F281" s="46"/>
      <c r="G281" s="47"/>
      <c r="H281" s="15">
        <v>58800</v>
      </c>
    </row>
    <row r="282" spans="1:8" ht="16" x14ac:dyDescent="0.2">
      <c r="A282" s="21"/>
      <c r="B282" s="44" t="s">
        <v>62</v>
      </c>
      <c r="C282" s="50"/>
      <c r="D282" s="62" t="s">
        <v>305</v>
      </c>
      <c r="E282" s="44"/>
      <c r="F282" s="46"/>
      <c r="G282" s="47"/>
      <c r="H282" s="15">
        <v>51799</v>
      </c>
    </row>
    <row r="283" spans="1:8" x14ac:dyDescent="0.2">
      <c r="A283" s="21"/>
      <c r="B283" s="44" t="s">
        <v>62</v>
      </c>
      <c r="C283" s="50"/>
      <c r="D283" s="44" t="s">
        <v>306</v>
      </c>
      <c r="E283" s="44"/>
      <c r="F283" s="46"/>
      <c r="G283" s="47"/>
      <c r="H283" s="15">
        <v>64274</v>
      </c>
    </row>
    <row r="284" spans="1:8" x14ac:dyDescent="0.2">
      <c r="A284" s="21"/>
      <c r="B284" s="44" t="s">
        <v>307</v>
      </c>
      <c r="C284" s="50"/>
      <c r="D284" s="44" t="s">
        <v>308</v>
      </c>
      <c r="E284" s="44"/>
      <c r="F284" s="46"/>
      <c r="G284" s="47"/>
      <c r="H284" s="15">
        <v>9424</v>
      </c>
    </row>
    <row r="285" spans="1:8" x14ac:dyDescent="0.2">
      <c r="A285" s="21"/>
      <c r="B285" s="44" t="s">
        <v>61</v>
      </c>
      <c r="C285" s="50"/>
      <c r="D285" s="44" t="s">
        <v>38</v>
      </c>
      <c r="E285" s="44"/>
      <c r="F285" s="46"/>
      <c r="G285" s="47"/>
      <c r="H285" s="15">
        <v>13800</v>
      </c>
    </row>
    <row r="286" spans="1:8" x14ac:dyDescent="0.2">
      <c r="A286" s="21"/>
      <c r="B286" s="44" t="s">
        <v>66</v>
      </c>
      <c r="C286" s="50"/>
      <c r="D286" s="44" t="s">
        <v>170</v>
      </c>
      <c r="E286" s="44"/>
      <c r="F286" s="46"/>
      <c r="G286" s="47"/>
      <c r="H286" s="15">
        <v>80271</v>
      </c>
    </row>
    <row r="287" spans="1:8" x14ac:dyDescent="0.2">
      <c r="A287" s="21"/>
      <c r="B287" s="14" t="s">
        <v>173</v>
      </c>
      <c r="C287" s="51"/>
      <c r="D287" s="44" t="s">
        <v>309</v>
      </c>
      <c r="E287" s="44"/>
      <c r="F287" s="46"/>
      <c r="G287" s="47"/>
      <c r="H287" s="15">
        <v>92650</v>
      </c>
    </row>
    <row r="288" spans="1:8" x14ac:dyDescent="0.2">
      <c r="A288" s="43"/>
      <c r="B288" s="44" t="s">
        <v>173</v>
      </c>
      <c r="C288" s="50"/>
      <c r="D288" s="44" t="s">
        <v>310</v>
      </c>
      <c r="E288" s="44"/>
      <c r="F288" s="46"/>
      <c r="G288" s="47"/>
      <c r="H288" s="15">
        <v>53952</v>
      </c>
    </row>
    <row r="289" spans="1:8" x14ac:dyDescent="0.2">
      <c r="A289" s="43"/>
      <c r="B289" s="14"/>
      <c r="C289" s="50"/>
      <c r="D289" s="44"/>
      <c r="E289" s="44"/>
      <c r="F289" s="46"/>
      <c r="G289" s="47"/>
      <c r="H289" s="15"/>
    </row>
    <row r="290" spans="1:8" x14ac:dyDescent="0.2">
      <c r="A290" s="43"/>
      <c r="B290" s="44"/>
      <c r="C290" s="50"/>
      <c r="D290" s="44"/>
      <c r="E290" s="44"/>
      <c r="F290" s="46"/>
      <c r="G290" s="47"/>
      <c r="H290" s="15"/>
    </row>
    <row r="291" spans="1:8" x14ac:dyDescent="0.2">
      <c r="A291" s="119" t="s">
        <v>311</v>
      </c>
      <c r="B291" s="120"/>
      <c r="C291" s="120"/>
      <c r="D291" s="120"/>
      <c r="E291" s="120"/>
      <c r="F291" s="120"/>
      <c r="G291" s="121"/>
      <c r="H291" s="16">
        <f>SUM(H274:H290)</f>
        <v>901742</v>
      </c>
    </row>
    <row r="292" spans="1:8" x14ac:dyDescent="0.2">
      <c r="A292" s="21"/>
      <c r="B292" s="14"/>
      <c r="C292" s="49"/>
      <c r="D292" s="54"/>
      <c r="F292" s="47"/>
      <c r="G292" s="15"/>
      <c r="H292" s="15"/>
    </row>
    <row r="293" spans="1:8" x14ac:dyDescent="0.2">
      <c r="A293" s="21">
        <v>45892</v>
      </c>
      <c r="B293" s="14" t="s">
        <v>136</v>
      </c>
      <c r="C293" s="107"/>
      <c r="D293" s="54" t="s">
        <v>308</v>
      </c>
      <c r="F293" s="47"/>
      <c r="G293" s="15"/>
      <c r="H293" s="15">
        <v>19128</v>
      </c>
    </row>
    <row r="294" spans="1:8" x14ac:dyDescent="0.2">
      <c r="A294" s="21"/>
      <c r="B294" s="14" t="s">
        <v>35</v>
      </c>
      <c r="C294" s="107"/>
      <c r="D294" s="54" t="s">
        <v>178</v>
      </c>
      <c r="F294" s="47"/>
      <c r="G294" s="15"/>
      <c r="H294" s="15">
        <v>32900</v>
      </c>
    </row>
    <row r="295" spans="1:8" x14ac:dyDescent="0.2">
      <c r="A295" s="21"/>
      <c r="B295" s="14" t="s">
        <v>35</v>
      </c>
      <c r="C295" s="107"/>
      <c r="D295" s="54" t="s">
        <v>278</v>
      </c>
      <c r="F295" s="47"/>
      <c r="G295" s="15"/>
      <c r="H295" s="15">
        <v>14550</v>
      </c>
    </row>
    <row r="296" spans="1:8" x14ac:dyDescent="0.2">
      <c r="A296" s="21"/>
      <c r="B296" s="14" t="s">
        <v>313</v>
      </c>
      <c r="C296" s="107"/>
      <c r="D296" s="54" t="s">
        <v>216</v>
      </c>
      <c r="F296" s="47"/>
      <c r="G296" s="15"/>
      <c r="H296" s="15">
        <v>73000</v>
      </c>
    </row>
    <row r="297" spans="1:8" x14ac:dyDescent="0.2">
      <c r="A297" s="21"/>
      <c r="B297" s="14" t="s">
        <v>314</v>
      </c>
      <c r="C297" s="107"/>
      <c r="D297" s="54" t="s">
        <v>79</v>
      </c>
      <c r="F297" s="47"/>
      <c r="G297" s="15"/>
      <c r="H297" s="15">
        <v>85400</v>
      </c>
    </row>
    <row r="298" spans="1:8" x14ac:dyDescent="0.2">
      <c r="A298" s="21"/>
      <c r="B298" s="14" t="s">
        <v>315</v>
      </c>
      <c r="C298" s="107"/>
      <c r="D298" s="54" t="s">
        <v>38</v>
      </c>
      <c r="F298" s="47"/>
      <c r="G298" s="15"/>
      <c r="H298" s="15">
        <v>13800</v>
      </c>
    </row>
    <row r="299" spans="1:8" x14ac:dyDescent="0.2">
      <c r="A299" s="21"/>
      <c r="B299" s="14" t="s">
        <v>36</v>
      </c>
      <c r="C299" s="107"/>
      <c r="D299" s="54" t="s">
        <v>316</v>
      </c>
      <c r="F299" s="47"/>
      <c r="G299" s="15"/>
      <c r="H299" s="15">
        <v>200000</v>
      </c>
    </row>
    <row r="300" spans="1:8" x14ac:dyDescent="0.2">
      <c r="A300" s="21"/>
      <c r="B300" s="14" t="s">
        <v>317</v>
      </c>
      <c r="C300" s="107"/>
      <c r="D300" s="54" t="s">
        <v>318</v>
      </c>
      <c r="F300" s="47"/>
      <c r="G300" s="15"/>
      <c r="H300" s="15">
        <v>270000</v>
      </c>
    </row>
    <row r="301" spans="1:8" x14ac:dyDescent="0.2">
      <c r="A301" s="21"/>
      <c r="B301" s="14" t="s">
        <v>35</v>
      </c>
      <c r="C301" s="107"/>
      <c r="D301" s="54" t="s">
        <v>323</v>
      </c>
      <c r="F301" s="47"/>
      <c r="G301" s="15"/>
      <c r="H301" s="15">
        <v>133960</v>
      </c>
    </row>
    <row r="302" spans="1:8" x14ac:dyDescent="0.2">
      <c r="A302" s="21"/>
      <c r="B302" s="14"/>
      <c r="C302" s="54"/>
      <c r="D302" s="54"/>
      <c r="F302" s="47"/>
      <c r="G302" s="15"/>
      <c r="H302" s="15"/>
    </row>
    <row r="303" spans="1:8" x14ac:dyDescent="0.2">
      <c r="A303" s="21"/>
      <c r="B303" s="14"/>
      <c r="C303" s="54"/>
      <c r="F303" s="47"/>
      <c r="G303" s="15"/>
      <c r="H303" s="15"/>
    </row>
    <row r="304" spans="1:8" x14ac:dyDescent="0.2">
      <c r="A304" s="43"/>
      <c r="B304" s="44"/>
      <c r="C304" s="50"/>
      <c r="D304" s="44"/>
      <c r="E304" s="44"/>
      <c r="F304" s="46"/>
      <c r="G304" s="47"/>
      <c r="H304" s="15"/>
    </row>
    <row r="305" spans="1:8" x14ac:dyDescent="0.2">
      <c r="A305" s="43"/>
      <c r="B305" s="44"/>
      <c r="C305" s="50"/>
      <c r="D305" s="62"/>
      <c r="E305" s="62"/>
      <c r="F305" s="46"/>
      <c r="G305" s="47"/>
      <c r="H305" s="15"/>
    </row>
    <row r="306" spans="1:8" x14ac:dyDescent="0.2">
      <c r="A306" s="119" t="s">
        <v>319</v>
      </c>
      <c r="B306" s="120"/>
      <c r="C306" s="120"/>
      <c r="D306" s="120"/>
      <c r="E306" s="120"/>
      <c r="F306" s="120"/>
      <c r="G306" s="121"/>
      <c r="H306" s="16">
        <f>SUM(H293:H305)</f>
        <v>842738</v>
      </c>
    </row>
    <row r="307" spans="1:8" x14ac:dyDescent="0.2">
      <c r="A307" s="21"/>
      <c r="B307" s="14"/>
      <c r="C307" s="49"/>
      <c r="D307" s="54"/>
      <c r="F307" s="47"/>
      <c r="G307" s="15"/>
      <c r="H307" s="15"/>
    </row>
    <row r="308" spans="1:8" x14ac:dyDescent="0.2">
      <c r="A308" s="21">
        <v>45893</v>
      </c>
      <c r="B308" s="14" t="s">
        <v>324</v>
      </c>
      <c r="C308" s="49"/>
      <c r="D308" s="54" t="s">
        <v>108</v>
      </c>
      <c r="F308" s="47"/>
      <c r="G308" s="15"/>
      <c r="H308" s="15">
        <v>115000</v>
      </c>
    </row>
    <row r="309" spans="1:8" x14ac:dyDescent="0.2">
      <c r="A309" s="21"/>
      <c r="B309" s="14" t="s">
        <v>35</v>
      </c>
      <c r="C309" s="49"/>
      <c r="D309" s="54" t="s">
        <v>187</v>
      </c>
      <c r="F309" s="47"/>
      <c r="G309" s="15"/>
      <c r="H309" s="15">
        <v>9640</v>
      </c>
    </row>
    <row r="310" spans="1:8" x14ac:dyDescent="0.2">
      <c r="A310" s="21"/>
      <c r="B310" s="14" t="s">
        <v>37</v>
      </c>
      <c r="C310" s="49"/>
      <c r="D310" s="54" t="s">
        <v>328</v>
      </c>
      <c r="F310" s="47"/>
      <c r="G310" s="15"/>
      <c r="H310" s="15">
        <v>34500</v>
      </c>
    </row>
    <row r="311" spans="1:8" x14ac:dyDescent="0.2">
      <c r="A311" s="21"/>
      <c r="B311" s="14" t="s">
        <v>188</v>
      </c>
      <c r="C311" s="49"/>
      <c r="D311" s="54" t="s">
        <v>329</v>
      </c>
      <c r="F311" s="47"/>
      <c r="G311" s="15"/>
      <c r="H311" s="15">
        <v>100000</v>
      </c>
    </row>
    <row r="312" spans="1:8" x14ac:dyDescent="0.2">
      <c r="A312" s="21"/>
      <c r="B312" s="44" t="s">
        <v>85</v>
      </c>
      <c r="C312" s="50"/>
      <c r="D312" s="46" t="s">
        <v>330</v>
      </c>
      <c r="E312" s="11"/>
      <c r="F312" s="47"/>
      <c r="G312" s="15"/>
      <c r="H312" s="15">
        <v>62500</v>
      </c>
    </row>
    <row r="313" spans="1:8" x14ac:dyDescent="0.2">
      <c r="A313" s="21"/>
      <c r="B313" s="14" t="s">
        <v>35</v>
      </c>
      <c r="C313" s="50"/>
      <c r="D313" s="44" t="s">
        <v>331</v>
      </c>
      <c r="E313" s="11"/>
      <c r="F313" s="47"/>
      <c r="G313" s="15"/>
      <c r="H313" s="15">
        <v>122532</v>
      </c>
    </row>
    <row r="314" spans="1:8" x14ac:dyDescent="0.2">
      <c r="A314" s="43"/>
      <c r="B314" s="44"/>
      <c r="C314" s="50"/>
      <c r="D314" s="62"/>
      <c r="E314" s="62"/>
      <c r="F314" s="46"/>
      <c r="G314" s="47"/>
      <c r="H314" s="15"/>
    </row>
    <row r="315" spans="1:8" x14ac:dyDescent="0.2">
      <c r="A315" s="119" t="s">
        <v>332</v>
      </c>
      <c r="B315" s="120"/>
      <c r="C315" s="120"/>
      <c r="D315" s="120"/>
      <c r="E315" s="120"/>
      <c r="F315" s="120"/>
      <c r="G315" s="121"/>
      <c r="H315" s="16">
        <f>SUM(H308:H314)</f>
        <v>444172</v>
      </c>
    </row>
    <row r="316" spans="1:8" x14ac:dyDescent="0.2">
      <c r="A316" s="21"/>
      <c r="B316" s="14"/>
      <c r="C316" s="49"/>
      <c r="D316" s="54"/>
      <c r="F316" s="47"/>
      <c r="G316" s="15"/>
      <c r="H316" s="15"/>
    </row>
    <row r="317" spans="1:8" ht="16" x14ac:dyDescent="0.2">
      <c r="A317" s="21">
        <v>45894</v>
      </c>
      <c r="B317" s="44" t="s">
        <v>85</v>
      </c>
      <c r="C317" s="61"/>
      <c r="D317" s="62" t="s">
        <v>333</v>
      </c>
      <c r="E317" s="62"/>
      <c r="F317" s="46"/>
      <c r="G317" s="47"/>
      <c r="H317" s="15">
        <v>20000</v>
      </c>
    </row>
    <row r="318" spans="1:8" ht="16" x14ac:dyDescent="0.2">
      <c r="A318" s="21"/>
      <c r="B318" s="44" t="s">
        <v>35</v>
      </c>
      <c r="C318" s="50"/>
      <c r="D318" s="62" t="s">
        <v>334</v>
      </c>
      <c r="F318" s="47"/>
      <c r="G318" s="15"/>
      <c r="H318" s="15">
        <v>127072</v>
      </c>
    </row>
    <row r="319" spans="1:8" ht="16" x14ac:dyDescent="0.2">
      <c r="A319" s="21"/>
      <c r="B319" s="44" t="s">
        <v>335</v>
      </c>
      <c r="C319" s="50"/>
      <c r="D319" s="55" t="s">
        <v>336</v>
      </c>
      <c r="E319" s="11"/>
      <c r="F319" s="47"/>
      <c r="G319" s="15"/>
      <c r="H319" s="15">
        <v>13900</v>
      </c>
    </row>
    <row r="320" spans="1:8" x14ac:dyDescent="0.2">
      <c r="A320" s="21"/>
      <c r="B320" s="14" t="s">
        <v>61</v>
      </c>
      <c r="C320" s="49"/>
      <c r="D320" s="44" t="s">
        <v>38</v>
      </c>
      <c r="E320" s="44"/>
      <c r="F320" s="46"/>
      <c r="G320" s="47"/>
      <c r="H320" s="15">
        <v>18400</v>
      </c>
    </row>
    <row r="321" spans="1:8" x14ac:dyDescent="0.2">
      <c r="A321" s="43"/>
      <c r="B321" s="44"/>
      <c r="C321" s="50"/>
      <c r="D321" s="57"/>
      <c r="E321" s="44"/>
      <c r="F321" s="46"/>
      <c r="G321" s="47"/>
      <c r="H321" s="15"/>
    </row>
    <row r="322" spans="1:8" x14ac:dyDescent="0.2">
      <c r="A322" s="43"/>
      <c r="B322" s="95"/>
      <c r="C322" s="96"/>
      <c r="D322" s="97"/>
      <c r="E322" s="44"/>
      <c r="F322" s="46"/>
      <c r="G322" s="47"/>
      <c r="H322" s="15"/>
    </row>
    <row r="323" spans="1:8" x14ac:dyDescent="0.2">
      <c r="A323" s="43"/>
      <c r="B323" s="95"/>
      <c r="C323" s="96"/>
      <c r="D323" s="97"/>
      <c r="E323" s="44"/>
      <c r="F323" s="46"/>
      <c r="G323" s="47"/>
      <c r="H323" s="15"/>
    </row>
    <row r="324" spans="1:8" x14ac:dyDescent="0.2">
      <c r="A324" s="43"/>
      <c r="B324" s="44"/>
      <c r="C324" s="50"/>
      <c r="D324" s="44"/>
      <c r="E324" s="44"/>
      <c r="F324" s="46"/>
      <c r="G324" s="47"/>
      <c r="H324" s="15"/>
    </row>
    <row r="325" spans="1:8" x14ac:dyDescent="0.2">
      <c r="A325" s="119" t="s">
        <v>338</v>
      </c>
      <c r="B325" s="120"/>
      <c r="C325" s="120"/>
      <c r="D325" s="120"/>
      <c r="E325" s="120"/>
      <c r="F325" s="120"/>
      <c r="G325" s="121"/>
      <c r="H325" s="16">
        <f>SUM(H317:H324)</f>
        <v>179372</v>
      </c>
    </row>
    <row r="326" spans="1:8" x14ac:dyDescent="0.2">
      <c r="B326" s="14"/>
      <c r="C326" s="49"/>
      <c r="D326" s="54"/>
      <c r="F326" s="47"/>
      <c r="G326" s="15"/>
      <c r="H326" s="15"/>
    </row>
    <row r="327" spans="1:8" ht="16" x14ac:dyDescent="0.2">
      <c r="A327" s="21">
        <v>45895</v>
      </c>
      <c r="B327" s="14" t="s">
        <v>37</v>
      </c>
      <c r="C327" s="54"/>
      <c r="D327" s="55" t="s">
        <v>339</v>
      </c>
      <c r="E327" s="11"/>
      <c r="F327" s="47"/>
      <c r="G327" s="15"/>
      <c r="H327" s="15">
        <v>75600</v>
      </c>
    </row>
    <row r="328" spans="1:8" ht="16" x14ac:dyDescent="0.2">
      <c r="A328" s="21"/>
      <c r="B328" s="14" t="s">
        <v>340</v>
      </c>
      <c r="C328" s="50"/>
      <c r="D328" s="55" t="s">
        <v>341</v>
      </c>
      <c r="E328" s="11"/>
      <c r="F328" s="47"/>
      <c r="G328" s="15"/>
      <c r="H328" s="15">
        <v>60000</v>
      </c>
    </row>
    <row r="329" spans="1:8" ht="16" x14ac:dyDescent="0.2">
      <c r="A329" s="21"/>
      <c r="B329" s="14" t="s">
        <v>35</v>
      </c>
      <c r="C329" s="54"/>
      <c r="D329" s="62" t="s">
        <v>342</v>
      </c>
      <c r="E329" s="62"/>
      <c r="F329" s="46"/>
      <c r="G329" s="47"/>
      <c r="H329" s="15">
        <v>75128</v>
      </c>
    </row>
    <row r="330" spans="1:8" ht="16" x14ac:dyDescent="0.2">
      <c r="A330" s="21"/>
      <c r="B330" s="14" t="s">
        <v>85</v>
      </c>
      <c r="C330" s="49"/>
      <c r="D330" s="62" t="s">
        <v>343</v>
      </c>
      <c r="E330" s="62"/>
      <c r="F330" s="46"/>
      <c r="G330" s="47"/>
      <c r="H330" s="15">
        <v>10500</v>
      </c>
    </row>
    <row r="331" spans="1:8" ht="16" x14ac:dyDescent="0.2">
      <c r="A331" s="21"/>
      <c r="B331" s="44" t="s">
        <v>36</v>
      </c>
      <c r="C331" s="50"/>
      <c r="D331" s="62" t="s">
        <v>345</v>
      </c>
      <c r="E331" s="62"/>
      <c r="F331" s="46"/>
      <c r="G331" s="47"/>
      <c r="H331" s="15">
        <v>100000</v>
      </c>
    </row>
    <row r="332" spans="1:8" x14ac:dyDescent="0.2">
      <c r="A332" s="21"/>
      <c r="B332" s="44"/>
      <c r="C332" s="50"/>
      <c r="D332" s="62"/>
      <c r="E332" s="62"/>
      <c r="F332" s="46"/>
      <c r="G332" s="47"/>
      <c r="H332" s="15"/>
    </row>
    <row r="333" spans="1:8" x14ac:dyDescent="0.2">
      <c r="A333" s="43"/>
      <c r="B333" s="44"/>
      <c r="C333" s="50"/>
      <c r="D333" s="62"/>
      <c r="E333" s="62"/>
      <c r="F333" s="46"/>
      <c r="G333" s="47"/>
      <c r="H333" s="15"/>
    </row>
    <row r="334" spans="1:8" x14ac:dyDescent="0.2">
      <c r="A334" s="43"/>
      <c r="B334" s="44"/>
      <c r="C334" s="50"/>
      <c r="D334" s="44"/>
      <c r="E334" s="62"/>
      <c r="F334" s="46"/>
      <c r="G334" s="47"/>
      <c r="H334" s="15"/>
    </row>
    <row r="335" spans="1:8" x14ac:dyDescent="0.2">
      <c r="A335" s="43"/>
      <c r="B335" s="44"/>
      <c r="C335" s="50"/>
      <c r="D335" s="62"/>
      <c r="E335" s="62"/>
      <c r="F335" s="46"/>
      <c r="G335" s="47"/>
      <c r="H335" s="15"/>
    </row>
    <row r="336" spans="1:8" x14ac:dyDescent="0.2">
      <c r="A336" s="43"/>
      <c r="B336" s="44"/>
      <c r="C336" s="50"/>
      <c r="D336" s="62"/>
      <c r="E336" s="62"/>
      <c r="F336" s="46"/>
      <c r="G336" s="47"/>
      <c r="H336" s="15"/>
    </row>
    <row r="337" spans="1:8" x14ac:dyDescent="0.2">
      <c r="A337" s="119" t="s">
        <v>346</v>
      </c>
      <c r="B337" s="120"/>
      <c r="C337" s="120"/>
      <c r="D337" s="120"/>
      <c r="E337" s="120"/>
      <c r="F337" s="120"/>
      <c r="G337" s="121"/>
      <c r="H337" s="16">
        <f>SUM(H327:H336)</f>
        <v>321228</v>
      </c>
    </row>
    <row r="338" spans="1:8" x14ac:dyDescent="0.2">
      <c r="A338" s="21"/>
      <c r="B338" s="14"/>
      <c r="C338" s="49"/>
      <c r="D338" s="54"/>
      <c r="F338" s="47"/>
      <c r="G338" s="15"/>
      <c r="H338" s="15"/>
    </row>
    <row r="339" spans="1:8" x14ac:dyDescent="0.2">
      <c r="A339" s="21">
        <v>45896</v>
      </c>
      <c r="B339" s="14" t="s">
        <v>35</v>
      </c>
      <c r="C339" s="49"/>
      <c r="D339" s="54" t="s">
        <v>348</v>
      </c>
      <c r="F339" s="47"/>
      <c r="G339" s="15"/>
      <c r="H339" s="15">
        <v>15980</v>
      </c>
    </row>
    <row r="340" spans="1:8" x14ac:dyDescent="0.2">
      <c r="A340" s="21"/>
      <c r="B340" s="14" t="s">
        <v>35</v>
      </c>
      <c r="C340" s="49"/>
      <c r="D340" s="54" t="s">
        <v>349</v>
      </c>
      <c r="F340" s="47"/>
      <c r="G340" s="15"/>
      <c r="H340" s="15">
        <v>20795</v>
      </c>
    </row>
    <row r="341" spans="1:8" x14ac:dyDescent="0.2">
      <c r="A341" s="21"/>
      <c r="B341" s="14" t="s">
        <v>220</v>
      </c>
      <c r="C341" s="49"/>
      <c r="D341" s="54" t="s">
        <v>221</v>
      </c>
      <c r="F341" s="47"/>
      <c r="G341" s="15"/>
      <c r="H341" s="15">
        <v>254423</v>
      </c>
    </row>
    <row r="342" spans="1:8" x14ac:dyDescent="0.2">
      <c r="A342" s="21"/>
      <c r="B342" s="14" t="s">
        <v>85</v>
      </c>
      <c r="C342" s="49"/>
      <c r="D342" s="54" t="s">
        <v>58</v>
      </c>
      <c r="F342" s="47"/>
      <c r="G342" s="15"/>
      <c r="H342" s="15">
        <v>24000</v>
      </c>
    </row>
    <row r="343" spans="1:8" x14ac:dyDescent="0.2">
      <c r="A343" s="21"/>
      <c r="B343" s="14" t="s">
        <v>35</v>
      </c>
      <c r="C343" s="49"/>
      <c r="D343" s="54" t="s">
        <v>352</v>
      </c>
      <c r="F343" s="47"/>
      <c r="G343" s="15"/>
      <c r="H343" s="15">
        <v>42600</v>
      </c>
    </row>
    <row r="344" spans="1:8" x14ac:dyDescent="0.2">
      <c r="A344" s="21"/>
      <c r="B344" s="14" t="s">
        <v>36</v>
      </c>
      <c r="C344" s="49"/>
      <c r="D344" s="54" t="s">
        <v>356</v>
      </c>
      <c r="F344" s="47"/>
      <c r="G344" s="15"/>
      <c r="H344" s="15">
        <v>190000</v>
      </c>
    </row>
    <row r="345" spans="1:8" x14ac:dyDescent="0.2">
      <c r="A345" s="21"/>
      <c r="B345" s="44"/>
      <c r="C345" s="50"/>
      <c r="D345" s="54"/>
      <c r="F345" s="47"/>
      <c r="G345" s="15"/>
      <c r="H345" s="15"/>
    </row>
    <row r="346" spans="1:8" x14ac:dyDescent="0.2">
      <c r="A346" s="21"/>
      <c r="B346" s="14"/>
      <c r="C346" s="50"/>
      <c r="D346" s="56"/>
      <c r="E346" s="33"/>
      <c r="F346" s="47"/>
      <c r="G346" s="15"/>
      <c r="H346" s="15"/>
    </row>
    <row r="347" spans="1:8" x14ac:dyDescent="0.2">
      <c r="A347" s="43"/>
      <c r="B347" s="1"/>
      <c r="C347" s="24"/>
      <c r="D347" s="1"/>
      <c r="E347" s="1"/>
      <c r="F347" s="46"/>
      <c r="G347" s="47"/>
      <c r="H347" s="15"/>
    </row>
    <row r="348" spans="1:8" x14ac:dyDescent="0.2">
      <c r="A348" s="43"/>
      <c r="B348" s="44"/>
      <c r="C348" s="50"/>
      <c r="D348" s="62"/>
      <c r="E348" s="62"/>
      <c r="F348" s="46"/>
      <c r="G348" s="47"/>
      <c r="H348" s="15"/>
    </row>
    <row r="349" spans="1:8" x14ac:dyDescent="0.2">
      <c r="A349" s="119" t="s">
        <v>357</v>
      </c>
      <c r="B349" s="120"/>
      <c r="C349" s="120"/>
      <c r="D349" s="120"/>
      <c r="E349" s="120"/>
      <c r="F349" s="120"/>
      <c r="G349" s="121"/>
      <c r="H349" s="16">
        <f>SUM(H339:H348)</f>
        <v>547798</v>
      </c>
    </row>
    <row r="350" spans="1:8" x14ac:dyDescent="0.2">
      <c r="A350" s="21"/>
      <c r="B350" s="14"/>
      <c r="C350" s="49"/>
      <c r="D350" s="54"/>
      <c r="F350" s="47"/>
      <c r="G350" s="15"/>
      <c r="H350" s="15"/>
    </row>
    <row r="351" spans="1:8" x14ac:dyDescent="0.2">
      <c r="A351" s="21">
        <v>45897</v>
      </c>
      <c r="B351" s="14" t="s">
        <v>358</v>
      </c>
      <c r="C351" s="49"/>
      <c r="D351" s="54" t="s">
        <v>359</v>
      </c>
      <c r="F351" s="47"/>
      <c r="G351" s="15"/>
      <c r="H351" s="15">
        <v>184000</v>
      </c>
    </row>
    <row r="352" spans="1:8" x14ac:dyDescent="0.2">
      <c r="A352" s="21"/>
      <c r="B352" s="14" t="s">
        <v>362</v>
      </c>
      <c r="C352" s="49"/>
      <c r="D352" s="54" t="s">
        <v>363</v>
      </c>
      <c r="F352" s="47"/>
      <c r="G352" s="15"/>
      <c r="H352" s="15">
        <v>10300</v>
      </c>
    </row>
    <row r="353" spans="1:8" x14ac:dyDescent="0.2">
      <c r="A353" s="21"/>
      <c r="B353" s="14" t="s">
        <v>162</v>
      </c>
      <c r="C353" s="49"/>
      <c r="D353" s="54" t="s">
        <v>364</v>
      </c>
      <c r="F353" s="47"/>
      <c r="G353" s="15"/>
      <c r="H353" s="15">
        <v>19200</v>
      </c>
    </row>
    <row r="354" spans="1:8" x14ac:dyDescent="0.2">
      <c r="A354" s="21"/>
      <c r="B354" s="14" t="s">
        <v>35</v>
      </c>
      <c r="C354" s="49"/>
      <c r="D354" s="54" t="s">
        <v>365</v>
      </c>
      <c r="F354" s="47"/>
      <c r="G354" s="15"/>
      <c r="H354" s="15">
        <v>105180</v>
      </c>
    </row>
    <row r="355" spans="1:8" x14ac:dyDescent="0.2">
      <c r="A355" s="21"/>
      <c r="B355" s="14" t="s">
        <v>57</v>
      </c>
      <c r="C355" s="49"/>
      <c r="D355" s="54" t="s">
        <v>267</v>
      </c>
      <c r="F355" s="47"/>
      <c r="G355" s="15"/>
      <c r="H355" s="15">
        <v>8000</v>
      </c>
    </row>
    <row r="356" spans="1:8" x14ac:dyDescent="0.2">
      <c r="A356" s="21"/>
      <c r="B356" s="14" t="s">
        <v>37</v>
      </c>
      <c r="C356" s="50"/>
      <c r="D356" s="54" t="s">
        <v>366</v>
      </c>
      <c r="F356" s="47"/>
      <c r="G356" s="15"/>
      <c r="H356" s="15">
        <v>49000</v>
      </c>
    </row>
    <row r="357" spans="1:8" x14ac:dyDescent="0.2">
      <c r="A357" s="21"/>
      <c r="B357" s="44" t="s">
        <v>61</v>
      </c>
      <c r="C357" s="50"/>
      <c r="D357" s="44" t="s">
        <v>38</v>
      </c>
      <c r="E357" s="44"/>
      <c r="F357" s="46"/>
      <c r="G357" s="47"/>
      <c r="H357" s="15">
        <v>18400</v>
      </c>
    </row>
    <row r="358" spans="1:8" x14ac:dyDescent="0.2">
      <c r="A358" s="43"/>
      <c r="B358" s="44"/>
      <c r="C358" s="50"/>
      <c r="D358" s="44"/>
      <c r="E358" s="44"/>
      <c r="F358" s="46"/>
      <c r="G358" s="47"/>
      <c r="H358" s="15"/>
    </row>
    <row r="359" spans="1:8" x14ac:dyDescent="0.2">
      <c r="A359" s="43"/>
      <c r="B359" s="44"/>
      <c r="C359" s="50"/>
      <c r="D359" s="62"/>
      <c r="E359" s="44"/>
      <c r="F359" s="46"/>
      <c r="G359" s="47"/>
      <c r="H359" s="15"/>
    </row>
    <row r="360" spans="1:8" x14ac:dyDescent="0.2">
      <c r="A360" s="43"/>
      <c r="B360" s="14"/>
      <c r="C360" s="51"/>
      <c r="D360" s="44"/>
      <c r="E360" s="44"/>
      <c r="F360" s="46"/>
      <c r="G360" s="47"/>
      <c r="H360" s="15"/>
    </row>
    <row r="361" spans="1:8" x14ac:dyDescent="0.2">
      <c r="A361" s="43"/>
      <c r="B361" s="44"/>
      <c r="C361" s="50"/>
      <c r="D361" s="44"/>
      <c r="E361" s="44"/>
      <c r="F361" s="46"/>
      <c r="G361" s="47"/>
      <c r="H361" s="15"/>
    </row>
    <row r="362" spans="1:8" x14ac:dyDescent="0.2">
      <c r="A362" s="119" t="s">
        <v>368</v>
      </c>
      <c r="B362" s="120"/>
      <c r="C362" s="120"/>
      <c r="D362" s="120"/>
      <c r="E362" s="120"/>
      <c r="F362" s="120"/>
      <c r="G362" s="121"/>
      <c r="H362" s="16">
        <f>SUM(H351:H361)</f>
        <v>394080</v>
      </c>
    </row>
    <row r="363" spans="1:8" x14ac:dyDescent="0.2">
      <c r="A363" s="21"/>
      <c r="B363" s="14"/>
      <c r="C363" s="49"/>
      <c r="D363" s="54"/>
      <c r="F363" s="47"/>
      <c r="G363" s="15"/>
      <c r="H363" s="15"/>
    </row>
    <row r="364" spans="1:8" x14ac:dyDescent="0.2">
      <c r="A364" s="21">
        <v>45898</v>
      </c>
      <c r="B364" s="44" t="s">
        <v>369</v>
      </c>
      <c r="C364" s="50"/>
      <c r="D364" s="54" t="s">
        <v>370</v>
      </c>
      <c r="F364" s="47"/>
      <c r="G364" s="15"/>
      <c r="H364" s="15">
        <v>11500</v>
      </c>
    </row>
    <row r="365" spans="1:8" x14ac:dyDescent="0.2">
      <c r="A365" s="21"/>
      <c r="B365" s="44" t="s">
        <v>371</v>
      </c>
      <c r="C365" s="50"/>
      <c r="D365" s="54" t="s">
        <v>372</v>
      </c>
      <c r="F365" s="47"/>
      <c r="G365" s="15"/>
      <c r="H365" s="15">
        <v>60000</v>
      </c>
    </row>
    <row r="366" spans="1:8" x14ac:dyDescent="0.2">
      <c r="A366" s="21"/>
      <c r="B366" s="44" t="s">
        <v>173</v>
      </c>
      <c r="C366" s="50"/>
      <c r="D366" s="54" t="s">
        <v>373</v>
      </c>
      <c r="F366" s="47"/>
      <c r="G366" s="15"/>
      <c r="H366" s="15">
        <v>58055</v>
      </c>
    </row>
    <row r="367" spans="1:8" x14ac:dyDescent="0.2">
      <c r="A367" s="21"/>
      <c r="B367" s="44" t="s">
        <v>70</v>
      </c>
      <c r="C367" s="50"/>
      <c r="D367" s="54" t="s">
        <v>374</v>
      </c>
      <c r="F367" s="47"/>
      <c r="G367" s="15"/>
      <c r="H367" s="15">
        <v>115200</v>
      </c>
    </row>
    <row r="368" spans="1:8" x14ac:dyDescent="0.2">
      <c r="A368" s="21"/>
      <c r="B368" s="44" t="s">
        <v>62</v>
      </c>
      <c r="C368" s="50"/>
      <c r="D368" s="54" t="s">
        <v>375</v>
      </c>
      <c r="F368" s="47"/>
      <c r="G368" s="15"/>
      <c r="H368" s="15">
        <v>114742</v>
      </c>
    </row>
    <row r="369" spans="1:8" x14ac:dyDescent="0.2">
      <c r="A369" s="21"/>
      <c r="B369" s="44" t="s">
        <v>66</v>
      </c>
      <c r="C369" s="50"/>
      <c r="D369" s="54" t="s">
        <v>170</v>
      </c>
      <c r="F369" s="47"/>
      <c r="G369" s="15"/>
      <c r="H369" s="15">
        <v>79443</v>
      </c>
    </row>
    <row r="370" spans="1:8" x14ac:dyDescent="0.2">
      <c r="A370" s="21"/>
      <c r="B370" s="44" t="s">
        <v>35</v>
      </c>
      <c r="C370" s="50"/>
      <c r="D370" s="54" t="s">
        <v>376</v>
      </c>
      <c r="F370" s="47"/>
      <c r="G370" s="15"/>
      <c r="H370" s="15">
        <v>80900</v>
      </c>
    </row>
    <row r="371" spans="1:8" x14ac:dyDescent="0.2">
      <c r="A371" s="21"/>
      <c r="B371" s="44" t="s">
        <v>35</v>
      </c>
      <c r="C371" s="50"/>
      <c r="D371" s="54" t="s">
        <v>377</v>
      </c>
      <c r="F371" s="47"/>
      <c r="G371" s="15"/>
      <c r="H371" s="15">
        <v>73780</v>
      </c>
    </row>
    <row r="372" spans="1:8" x14ac:dyDescent="0.2">
      <c r="A372" s="21"/>
      <c r="B372" s="44" t="s">
        <v>78</v>
      </c>
      <c r="C372" s="50"/>
      <c r="D372" s="54" t="s">
        <v>79</v>
      </c>
      <c r="F372" s="47"/>
      <c r="G372" s="15"/>
      <c r="H372" s="15">
        <v>72500</v>
      </c>
    </row>
    <row r="373" spans="1:8" x14ac:dyDescent="0.2">
      <c r="A373" s="21"/>
      <c r="B373" s="44" t="s">
        <v>115</v>
      </c>
      <c r="C373" s="50"/>
      <c r="D373" s="54" t="s">
        <v>303</v>
      </c>
      <c r="F373" s="47"/>
      <c r="G373" s="15"/>
      <c r="H373" s="15">
        <v>100000</v>
      </c>
    </row>
    <row r="374" spans="1:8" x14ac:dyDescent="0.2">
      <c r="A374" s="21"/>
      <c r="B374" s="44" t="s">
        <v>36</v>
      </c>
      <c r="C374" s="50"/>
      <c r="D374" s="54" t="s">
        <v>179</v>
      </c>
      <c r="F374" s="47"/>
      <c r="G374" s="15"/>
      <c r="H374" s="15">
        <v>196000</v>
      </c>
    </row>
    <row r="375" spans="1:8" x14ac:dyDescent="0.2">
      <c r="A375" s="21"/>
      <c r="B375" s="44"/>
      <c r="C375" s="50"/>
      <c r="D375" s="55"/>
      <c r="E375" s="11"/>
      <c r="F375" s="47"/>
      <c r="G375" s="15"/>
      <c r="H375" s="15"/>
    </row>
    <row r="376" spans="1:8" x14ac:dyDescent="0.2">
      <c r="A376" s="43"/>
      <c r="B376" s="44"/>
      <c r="C376" s="50"/>
      <c r="D376" s="45"/>
      <c r="E376" s="45"/>
      <c r="F376" s="46"/>
      <c r="G376" s="47"/>
      <c r="H376" s="15"/>
    </row>
    <row r="377" spans="1:8" x14ac:dyDescent="0.2">
      <c r="A377" s="119" t="s">
        <v>378</v>
      </c>
      <c r="B377" s="120"/>
      <c r="C377" s="120"/>
      <c r="D377" s="120"/>
      <c r="E377" s="120"/>
      <c r="F377" s="120"/>
      <c r="G377" s="121"/>
      <c r="H377" s="16">
        <f>SUM(H364:H376)</f>
        <v>962120</v>
      </c>
    </row>
    <row r="378" spans="1:8" x14ac:dyDescent="0.2">
      <c r="A378" s="21"/>
      <c r="B378" s="14"/>
      <c r="C378" s="49"/>
      <c r="D378" s="54"/>
      <c r="F378" s="47"/>
      <c r="G378" s="15"/>
      <c r="H378" s="15"/>
    </row>
    <row r="379" spans="1:8" x14ac:dyDescent="0.2">
      <c r="A379" s="21">
        <v>45899</v>
      </c>
      <c r="B379" s="44" t="s">
        <v>85</v>
      </c>
      <c r="C379" s="50"/>
      <c r="D379" s="54" t="s">
        <v>55</v>
      </c>
      <c r="F379" s="47"/>
      <c r="G379" s="15"/>
      <c r="H379" s="15">
        <v>25000</v>
      </c>
    </row>
    <row r="380" spans="1:8" x14ac:dyDescent="0.2">
      <c r="A380" s="21"/>
      <c r="B380" s="44" t="s">
        <v>125</v>
      </c>
      <c r="C380" s="50"/>
      <c r="D380" s="54" t="s">
        <v>380</v>
      </c>
      <c r="F380" s="47"/>
      <c r="G380" s="15"/>
      <c r="H380" s="15">
        <v>270000</v>
      </c>
    </row>
    <row r="381" spans="1:8" x14ac:dyDescent="0.2">
      <c r="A381" s="21"/>
      <c r="B381" s="44" t="s">
        <v>80</v>
      </c>
      <c r="C381" s="50"/>
      <c r="D381" s="54" t="s">
        <v>81</v>
      </c>
      <c r="F381" s="47"/>
      <c r="G381" s="15"/>
      <c r="H381" s="15">
        <v>36600</v>
      </c>
    </row>
    <row r="382" spans="1:8" x14ac:dyDescent="0.2">
      <c r="A382" s="21"/>
      <c r="B382" s="44" t="s">
        <v>381</v>
      </c>
      <c r="C382" s="50"/>
      <c r="D382" s="54" t="s">
        <v>94</v>
      </c>
      <c r="F382" s="47"/>
      <c r="G382" s="15"/>
      <c r="H382" s="15">
        <v>12900</v>
      </c>
    </row>
    <row r="383" spans="1:8" x14ac:dyDescent="0.2">
      <c r="A383" s="21"/>
      <c r="B383" s="44" t="s">
        <v>313</v>
      </c>
      <c r="C383" s="50"/>
      <c r="D383" s="54" t="s">
        <v>382</v>
      </c>
      <c r="F383" s="47"/>
      <c r="G383" s="15"/>
      <c r="H383" s="15">
        <v>58800</v>
      </c>
    </row>
    <row r="384" spans="1:8" ht="16" x14ac:dyDescent="0.2">
      <c r="A384" s="21"/>
      <c r="B384" s="44" t="s">
        <v>383</v>
      </c>
      <c r="C384" s="50"/>
      <c r="D384" s="56" t="s">
        <v>58</v>
      </c>
      <c r="E384" s="11"/>
      <c r="F384" s="47"/>
      <c r="G384" s="15"/>
      <c r="H384" s="15">
        <v>66000</v>
      </c>
    </row>
    <row r="385" spans="1:8" ht="16" x14ac:dyDescent="0.2">
      <c r="A385" s="21"/>
      <c r="B385" s="44" t="s">
        <v>35</v>
      </c>
      <c r="C385" s="61"/>
      <c r="D385" s="62" t="s">
        <v>384</v>
      </c>
      <c r="E385" s="62"/>
      <c r="F385" s="46"/>
      <c r="G385" s="47"/>
      <c r="H385" s="15">
        <v>180292</v>
      </c>
    </row>
    <row r="386" spans="1:8" ht="16" x14ac:dyDescent="0.2">
      <c r="A386" s="21"/>
      <c r="B386" s="44" t="s">
        <v>35</v>
      </c>
      <c r="C386" s="61"/>
      <c r="D386" s="62" t="s">
        <v>385</v>
      </c>
      <c r="E386" s="62"/>
      <c r="F386" s="46"/>
      <c r="G386" s="47"/>
      <c r="H386" s="15">
        <v>17520</v>
      </c>
    </row>
    <row r="387" spans="1:8" ht="16" x14ac:dyDescent="0.2">
      <c r="A387" s="21"/>
      <c r="B387" s="44" t="s">
        <v>386</v>
      </c>
      <c r="C387" s="61"/>
      <c r="D387" s="62" t="s">
        <v>92</v>
      </c>
      <c r="E387" s="62"/>
      <c r="F387" s="46"/>
      <c r="G387" s="47"/>
      <c r="H387" s="15">
        <v>59100</v>
      </c>
    </row>
    <row r="388" spans="1:8" ht="16" x14ac:dyDescent="0.2">
      <c r="A388" s="21"/>
      <c r="B388" s="44" t="s">
        <v>61</v>
      </c>
      <c r="C388" s="61"/>
      <c r="D388" s="62" t="s">
        <v>38</v>
      </c>
      <c r="E388" s="62"/>
      <c r="F388" s="46"/>
      <c r="G388" s="47"/>
      <c r="H388" s="15">
        <v>18400</v>
      </c>
    </row>
    <row r="389" spans="1:8" x14ac:dyDescent="0.2">
      <c r="A389" s="21"/>
      <c r="B389" s="44"/>
      <c r="C389" s="61"/>
      <c r="D389" s="62"/>
      <c r="E389" s="62"/>
      <c r="F389" s="46"/>
      <c r="G389" s="47"/>
      <c r="H389" s="15"/>
    </row>
    <row r="390" spans="1:8" x14ac:dyDescent="0.2">
      <c r="A390" s="21"/>
      <c r="B390" s="14"/>
      <c r="C390" s="54"/>
      <c r="D390" s="55"/>
      <c r="E390" s="11"/>
      <c r="F390" s="47"/>
      <c r="G390" s="15"/>
      <c r="H390" s="15"/>
    </row>
    <row r="391" spans="1:8" x14ac:dyDescent="0.2">
      <c r="A391" s="21"/>
      <c r="B391" s="44"/>
      <c r="C391" s="50"/>
      <c r="D391" s="46"/>
      <c r="E391" s="11"/>
      <c r="F391" s="47"/>
      <c r="G391" s="15"/>
      <c r="H391" s="15"/>
    </row>
    <row r="392" spans="1:8" x14ac:dyDescent="0.2">
      <c r="A392" s="43"/>
      <c r="B392" s="44"/>
      <c r="C392" s="50"/>
      <c r="D392" s="62"/>
      <c r="E392" s="62"/>
      <c r="F392" s="46"/>
      <c r="G392" s="47"/>
      <c r="H392" s="15"/>
    </row>
    <row r="393" spans="1:8" x14ac:dyDescent="0.2">
      <c r="A393" s="119" t="s">
        <v>387</v>
      </c>
      <c r="B393" s="120"/>
      <c r="C393" s="120"/>
      <c r="D393" s="120"/>
      <c r="E393" s="120"/>
      <c r="F393" s="120"/>
      <c r="G393" s="121"/>
      <c r="H393" s="16">
        <f>SUM(H379:H392)</f>
        <v>744612</v>
      </c>
    </row>
    <row r="394" spans="1:8" x14ac:dyDescent="0.2">
      <c r="A394" s="21"/>
      <c r="B394" s="14"/>
      <c r="C394" s="49"/>
      <c r="D394" s="54"/>
      <c r="F394" s="47"/>
      <c r="G394" s="15"/>
      <c r="H394" s="15"/>
    </row>
    <row r="395" spans="1:8" x14ac:dyDescent="0.2">
      <c r="A395" s="21">
        <v>45900</v>
      </c>
      <c r="B395" s="14" t="s">
        <v>85</v>
      </c>
      <c r="C395" s="49"/>
      <c r="D395" s="54" t="s">
        <v>392</v>
      </c>
      <c r="F395" s="47"/>
      <c r="G395" s="15"/>
      <c r="H395" s="15">
        <v>11500</v>
      </c>
    </row>
    <row r="396" spans="1:8" x14ac:dyDescent="0.2">
      <c r="A396" s="21"/>
      <c r="B396" s="14" t="s">
        <v>35</v>
      </c>
      <c r="C396" s="49"/>
      <c r="D396" s="54" t="s">
        <v>352</v>
      </c>
      <c r="F396" s="47"/>
      <c r="G396" s="15"/>
      <c r="H396" s="15">
        <v>32140</v>
      </c>
    </row>
    <row r="397" spans="1:8" x14ac:dyDescent="0.2">
      <c r="A397" s="21"/>
      <c r="B397" s="14" t="s">
        <v>36</v>
      </c>
      <c r="C397" s="49"/>
      <c r="D397" s="54" t="s">
        <v>394</v>
      </c>
      <c r="F397" s="47"/>
      <c r="G397" s="15"/>
      <c r="H397" s="15">
        <v>242000</v>
      </c>
    </row>
    <row r="398" spans="1:8" x14ac:dyDescent="0.2">
      <c r="A398" s="21"/>
      <c r="B398" s="14" t="s">
        <v>137</v>
      </c>
      <c r="C398" s="49"/>
      <c r="D398" s="54" t="s">
        <v>395</v>
      </c>
      <c r="F398" s="47"/>
      <c r="G398" s="15"/>
      <c r="H398" s="15">
        <v>76400</v>
      </c>
    </row>
    <row r="399" spans="1:8" x14ac:dyDescent="0.2">
      <c r="A399" s="21"/>
      <c r="B399" s="44"/>
      <c r="C399" s="50"/>
      <c r="D399" s="55"/>
      <c r="E399" s="11"/>
      <c r="F399" s="47"/>
      <c r="G399" s="15"/>
      <c r="H399" s="15"/>
    </row>
    <row r="400" spans="1:8" x14ac:dyDescent="0.2">
      <c r="A400" s="21"/>
      <c r="B400" s="14"/>
      <c r="C400" s="49"/>
      <c r="D400" s="54"/>
      <c r="F400" s="47"/>
      <c r="G400" s="15"/>
      <c r="H400" s="15"/>
    </row>
    <row r="401" spans="1:16384" s="13" customFormat="1" x14ac:dyDescent="0.2">
      <c r="A401" s="43"/>
      <c r="B401" s="44"/>
      <c r="C401" s="50"/>
      <c r="D401" s="44"/>
      <c r="E401" s="44"/>
      <c r="F401" s="46"/>
      <c r="G401" s="47"/>
      <c r="H401" s="15"/>
    </row>
    <row r="402" spans="1:16384" s="13" customFormat="1" x14ac:dyDescent="0.2">
      <c r="A402" s="119" t="s">
        <v>393</v>
      </c>
      <c r="B402" s="120"/>
      <c r="C402" s="120"/>
      <c r="D402" s="120"/>
      <c r="E402" s="120"/>
      <c r="F402" s="120"/>
      <c r="G402" s="121"/>
      <c r="H402" s="102">
        <f>SUM(H395:H401)</f>
        <v>362040</v>
      </c>
      <c r="O402" s="119"/>
      <c r="P402" s="120"/>
      <c r="Q402" s="120"/>
      <c r="R402" s="120"/>
      <c r="S402" s="120"/>
      <c r="T402" s="120"/>
      <c r="U402" s="121"/>
      <c r="V402" s="119"/>
      <c r="W402" s="120"/>
      <c r="X402" s="120"/>
      <c r="Y402" s="120"/>
      <c r="Z402" s="120"/>
      <c r="AA402" s="120"/>
      <c r="AB402" s="121"/>
      <c r="AC402" s="119"/>
      <c r="AD402" s="120"/>
      <c r="AE402" s="120"/>
      <c r="AF402" s="120"/>
      <c r="AG402" s="120"/>
      <c r="AH402" s="120"/>
      <c r="AI402" s="121"/>
      <c r="AJ402" s="119"/>
      <c r="AK402" s="120"/>
      <c r="AL402" s="120"/>
      <c r="AM402" s="120"/>
      <c r="AN402" s="120"/>
      <c r="AO402" s="120"/>
      <c r="AP402" s="121"/>
      <c r="AQ402" s="119"/>
      <c r="AR402" s="120"/>
      <c r="AS402" s="120"/>
      <c r="AT402" s="120"/>
      <c r="AU402" s="120"/>
      <c r="AV402" s="120"/>
      <c r="AW402" s="121"/>
      <c r="AX402" s="119"/>
      <c r="AY402" s="120"/>
      <c r="AZ402" s="120"/>
      <c r="BA402" s="120"/>
      <c r="BB402" s="120"/>
      <c r="BC402" s="120"/>
      <c r="BD402" s="121"/>
      <c r="BE402" s="119"/>
      <c r="BF402" s="120"/>
      <c r="BG402" s="120"/>
      <c r="BH402" s="120"/>
      <c r="BI402" s="120"/>
      <c r="BJ402" s="120"/>
      <c r="BK402" s="121"/>
      <c r="BL402" s="119"/>
      <c r="BM402" s="120"/>
      <c r="BN402" s="120"/>
      <c r="BO402" s="120"/>
      <c r="BP402" s="120"/>
      <c r="BQ402" s="120"/>
      <c r="BR402" s="121"/>
      <c r="BS402" s="119"/>
      <c r="BT402" s="120"/>
      <c r="BU402" s="120"/>
      <c r="BV402" s="120"/>
      <c r="BW402" s="120"/>
      <c r="BX402" s="120"/>
      <c r="BY402" s="121"/>
      <c r="BZ402" s="119"/>
      <c r="CA402" s="120"/>
      <c r="CB402" s="120"/>
      <c r="CC402" s="120"/>
      <c r="CD402" s="120"/>
      <c r="CE402" s="120"/>
      <c r="CF402" s="121"/>
      <c r="CG402" s="119"/>
      <c r="CH402" s="120"/>
      <c r="CI402" s="120"/>
      <c r="CJ402" s="120"/>
      <c r="CK402" s="120"/>
      <c r="CL402" s="120"/>
      <c r="CM402" s="121"/>
      <c r="CN402" s="119"/>
      <c r="CO402" s="120"/>
      <c r="CP402" s="120"/>
      <c r="CQ402" s="120"/>
      <c r="CR402" s="120"/>
      <c r="CS402" s="120"/>
      <c r="CT402" s="121"/>
      <c r="CU402" s="119"/>
      <c r="CV402" s="120"/>
      <c r="CW402" s="120"/>
      <c r="CX402" s="120"/>
      <c r="CY402" s="120"/>
      <c r="CZ402" s="120"/>
      <c r="DA402" s="121"/>
      <c r="DB402" s="119"/>
      <c r="DC402" s="120"/>
      <c r="DD402" s="120"/>
      <c r="DE402" s="120"/>
      <c r="DF402" s="120"/>
      <c r="DG402" s="120"/>
      <c r="DH402" s="121"/>
      <c r="DI402" s="119"/>
      <c r="DJ402" s="120"/>
      <c r="DK402" s="120"/>
      <c r="DL402" s="120"/>
      <c r="DM402" s="120"/>
      <c r="DN402" s="120"/>
      <c r="DO402" s="121"/>
      <c r="DP402" s="119"/>
      <c r="DQ402" s="120"/>
      <c r="DR402" s="120"/>
      <c r="DS402" s="120"/>
      <c r="DT402" s="120"/>
      <c r="DU402" s="120"/>
      <c r="DV402" s="121"/>
      <c r="DW402" s="119"/>
      <c r="DX402" s="120"/>
      <c r="DY402" s="120"/>
      <c r="DZ402" s="120"/>
      <c r="EA402" s="120"/>
      <c r="EB402" s="120"/>
      <c r="EC402" s="121"/>
      <c r="ED402" s="119"/>
      <c r="EE402" s="120"/>
      <c r="EF402" s="120"/>
      <c r="EG402" s="120"/>
      <c r="EH402" s="120"/>
      <c r="EI402" s="120"/>
      <c r="EJ402" s="121"/>
      <c r="EK402" s="119"/>
      <c r="EL402" s="120"/>
      <c r="EM402" s="120"/>
      <c r="EN402" s="120"/>
      <c r="EO402" s="120"/>
      <c r="EP402" s="120"/>
      <c r="EQ402" s="121"/>
      <c r="ER402" s="119"/>
      <c r="ES402" s="120"/>
      <c r="ET402" s="120"/>
      <c r="EU402" s="120"/>
      <c r="EV402" s="120"/>
      <c r="EW402" s="120"/>
      <c r="EX402" s="121"/>
      <c r="EY402" s="119"/>
      <c r="EZ402" s="120"/>
      <c r="FA402" s="120"/>
      <c r="FB402" s="120"/>
      <c r="FC402" s="120"/>
      <c r="FD402" s="120"/>
      <c r="FE402" s="121"/>
      <c r="FF402" s="119"/>
      <c r="FG402" s="120"/>
      <c r="FH402" s="120"/>
      <c r="FI402" s="120"/>
      <c r="FJ402" s="120"/>
      <c r="FK402" s="120"/>
      <c r="FL402" s="121"/>
      <c r="FM402" s="119"/>
      <c r="FN402" s="120"/>
      <c r="FO402" s="120"/>
      <c r="FP402" s="120"/>
      <c r="FQ402" s="120"/>
      <c r="FR402" s="120"/>
      <c r="FS402" s="121"/>
      <c r="FT402" s="119"/>
      <c r="FU402" s="120"/>
      <c r="FV402" s="120"/>
      <c r="FW402" s="120"/>
      <c r="FX402" s="120"/>
      <c r="FY402" s="120"/>
      <c r="FZ402" s="121"/>
      <c r="GA402" s="119"/>
      <c r="GB402" s="120"/>
      <c r="GC402" s="120"/>
      <c r="GD402" s="120"/>
      <c r="GE402" s="120"/>
      <c r="GF402" s="120"/>
      <c r="GG402" s="121"/>
      <c r="GH402" s="119"/>
      <c r="GI402" s="120"/>
      <c r="GJ402" s="120"/>
      <c r="GK402" s="120"/>
      <c r="GL402" s="120"/>
      <c r="GM402" s="120"/>
      <c r="GN402" s="121"/>
      <c r="GO402" s="119"/>
      <c r="GP402" s="120"/>
      <c r="GQ402" s="120"/>
      <c r="GR402" s="120"/>
      <c r="GS402" s="120"/>
      <c r="GT402" s="120"/>
      <c r="GU402" s="121"/>
      <c r="GV402" s="119"/>
      <c r="GW402" s="120"/>
      <c r="GX402" s="120"/>
      <c r="GY402" s="120"/>
      <c r="GZ402" s="120"/>
      <c r="HA402" s="120"/>
      <c r="HB402" s="121"/>
      <c r="HC402" s="119"/>
      <c r="HD402" s="120"/>
      <c r="HE402" s="120"/>
      <c r="HF402" s="120"/>
      <c r="HG402" s="120"/>
      <c r="HH402" s="120"/>
      <c r="HI402" s="121"/>
      <c r="HJ402" s="119"/>
      <c r="HK402" s="120"/>
      <c r="HL402" s="120"/>
      <c r="HM402" s="120"/>
      <c r="HN402" s="120"/>
      <c r="HO402" s="120"/>
      <c r="HP402" s="121"/>
      <c r="HQ402" s="119"/>
      <c r="HR402" s="120"/>
      <c r="HS402" s="120"/>
      <c r="HT402" s="120"/>
      <c r="HU402" s="120"/>
      <c r="HV402" s="120"/>
      <c r="HW402" s="121"/>
      <c r="HX402" s="119"/>
      <c r="HY402" s="120"/>
      <c r="HZ402" s="120"/>
      <c r="IA402" s="120"/>
      <c r="IB402" s="120"/>
      <c r="IC402" s="120"/>
      <c r="ID402" s="121"/>
      <c r="IE402" s="119"/>
      <c r="IF402" s="120"/>
      <c r="IG402" s="120"/>
      <c r="IH402" s="120"/>
      <c r="II402" s="120"/>
      <c r="IJ402" s="120"/>
      <c r="IK402" s="121"/>
      <c r="IL402" s="119"/>
      <c r="IM402" s="120"/>
      <c r="IN402" s="120"/>
      <c r="IO402" s="120"/>
      <c r="IP402" s="120"/>
      <c r="IQ402" s="120"/>
      <c r="IR402" s="121"/>
      <c r="IS402" s="119"/>
      <c r="IT402" s="120"/>
      <c r="IU402" s="120"/>
      <c r="IV402" s="120"/>
      <c r="IW402" s="120"/>
      <c r="IX402" s="120"/>
      <c r="IY402" s="121"/>
      <c r="IZ402" s="119"/>
      <c r="JA402" s="120"/>
      <c r="JB402" s="120"/>
      <c r="JC402" s="120"/>
      <c r="JD402" s="120"/>
      <c r="JE402" s="120"/>
      <c r="JF402" s="121"/>
      <c r="JG402" s="119"/>
      <c r="JH402" s="120"/>
      <c r="JI402" s="120"/>
      <c r="JJ402" s="120"/>
      <c r="JK402" s="120"/>
      <c r="JL402" s="120"/>
      <c r="JM402" s="121"/>
      <c r="JN402" s="119"/>
      <c r="JO402" s="120"/>
      <c r="JP402" s="120"/>
      <c r="JQ402" s="120"/>
      <c r="JR402" s="120"/>
      <c r="JS402" s="120"/>
      <c r="JT402" s="121"/>
      <c r="JU402" s="119"/>
      <c r="JV402" s="120"/>
      <c r="JW402" s="120"/>
      <c r="JX402" s="120"/>
      <c r="JY402" s="120"/>
      <c r="JZ402" s="120"/>
      <c r="KA402" s="121"/>
      <c r="KB402" s="119"/>
      <c r="KC402" s="120"/>
      <c r="KD402" s="120"/>
      <c r="KE402" s="120"/>
      <c r="KF402" s="120"/>
      <c r="KG402" s="120"/>
      <c r="KH402" s="121"/>
      <c r="KI402" s="119"/>
      <c r="KJ402" s="120"/>
      <c r="KK402" s="120"/>
      <c r="KL402" s="120"/>
      <c r="KM402" s="120"/>
      <c r="KN402" s="120"/>
      <c r="KO402" s="121"/>
      <c r="KP402" s="119"/>
      <c r="KQ402" s="120"/>
      <c r="KR402" s="120"/>
      <c r="KS402" s="120"/>
      <c r="KT402" s="120"/>
      <c r="KU402" s="120"/>
      <c r="KV402" s="121"/>
      <c r="KW402" s="119"/>
      <c r="KX402" s="120"/>
      <c r="KY402" s="120"/>
      <c r="KZ402" s="120"/>
      <c r="LA402" s="120"/>
      <c r="LB402" s="120"/>
      <c r="LC402" s="121"/>
      <c r="LD402" s="119"/>
      <c r="LE402" s="120"/>
      <c r="LF402" s="120"/>
      <c r="LG402" s="120"/>
      <c r="LH402" s="120"/>
      <c r="LI402" s="120"/>
      <c r="LJ402" s="121"/>
      <c r="LK402" s="119"/>
      <c r="LL402" s="120"/>
      <c r="LM402" s="120"/>
      <c r="LN402" s="120"/>
      <c r="LO402" s="120"/>
      <c r="LP402" s="120"/>
      <c r="LQ402" s="121"/>
      <c r="LR402" s="119"/>
      <c r="LS402" s="120"/>
      <c r="LT402" s="120"/>
      <c r="LU402" s="120"/>
      <c r="LV402" s="120"/>
      <c r="LW402" s="120"/>
      <c r="LX402" s="121"/>
      <c r="LY402" s="119"/>
      <c r="LZ402" s="120"/>
      <c r="MA402" s="120"/>
      <c r="MB402" s="120"/>
      <c r="MC402" s="120"/>
      <c r="MD402" s="120"/>
      <c r="ME402" s="121"/>
      <c r="MF402" s="119"/>
      <c r="MG402" s="120"/>
      <c r="MH402" s="120"/>
      <c r="MI402" s="120"/>
      <c r="MJ402" s="120"/>
      <c r="MK402" s="120"/>
      <c r="ML402" s="121"/>
      <c r="MM402" s="119"/>
      <c r="MN402" s="120"/>
      <c r="MO402" s="120"/>
      <c r="MP402" s="120"/>
      <c r="MQ402" s="120"/>
      <c r="MR402" s="120"/>
      <c r="MS402" s="121"/>
      <c r="MT402" s="119"/>
      <c r="MU402" s="120"/>
      <c r="MV402" s="120"/>
      <c r="MW402" s="120"/>
      <c r="MX402" s="120"/>
      <c r="MY402" s="120"/>
      <c r="MZ402" s="121"/>
      <c r="NA402" s="119"/>
      <c r="NB402" s="120"/>
      <c r="NC402" s="120"/>
      <c r="ND402" s="120"/>
      <c r="NE402" s="120"/>
      <c r="NF402" s="120"/>
      <c r="NG402" s="121"/>
      <c r="NH402" s="119"/>
      <c r="NI402" s="120"/>
      <c r="NJ402" s="120"/>
      <c r="NK402" s="120"/>
      <c r="NL402" s="120"/>
      <c r="NM402" s="120"/>
      <c r="NN402" s="121"/>
      <c r="NO402" s="119"/>
      <c r="NP402" s="120"/>
      <c r="NQ402" s="120"/>
      <c r="NR402" s="120"/>
      <c r="NS402" s="120"/>
      <c r="NT402" s="120"/>
      <c r="NU402" s="121"/>
      <c r="NV402" s="119"/>
      <c r="NW402" s="120"/>
      <c r="NX402" s="120"/>
      <c r="NY402" s="120"/>
      <c r="NZ402" s="120"/>
      <c r="OA402" s="120"/>
      <c r="OB402" s="121"/>
      <c r="OC402" s="119"/>
      <c r="OD402" s="120"/>
      <c r="OE402" s="120"/>
      <c r="OF402" s="120"/>
      <c r="OG402" s="120"/>
      <c r="OH402" s="120"/>
      <c r="OI402" s="121"/>
      <c r="OJ402" s="119"/>
      <c r="OK402" s="120"/>
      <c r="OL402" s="120"/>
      <c r="OM402" s="120"/>
      <c r="ON402" s="120"/>
      <c r="OO402" s="120"/>
      <c r="OP402" s="121"/>
      <c r="OQ402" s="119"/>
      <c r="OR402" s="120"/>
      <c r="OS402" s="120"/>
      <c r="OT402" s="120"/>
      <c r="OU402" s="120"/>
      <c r="OV402" s="120"/>
      <c r="OW402" s="121"/>
      <c r="OX402" s="119"/>
      <c r="OY402" s="120"/>
      <c r="OZ402" s="120"/>
      <c r="PA402" s="120"/>
      <c r="PB402" s="120"/>
      <c r="PC402" s="120"/>
      <c r="PD402" s="121"/>
      <c r="PE402" s="119"/>
      <c r="PF402" s="120"/>
      <c r="PG402" s="120"/>
      <c r="PH402" s="120"/>
      <c r="PI402" s="120"/>
      <c r="PJ402" s="120"/>
      <c r="PK402" s="121"/>
      <c r="PL402" s="119"/>
      <c r="PM402" s="120"/>
      <c r="PN402" s="120"/>
      <c r="PO402" s="120"/>
      <c r="PP402" s="120"/>
      <c r="PQ402" s="120"/>
      <c r="PR402" s="121"/>
      <c r="PS402" s="119"/>
      <c r="PT402" s="120"/>
      <c r="PU402" s="120"/>
      <c r="PV402" s="120"/>
      <c r="PW402" s="120"/>
      <c r="PX402" s="120"/>
      <c r="PY402" s="121"/>
      <c r="PZ402" s="119"/>
      <c r="QA402" s="120"/>
      <c r="QB402" s="120"/>
      <c r="QC402" s="120"/>
      <c r="QD402" s="120"/>
      <c r="QE402" s="120"/>
      <c r="QF402" s="121"/>
      <c r="QG402" s="119"/>
      <c r="QH402" s="120"/>
      <c r="QI402" s="120"/>
      <c r="QJ402" s="120"/>
      <c r="QK402" s="120"/>
      <c r="QL402" s="120"/>
      <c r="QM402" s="121"/>
      <c r="QN402" s="119"/>
      <c r="QO402" s="120"/>
      <c r="QP402" s="120"/>
      <c r="QQ402" s="120"/>
      <c r="QR402" s="120"/>
      <c r="QS402" s="120"/>
      <c r="QT402" s="121"/>
      <c r="QU402" s="119"/>
      <c r="QV402" s="120"/>
      <c r="QW402" s="120"/>
      <c r="QX402" s="120"/>
      <c r="QY402" s="120"/>
      <c r="QZ402" s="120"/>
      <c r="RA402" s="121"/>
      <c r="RB402" s="119"/>
      <c r="RC402" s="120"/>
      <c r="RD402" s="120"/>
      <c r="RE402" s="120"/>
      <c r="RF402" s="120"/>
      <c r="RG402" s="120"/>
      <c r="RH402" s="121"/>
      <c r="RI402" s="119"/>
      <c r="RJ402" s="120"/>
      <c r="RK402" s="120"/>
      <c r="RL402" s="120"/>
      <c r="RM402" s="120"/>
      <c r="RN402" s="120"/>
      <c r="RO402" s="121"/>
      <c r="RP402" s="119"/>
      <c r="RQ402" s="120"/>
      <c r="RR402" s="120"/>
      <c r="RS402" s="120"/>
      <c r="RT402" s="120"/>
      <c r="RU402" s="120"/>
      <c r="RV402" s="121"/>
      <c r="RW402" s="119"/>
      <c r="RX402" s="120"/>
      <c r="RY402" s="120"/>
      <c r="RZ402" s="120"/>
      <c r="SA402" s="120"/>
      <c r="SB402" s="120"/>
      <c r="SC402" s="121"/>
      <c r="SD402" s="119"/>
      <c r="SE402" s="120"/>
      <c r="SF402" s="120"/>
      <c r="SG402" s="120"/>
      <c r="SH402" s="120"/>
      <c r="SI402" s="120"/>
      <c r="SJ402" s="121"/>
      <c r="SK402" s="119"/>
      <c r="SL402" s="120"/>
      <c r="SM402" s="120"/>
      <c r="SN402" s="120"/>
      <c r="SO402" s="120"/>
      <c r="SP402" s="120"/>
      <c r="SQ402" s="121"/>
      <c r="SR402" s="119"/>
      <c r="SS402" s="120"/>
      <c r="ST402" s="120"/>
      <c r="SU402" s="120"/>
      <c r="SV402" s="120"/>
      <c r="SW402" s="120"/>
      <c r="SX402" s="121"/>
      <c r="SY402" s="119"/>
      <c r="SZ402" s="120"/>
      <c r="TA402" s="120"/>
      <c r="TB402" s="120"/>
      <c r="TC402" s="120"/>
      <c r="TD402" s="120"/>
      <c r="TE402" s="121"/>
      <c r="TF402" s="119"/>
      <c r="TG402" s="120"/>
      <c r="TH402" s="120"/>
      <c r="TI402" s="120"/>
      <c r="TJ402" s="120"/>
      <c r="TK402" s="120"/>
      <c r="TL402" s="121"/>
      <c r="TM402" s="119"/>
      <c r="TN402" s="120"/>
      <c r="TO402" s="120"/>
      <c r="TP402" s="120"/>
      <c r="TQ402" s="120"/>
      <c r="TR402" s="120"/>
      <c r="TS402" s="121"/>
      <c r="TT402" s="119"/>
      <c r="TU402" s="120"/>
      <c r="TV402" s="120"/>
      <c r="TW402" s="120"/>
      <c r="TX402" s="120"/>
      <c r="TY402" s="120"/>
      <c r="TZ402" s="121"/>
      <c r="UA402" s="119"/>
      <c r="UB402" s="120"/>
      <c r="UC402" s="120"/>
      <c r="UD402" s="120"/>
      <c r="UE402" s="120"/>
      <c r="UF402" s="120"/>
      <c r="UG402" s="121"/>
      <c r="UH402" s="119"/>
      <c r="UI402" s="120"/>
      <c r="UJ402" s="120"/>
      <c r="UK402" s="120"/>
      <c r="UL402" s="120"/>
      <c r="UM402" s="120"/>
      <c r="UN402" s="121"/>
      <c r="UO402" s="119"/>
      <c r="UP402" s="120"/>
      <c r="UQ402" s="120"/>
      <c r="UR402" s="120"/>
      <c r="US402" s="120"/>
      <c r="UT402" s="120"/>
      <c r="UU402" s="121"/>
      <c r="UV402" s="119"/>
      <c r="UW402" s="120"/>
      <c r="UX402" s="120"/>
      <c r="UY402" s="120"/>
      <c r="UZ402" s="120"/>
      <c r="VA402" s="120"/>
      <c r="VB402" s="121"/>
      <c r="VC402" s="119"/>
      <c r="VD402" s="120"/>
      <c r="VE402" s="120"/>
      <c r="VF402" s="120"/>
      <c r="VG402" s="120"/>
      <c r="VH402" s="120"/>
      <c r="VI402" s="121"/>
      <c r="VJ402" s="119"/>
      <c r="VK402" s="120"/>
      <c r="VL402" s="120"/>
      <c r="VM402" s="120"/>
      <c r="VN402" s="120"/>
      <c r="VO402" s="120"/>
      <c r="VP402" s="121"/>
      <c r="VQ402" s="119"/>
      <c r="VR402" s="120"/>
      <c r="VS402" s="120"/>
      <c r="VT402" s="120"/>
      <c r="VU402" s="120"/>
      <c r="VV402" s="120"/>
      <c r="VW402" s="121"/>
      <c r="VX402" s="119"/>
      <c r="VY402" s="120"/>
      <c r="VZ402" s="120"/>
      <c r="WA402" s="120"/>
      <c r="WB402" s="120"/>
      <c r="WC402" s="120"/>
      <c r="WD402" s="121"/>
      <c r="WE402" s="119"/>
      <c r="WF402" s="120"/>
      <c r="WG402" s="120"/>
      <c r="WH402" s="120"/>
      <c r="WI402" s="120"/>
      <c r="WJ402" s="120"/>
      <c r="WK402" s="121"/>
      <c r="WL402" s="119"/>
      <c r="WM402" s="120"/>
      <c r="WN402" s="120"/>
      <c r="WO402" s="120"/>
      <c r="WP402" s="120"/>
      <c r="WQ402" s="120"/>
      <c r="WR402" s="121"/>
      <c r="WS402" s="119"/>
      <c r="WT402" s="120"/>
      <c r="WU402" s="120"/>
      <c r="WV402" s="120"/>
      <c r="WW402" s="120"/>
      <c r="WX402" s="120"/>
      <c r="WY402" s="121"/>
      <c r="WZ402" s="119"/>
      <c r="XA402" s="120"/>
      <c r="XB402" s="120"/>
      <c r="XC402" s="120"/>
      <c r="XD402" s="120"/>
      <c r="XE402" s="120"/>
      <c r="XF402" s="121"/>
      <c r="XG402" s="119"/>
      <c r="XH402" s="120"/>
      <c r="XI402" s="120"/>
      <c r="XJ402" s="120"/>
      <c r="XK402" s="120"/>
      <c r="XL402" s="120"/>
      <c r="XM402" s="121"/>
      <c r="XN402" s="119"/>
      <c r="XO402" s="120"/>
      <c r="XP402" s="120"/>
      <c r="XQ402" s="120"/>
      <c r="XR402" s="120"/>
      <c r="XS402" s="120"/>
      <c r="XT402" s="121"/>
      <c r="XU402" s="119"/>
      <c r="XV402" s="120"/>
      <c r="XW402" s="120"/>
      <c r="XX402" s="120"/>
      <c r="XY402" s="120"/>
      <c r="XZ402" s="120"/>
      <c r="YA402" s="121"/>
      <c r="YB402" s="119"/>
      <c r="YC402" s="120"/>
      <c r="YD402" s="120"/>
      <c r="YE402" s="120"/>
      <c r="YF402" s="120"/>
      <c r="YG402" s="120"/>
      <c r="YH402" s="121"/>
      <c r="YI402" s="119"/>
      <c r="YJ402" s="120"/>
      <c r="YK402" s="120"/>
      <c r="YL402" s="120"/>
      <c r="YM402" s="120"/>
      <c r="YN402" s="120"/>
      <c r="YO402" s="121"/>
      <c r="YP402" s="119"/>
      <c r="YQ402" s="120"/>
      <c r="YR402" s="120"/>
      <c r="YS402" s="120"/>
      <c r="YT402" s="120"/>
      <c r="YU402" s="120"/>
      <c r="YV402" s="121"/>
      <c r="YW402" s="119"/>
      <c r="YX402" s="120"/>
      <c r="YY402" s="120"/>
      <c r="YZ402" s="120"/>
      <c r="ZA402" s="120"/>
      <c r="ZB402" s="120"/>
      <c r="ZC402" s="121"/>
      <c r="ZD402" s="119"/>
      <c r="ZE402" s="120"/>
      <c r="ZF402" s="120"/>
      <c r="ZG402" s="120"/>
      <c r="ZH402" s="120"/>
      <c r="ZI402" s="120"/>
      <c r="ZJ402" s="121"/>
      <c r="ZK402" s="119"/>
      <c r="ZL402" s="120"/>
      <c r="ZM402" s="120"/>
      <c r="ZN402" s="120"/>
      <c r="ZO402" s="120"/>
      <c r="ZP402" s="120"/>
      <c r="ZQ402" s="121"/>
      <c r="ZR402" s="119"/>
      <c r="ZS402" s="120"/>
      <c r="ZT402" s="120"/>
      <c r="ZU402" s="120"/>
      <c r="ZV402" s="120"/>
      <c r="ZW402" s="120"/>
      <c r="ZX402" s="121"/>
      <c r="ZY402" s="119"/>
      <c r="ZZ402" s="120"/>
      <c r="AAA402" s="120"/>
      <c r="AAB402" s="120"/>
      <c r="AAC402" s="120"/>
      <c r="AAD402" s="120"/>
      <c r="AAE402" s="121"/>
      <c r="AAF402" s="119"/>
      <c r="AAG402" s="120"/>
      <c r="AAH402" s="120"/>
      <c r="AAI402" s="120"/>
      <c r="AAJ402" s="120"/>
      <c r="AAK402" s="120"/>
      <c r="AAL402" s="121"/>
      <c r="AAM402" s="119"/>
      <c r="AAN402" s="120"/>
      <c r="AAO402" s="120"/>
      <c r="AAP402" s="120"/>
      <c r="AAQ402" s="120"/>
      <c r="AAR402" s="120"/>
      <c r="AAS402" s="121"/>
      <c r="AAT402" s="119"/>
      <c r="AAU402" s="120"/>
      <c r="AAV402" s="120"/>
      <c r="AAW402" s="120"/>
      <c r="AAX402" s="120"/>
      <c r="AAY402" s="120"/>
      <c r="AAZ402" s="121"/>
      <c r="ABA402" s="119"/>
      <c r="ABB402" s="120"/>
      <c r="ABC402" s="120"/>
      <c r="ABD402" s="120"/>
      <c r="ABE402" s="120"/>
      <c r="ABF402" s="120"/>
      <c r="ABG402" s="121"/>
      <c r="ABH402" s="119"/>
      <c r="ABI402" s="120"/>
      <c r="ABJ402" s="120"/>
      <c r="ABK402" s="120"/>
      <c r="ABL402" s="120"/>
      <c r="ABM402" s="120"/>
      <c r="ABN402" s="121"/>
      <c r="ABO402" s="119"/>
      <c r="ABP402" s="120"/>
      <c r="ABQ402" s="120"/>
      <c r="ABR402" s="120"/>
      <c r="ABS402" s="120"/>
      <c r="ABT402" s="120"/>
      <c r="ABU402" s="121"/>
      <c r="ABV402" s="119"/>
      <c r="ABW402" s="120"/>
      <c r="ABX402" s="120"/>
      <c r="ABY402" s="120"/>
      <c r="ABZ402" s="120"/>
      <c r="ACA402" s="120"/>
      <c r="ACB402" s="121"/>
      <c r="ACC402" s="119"/>
      <c r="ACD402" s="120"/>
      <c r="ACE402" s="120"/>
      <c r="ACF402" s="120"/>
      <c r="ACG402" s="120"/>
      <c r="ACH402" s="120"/>
      <c r="ACI402" s="121"/>
      <c r="ACJ402" s="119"/>
      <c r="ACK402" s="120"/>
      <c r="ACL402" s="120"/>
      <c r="ACM402" s="120"/>
      <c r="ACN402" s="120"/>
      <c r="ACO402" s="120"/>
      <c r="ACP402" s="121"/>
      <c r="ACQ402" s="119"/>
      <c r="ACR402" s="120"/>
      <c r="ACS402" s="120"/>
      <c r="ACT402" s="120"/>
      <c r="ACU402" s="120"/>
      <c r="ACV402" s="120"/>
      <c r="ACW402" s="121"/>
      <c r="ACX402" s="119"/>
      <c r="ACY402" s="120"/>
      <c r="ACZ402" s="120"/>
      <c r="ADA402" s="120"/>
      <c r="ADB402" s="120"/>
      <c r="ADC402" s="120"/>
      <c r="ADD402" s="121"/>
      <c r="ADE402" s="119"/>
      <c r="ADF402" s="120"/>
      <c r="ADG402" s="120"/>
      <c r="ADH402" s="120"/>
      <c r="ADI402" s="120"/>
      <c r="ADJ402" s="120"/>
      <c r="ADK402" s="121"/>
      <c r="ADL402" s="119"/>
      <c r="ADM402" s="120"/>
      <c r="ADN402" s="120"/>
      <c r="ADO402" s="120"/>
      <c r="ADP402" s="120"/>
      <c r="ADQ402" s="120"/>
      <c r="ADR402" s="121"/>
      <c r="ADS402" s="119"/>
      <c r="ADT402" s="120"/>
      <c r="ADU402" s="120"/>
      <c r="ADV402" s="120"/>
      <c r="ADW402" s="120"/>
      <c r="ADX402" s="120"/>
      <c r="ADY402" s="121"/>
      <c r="ADZ402" s="119"/>
      <c r="AEA402" s="120"/>
      <c r="AEB402" s="120"/>
      <c r="AEC402" s="120"/>
      <c r="AED402" s="120"/>
      <c r="AEE402" s="120"/>
      <c r="AEF402" s="121"/>
      <c r="AEG402" s="119"/>
      <c r="AEH402" s="120"/>
      <c r="AEI402" s="120"/>
      <c r="AEJ402" s="120"/>
      <c r="AEK402" s="120"/>
      <c r="AEL402" s="120"/>
      <c r="AEM402" s="121"/>
      <c r="AEN402" s="119"/>
      <c r="AEO402" s="120"/>
      <c r="AEP402" s="120"/>
      <c r="AEQ402" s="120"/>
      <c r="AER402" s="120"/>
      <c r="AES402" s="120"/>
      <c r="AET402" s="121"/>
      <c r="AEU402" s="119"/>
      <c r="AEV402" s="120"/>
      <c r="AEW402" s="120"/>
      <c r="AEX402" s="120"/>
      <c r="AEY402" s="120"/>
      <c r="AEZ402" s="120"/>
      <c r="AFA402" s="121"/>
      <c r="AFB402" s="119"/>
      <c r="AFC402" s="120"/>
      <c r="AFD402" s="120"/>
      <c r="AFE402" s="120"/>
      <c r="AFF402" s="120"/>
      <c r="AFG402" s="120"/>
      <c r="AFH402" s="121"/>
      <c r="AFI402" s="119"/>
      <c r="AFJ402" s="120"/>
      <c r="AFK402" s="120"/>
      <c r="AFL402" s="120"/>
      <c r="AFM402" s="120"/>
      <c r="AFN402" s="120"/>
      <c r="AFO402" s="121"/>
      <c r="AFP402" s="119"/>
      <c r="AFQ402" s="120"/>
      <c r="AFR402" s="120"/>
      <c r="AFS402" s="120"/>
      <c r="AFT402" s="120"/>
      <c r="AFU402" s="120"/>
      <c r="AFV402" s="121"/>
      <c r="AFW402" s="119"/>
      <c r="AFX402" s="120"/>
      <c r="AFY402" s="120"/>
      <c r="AFZ402" s="120"/>
      <c r="AGA402" s="120"/>
      <c r="AGB402" s="120"/>
      <c r="AGC402" s="121"/>
      <c r="AGD402" s="119"/>
      <c r="AGE402" s="120"/>
      <c r="AGF402" s="120"/>
      <c r="AGG402" s="120"/>
      <c r="AGH402" s="120"/>
      <c r="AGI402" s="120"/>
      <c r="AGJ402" s="121"/>
      <c r="AGK402" s="119"/>
      <c r="AGL402" s="120"/>
      <c r="AGM402" s="120"/>
      <c r="AGN402" s="120"/>
      <c r="AGO402" s="120"/>
      <c r="AGP402" s="120"/>
      <c r="AGQ402" s="121"/>
      <c r="AGR402" s="119"/>
      <c r="AGS402" s="120"/>
      <c r="AGT402" s="120"/>
      <c r="AGU402" s="120"/>
      <c r="AGV402" s="120"/>
      <c r="AGW402" s="120"/>
      <c r="AGX402" s="121"/>
      <c r="AGY402" s="119"/>
      <c r="AGZ402" s="120"/>
      <c r="AHA402" s="120"/>
      <c r="AHB402" s="120"/>
      <c r="AHC402" s="120"/>
      <c r="AHD402" s="120"/>
      <c r="AHE402" s="121"/>
      <c r="AHF402" s="119"/>
      <c r="AHG402" s="120"/>
      <c r="AHH402" s="120"/>
      <c r="AHI402" s="120"/>
      <c r="AHJ402" s="120"/>
      <c r="AHK402" s="120"/>
      <c r="AHL402" s="121"/>
      <c r="AHM402" s="119"/>
      <c r="AHN402" s="120"/>
      <c r="AHO402" s="120"/>
      <c r="AHP402" s="120"/>
      <c r="AHQ402" s="120"/>
      <c r="AHR402" s="120"/>
      <c r="AHS402" s="121"/>
      <c r="AHT402" s="119"/>
      <c r="AHU402" s="120"/>
      <c r="AHV402" s="120"/>
      <c r="AHW402" s="120"/>
      <c r="AHX402" s="120"/>
      <c r="AHY402" s="120"/>
      <c r="AHZ402" s="121"/>
      <c r="AIA402" s="119"/>
      <c r="AIB402" s="120"/>
      <c r="AIC402" s="120"/>
      <c r="AID402" s="120"/>
      <c r="AIE402" s="120"/>
      <c r="AIF402" s="120"/>
      <c r="AIG402" s="121"/>
      <c r="AIH402" s="119"/>
      <c r="AII402" s="120"/>
      <c r="AIJ402" s="120"/>
      <c r="AIK402" s="120"/>
      <c r="AIL402" s="120"/>
      <c r="AIM402" s="120"/>
      <c r="AIN402" s="121"/>
      <c r="AIO402" s="119"/>
      <c r="AIP402" s="120"/>
      <c r="AIQ402" s="120"/>
      <c r="AIR402" s="120"/>
      <c r="AIS402" s="120"/>
      <c r="AIT402" s="120"/>
      <c r="AIU402" s="121"/>
      <c r="AIV402" s="119"/>
      <c r="AIW402" s="120"/>
      <c r="AIX402" s="120"/>
      <c r="AIY402" s="120"/>
      <c r="AIZ402" s="120"/>
      <c r="AJA402" s="120"/>
      <c r="AJB402" s="121"/>
      <c r="AJC402" s="119"/>
      <c r="AJD402" s="120"/>
      <c r="AJE402" s="120"/>
      <c r="AJF402" s="120"/>
      <c r="AJG402" s="120"/>
      <c r="AJH402" s="120"/>
      <c r="AJI402" s="121"/>
      <c r="AJJ402" s="119"/>
      <c r="AJK402" s="120"/>
      <c r="AJL402" s="120"/>
      <c r="AJM402" s="120"/>
      <c r="AJN402" s="120"/>
      <c r="AJO402" s="120"/>
      <c r="AJP402" s="121"/>
      <c r="AJQ402" s="119"/>
      <c r="AJR402" s="120"/>
      <c r="AJS402" s="120"/>
      <c r="AJT402" s="120"/>
      <c r="AJU402" s="120"/>
      <c r="AJV402" s="120"/>
      <c r="AJW402" s="121"/>
      <c r="AJX402" s="119"/>
      <c r="AJY402" s="120"/>
      <c r="AJZ402" s="120"/>
      <c r="AKA402" s="120"/>
      <c r="AKB402" s="120"/>
      <c r="AKC402" s="120"/>
      <c r="AKD402" s="121"/>
      <c r="AKE402" s="119"/>
      <c r="AKF402" s="120"/>
      <c r="AKG402" s="120"/>
      <c r="AKH402" s="120"/>
      <c r="AKI402" s="120"/>
      <c r="AKJ402" s="120"/>
      <c r="AKK402" s="121"/>
      <c r="AKL402" s="119"/>
      <c r="AKM402" s="120"/>
      <c r="AKN402" s="120"/>
      <c r="AKO402" s="120"/>
      <c r="AKP402" s="120"/>
      <c r="AKQ402" s="120"/>
      <c r="AKR402" s="121"/>
      <c r="AKS402" s="119"/>
      <c r="AKT402" s="120"/>
      <c r="AKU402" s="120"/>
      <c r="AKV402" s="120"/>
      <c r="AKW402" s="120"/>
      <c r="AKX402" s="120"/>
      <c r="AKY402" s="121"/>
      <c r="AKZ402" s="119"/>
      <c r="ALA402" s="120"/>
      <c r="ALB402" s="120"/>
      <c r="ALC402" s="120"/>
      <c r="ALD402" s="120"/>
      <c r="ALE402" s="120"/>
      <c r="ALF402" s="121"/>
      <c r="ALG402" s="119"/>
      <c r="ALH402" s="120"/>
      <c r="ALI402" s="120"/>
      <c r="ALJ402" s="120"/>
      <c r="ALK402" s="120"/>
      <c r="ALL402" s="120"/>
      <c r="ALM402" s="121"/>
      <c r="ALN402" s="119"/>
      <c r="ALO402" s="120"/>
      <c r="ALP402" s="120"/>
      <c r="ALQ402" s="120"/>
      <c r="ALR402" s="120"/>
      <c r="ALS402" s="120"/>
      <c r="ALT402" s="121"/>
      <c r="ALU402" s="119"/>
      <c r="ALV402" s="120"/>
      <c r="ALW402" s="120"/>
      <c r="ALX402" s="120"/>
      <c r="ALY402" s="120"/>
      <c r="ALZ402" s="120"/>
      <c r="AMA402" s="121"/>
      <c r="AMB402" s="119"/>
      <c r="AMC402" s="120"/>
      <c r="AMD402" s="120"/>
      <c r="AME402" s="120"/>
      <c r="AMF402" s="120"/>
      <c r="AMG402" s="120"/>
      <c r="AMH402" s="121"/>
      <c r="AMI402" s="119"/>
      <c r="AMJ402" s="120"/>
      <c r="AMK402" s="120"/>
      <c r="AML402" s="120"/>
      <c r="AMM402" s="120"/>
      <c r="AMN402" s="120"/>
      <c r="AMO402" s="121"/>
      <c r="AMP402" s="119"/>
      <c r="AMQ402" s="120"/>
      <c r="AMR402" s="120"/>
      <c r="AMS402" s="120"/>
      <c r="AMT402" s="120"/>
      <c r="AMU402" s="120"/>
      <c r="AMV402" s="121"/>
      <c r="AMW402" s="119"/>
      <c r="AMX402" s="120"/>
      <c r="AMY402" s="120"/>
      <c r="AMZ402" s="120"/>
      <c r="ANA402" s="120"/>
      <c r="ANB402" s="120"/>
      <c r="ANC402" s="121"/>
      <c r="AND402" s="119"/>
      <c r="ANE402" s="120"/>
      <c r="ANF402" s="120"/>
      <c r="ANG402" s="120"/>
      <c r="ANH402" s="120"/>
      <c r="ANI402" s="120"/>
      <c r="ANJ402" s="121"/>
      <c r="ANK402" s="119"/>
      <c r="ANL402" s="120"/>
      <c r="ANM402" s="120"/>
      <c r="ANN402" s="120"/>
      <c r="ANO402" s="120"/>
      <c r="ANP402" s="120"/>
      <c r="ANQ402" s="121"/>
      <c r="ANR402" s="119"/>
      <c r="ANS402" s="120"/>
      <c r="ANT402" s="120"/>
      <c r="ANU402" s="120"/>
      <c r="ANV402" s="120"/>
      <c r="ANW402" s="120"/>
      <c r="ANX402" s="121"/>
      <c r="ANY402" s="119"/>
      <c r="ANZ402" s="120"/>
      <c r="AOA402" s="120"/>
      <c r="AOB402" s="120"/>
      <c r="AOC402" s="120"/>
      <c r="AOD402" s="120"/>
      <c r="AOE402" s="121"/>
      <c r="AOF402" s="119"/>
      <c r="AOG402" s="120"/>
      <c r="AOH402" s="120"/>
      <c r="AOI402" s="120"/>
      <c r="AOJ402" s="120"/>
      <c r="AOK402" s="120"/>
      <c r="AOL402" s="121"/>
      <c r="AOM402" s="119"/>
      <c r="AON402" s="120"/>
      <c r="AOO402" s="120"/>
      <c r="AOP402" s="120"/>
      <c r="AOQ402" s="120"/>
      <c r="AOR402" s="120"/>
      <c r="AOS402" s="121"/>
      <c r="AOT402" s="119"/>
      <c r="AOU402" s="120"/>
      <c r="AOV402" s="120"/>
      <c r="AOW402" s="120"/>
      <c r="AOX402" s="120"/>
      <c r="AOY402" s="120"/>
      <c r="AOZ402" s="121"/>
      <c r="APA402" s="119"/>
      <c r="APB402" s="120"/>
      <c r="APC402" s="120"/>
      <c r="APD402" s="120"/>
      <c r="APE402" s="120"/>
      <c r="APF402" s="120"/>
      <c r="APG402" s="121"/>
      <c r="APH402" s="119"/>
      <c r="API402" s="120"/>
      <c r="APJ402" s="120"/>
      <c r="APK402" s="120"/>
      <c r="APL402" s="120"/>
      <c r="APM402" s="120"/>
      <c r="APN402" s="121"/>
      <c r="APO402" s="119"/>
      <c r="APP402" s="120"/>
      <c r="APQ402" s="120"/>
      <c r="APR402" s="120"/>
      <c r="APS402" s="120"/>
      <c r="APT402" s="120"/>
      <c r="APU402" s="121"/>
      <c r="APV402" s="119"/>
      <c r="APW402" s="120"/>
      <c r="APX402" s="120"/>
      <c r="APY402" s="120"/>
      <c r="APZ402" s="120"/>
      <c r="AQA402" s="120"/>
      <c r="AQB402" s="121"/>
      <c r="AQC402" s="119"/>
      <c r="AQD402" s="120"/>
      <c r="AQE402" s="120"/>
      <c r="AQF402" s="120"/>
      <c r="AQG402" s="120"/>
      <c r="AQH402" s="120"/>
      <c r="AQI402" s="121"/>
      <c r="AQJ402" s="119"/>
      <c r="AQK402" s="120"/>
      <c r="AQL402" s="120"/>
      <c r="AQM402" s="120"/>
      <c r="AQN402" s="120"/>
      <c r="AQO402" s="120"/>
      <c r="AQP402" s="121"/>
      <c r="AQQ402" s="119"/>
      <c r="AQR402" s="120"/>
      <c r="AQS402" s="120"/>
      <c r="AQT402" s="120"/>
      <c r="AQU402" s="120"/>
      <c r="AQV402" s="120"/>
      <c r="AQW402" s="121"/>
      <c r="AQX402" s="119"/>
      <c r="AQY402" s="120"/>
      <c r="AQZ402" s="120"/>
      <c r="ARA402" s="120"/>
      <c r="ARB402" s="120"/>
      <c r="ARC402" s="120"/>
      <c r="ARD402" s="121"/>
      <c r="ARE402" s="119"/>
      <c r="ARF402" s="120"/>
      <c r="ARG402" s="120"/>
      <c r="ARH402" s="120"/>
      <c r="ARI402" s="120"/>
      <c r="ARJ402" s="120"/>
      <c r="ARK402" s="121"/>
      <c r="ARL402" s="119"/>
      <c r="ARM402" s="120"/>
      <c r="ARN402" s="120"/>
      <c r="ARO402" s="120"/>
      <c r="ARP402" s="120"/>
      <c r="ARQ402" s="120"/>
      <c r="ARR402" s="121"/>
      <c r="ARS402" s="119"/>
      <c r="ART402" s="120"/>
      <c r="ARU402" s="120"/>
      <c r="ARV402" s="120"/>
      <c r="ARW402" s="120"/>
      <c r="ARX402" s="120"/>
      <c r="ARY402" s="121"/>
      <c r="ARZ402" s="119"/>
      <c r="ASA402" s="120"/>
      <c r="ASB402" s="120"/>
      <c r="ASC402" s="120"/>
      <c r="ASD402" s="120"/>
      <c r="ASE402" s="120"/>
      <c r="ASF402" s="121"/>
      <c r="ASG402" s="119"/>
      <c r="ASH402" s="120"/>
      <c r="ASI402" s="120"/>
      <c r="ASJ402" s="120"/>
      <c r="ASK402" s="120"/>
      <c r="ASL402" s="120"/>
      <c r="ASM402" s="121"/>
      <c r="ASN402" s="119"/>
      <c r="ASO402" s="120"/>
      <c r="ASP402" s="120"/>
      <c r="ASQ402" s="120"/>
      <c r="ASR402" s="120"/>
      <c r="ASS402" s="120"/>
      <c r="AST402" s="121"/>
      <c r="ASU402" s="119"/>
      <c r="ASV402" s="120"/>
      <c r="ASW402" s="120"/>
      <c r="ASX402" s="120"/>
      <c r="ASY402" s="120"/>
      <c r="ASZ402" s="120"/>
      <c r="ATA402" s="121"/>
      <c r="ATB402" s="119"/>
      <c r="ATC402" s="120"/>
      <c r="ATD402" s="120"/>
      <c r="ATE402" s="120"/>
      <c r="ATF402" s="120"/>
      <c r="ATG402" s="120"/>
      <c r="ATH402" s="121"/>
      <c r="ATI402" s="119"/>
      <c r="ATJ402" s="120"/>
      <c r="ATK402" s="120"/>
      <c r="ATL402" s="120"/>
      <c r="ATM402" s="120"/>
      <c r="ATN402" s="120"/>
      <c r="ATO402" s="121"/>
      <c r="ATP402" s="119"/>
      <c r="ATQ402" s="120"/>
      <c r="ATR402" s="120"/>
      <c r="ATS402" s="120"/>
      <c r="ATT402" s="120"/>
      <c r="ATU402" s="120"/>
      <c r="ATV402" s="121"/>
      <c r="ATW402" s="119"/>
      <c r="ATX402" s="120"/>
      <c r="ATY402" s="120"/>
      <c r="ATZ402" s="120"/>
      <c r="AUA402" s="120"/>
      <c r="AUB402" s="120"/>
      <c r="AUC402" s="121"/>
      <c r="AUD402" s="119"/>
      <c r="AUE402" s="120"/>
      <c r="AUF402" s="120"/>
      <c r="AUG402" s="120"/>
      <c r="AUH402" s="120"/>
      <c r="AUI402" s="120"/>
      <c r="AUJ402" s="121"/>
      <c r="AUK402" s="119"/>
      <c r="AUL402" s="120"/>
      <c r="AUM402" s="120"/>
      <c r="AUN402" s="120"/>
      <c r="AUO402" s="120"/>
      <c r="AUP402" s="120"/>
      <c r="AUQ402" s="121"/>
      <c r="AUR402" s="119"/>
      <c r="AUS402" s="120"/>
      <c r="AUT402" s="120"/>
      <c r="AUU402" s="120"/>
      <c r="AUV402" s="120"/>
      <c r="AUW402" s="120"/>
      <c r="AUX402" s="121"/>
      <c r="AUY402" s="119"/>
      <c r="AUZ402" s="120"/>
      <c r="AVA402" s="120"/>
      <c r="AVB402" s="120"/>
      <c r="AVC402" s="120"/>
      <c r="AVD402" s="120"/>
      <c r="AVE402" s="121"/>
      <c r="AVF402" s="119"/>
      <c r="AVG402" s="120"/>
      <c r="AVH402" s="120"/>
      <c r="AVI402" s="120"/>
      <c r="AVJ402" s="120"/>
      <c r="AVK402" s="120"/>
      <c r="AVL402" s="121"/>
      <c r="AVM402" s="119"/>
      <c r="AVN402" s="120"/>
      <c r="AVO402" s="120"/>
      <c r="AVP402" s="120"/>
      <c r="AVQ402" s="120"/>
      <c r="AVR402" s="120"/>
      <c r="AVS402" s="121"/>
      <c r="AVT402" s="119"/>
      <c r="AVU402" s="120"/>
      <c r="AVV402" s="120"/>
      <c r="AVW402" s="120"/>
      <c r="AVX402" s="120"/>
      <c r="AVY402" s="120"/>
      <c r="AVZ402" s="121"/>
      <c r="AWA402" s="119"/>
      <c r="AWB402" s="120"/>
      <c r="AWC402" s="120"/>
      <c r="AWD402" s="120"/>
      <c r="AWE402" s="120"/>
      <c r="AWF402" s="120"/>
      <c r="AWG402" s="121"/>
      <c r="AWH402" s="119"/>
      <c r="AWI402" s="120"/>
      <c r="AWJ402" s="120"/>
      <c r="AWK402" s="120"/>
      <c r="AWL402" s="120"/>
      <c r="AWM402" s="120"/>
      <c r="AWN402" s="121"/>
      <c r="AWO402" s="119"/>
      <c r="AWP402" s="120"/>
      <c r="AWQ402" s="120"/>
      <c r="AWR402" s="120"/>
      <c r="AWS402" s="120"/>
      <c r="AWT402" s="120"/>
      <c r="AWU402" s="121"/>
      <c r="AWV402" s="119"/>
      <c r="AWW402" s="120"/>
      <c r="AWX402" s="120"/>
      <c r="AWY402" s="120"/>
      <c r="AWZ402" s="120"/>
      <c r="AXA402" s="120"/>
      <c r="AXB402" s="121"/>
      <c r="AXC402" s="119"/>
      <c r="AXD402" s="120"/>
      <c r="AXE402" s="120"/>
      <c r="AXF402" s="120"/>
      <c r="AXG402" s="120"/>
      <c r="AXH402" s="120"/>
      <c r="AXI402" s="121"/>
      <c r="AXJ402" s="119"/>
      <c r="AXK402" s="120"/>
      <c r="AXL402" s="120"/>
      <c r="AXM402" s="120"/>
      <c r="AXN402" s="120"/>
      <c r="AXO402" s="120"/>
      <c r="AXP402" s="121"/>
      <c r="AXQ402" s="119"/>
      <c r="AXR402" s="120"/>
      <c r="AXS402" s="120"/>
      <c r="AXT402" s="120"/>
      <c r="AXU402" s="120"/>
      <c r="AXV402" s="120"/>
      <c r="AXW402" s="121"/>
      <c r="AXX402" s="119"/>
      <c r="AXY402" s="120"/>
      <c r="AXZ402" s="120"/>
      <c r="AYA402" s="120"/>
      <c r="AYB402" s="120"/>
      <c r="AYC402" s="120"/>
      <c r="AYD402" s="121"/>
      <c r="AYE402" s="119"/>
      <c r="AYF402" s="120"/>
      <c r="AYG402" s="120"/>
      <c r="AYH402" s="120"/>
      <c r="AYI402" s="120"/>
      <c r="AYJ402" s="120"/>
      <c r="AYK402" s="121"/>
      <c r="AYL402" s="119"/>
      <c r="AYM402" s="120"/>
      <c r="AYN402" s="120"/>
      <c r="AYO402" s="120"/>
      <c r="AYP402" s="120"/>
      <c r="AYQ402" s="120"/>
      <c r="AYR402" s="121"/>
      <c r="AYS402" s="119"/>
      <c r="AYT402" s="120"/>
      <c r="AYU402" s="120"/>
      <c r="AYV402" s="120"/>
      <c r="AYW402" s="120"/>
      <c r="AYX402" s="120"/>
      <c r="AYY402" s="121"/>
      <c r="AYZ402" s="119"/>
      <c r="AZA402" s="120"/>
      <c r="AZB402" s="120"/>
      <c r="AZC402" s="120"/>
      <c r="AZD402" s="120"/>
      <c r="AZE402" s="120"/>
      <c r="AZF402" s="121"/>
      <c r="AZG402" s="119"/>
      <c r="AZH402" s="120"/>
      <c r="AZI402" s="120"/>
      <c r="AZJ402" s="120"/>
      <c r="AZK402" s="120"/>
      <c r="AZL402" s="120"/>
      <c r="AZM402" s="121"/>
      <c r="AZN402" s="119"/>
      <c r="AZO402" s="120"/>
      <c r="AZP402" s="120"/>
      <c r="AZQ402" s="120"/>
      <c r="AZR402" s="120"/>
      <c r="AZS402" s="120"/>
      <c r="AZT402" s="121"/>
      <c r="AZU402" s="119"/>
      <c r="AZV402" s="120"/>
      <c r="AZW402" s="120"/>
      <c r="AZX402" s="120"/>
      <c r="AZY402" s="120"/>
      <c r="AZZ402" s="120"/>
      <c r="BAA402" s="121"/>
      <c r="BAB402" s="119"/>
      <c r="BAC402" s="120"/>
      <c r="BAD402" s="120"/>
      <c r="BAE402" s="120"/>
      <c r="BAF402" s="120"/>
      <c r="BAG402" s="120"/>
      <c r="BAH402" s="121"/>
      <c r="BAI402" s="119"/>
      <c r="BAJ402" s="120"/>
      <c r="BAK402" s="120"/>
      <c r="BAL402" s="120"/>
      <c r="BAM402" s="120"/>
      <c r="BAN402" s="120"/>
      <c r="BAO402" s="121"/>
      <c r="BAP402" s="119"/>
      <c r="BAQ402" s="120"/>
      <c r="BAR402" s="120"/>
      <c r="BAS402" s="120"/>
      <c r="BAT402" s="120"/>
      <c r="BAU402" s="120"/>
      <c r="BAV402" s="121"/>
      <c r="BAW402" s="119"/>
      <c r="BAX402" s="120"/>
      <c r="BAY402" s="120"/>
      <c r="BAZ402" s="120"/>
      <c r="BBA402" s="120"/>
      <c r="BBB402" s="120"/>
      <c r="BBC402" s="121"/>
      <c r="BBD402" s="119"/>
      <c r="BBE402" s="120"/>
      <c r="BBF402" s="120"/>
      <c r="BBG402" s="120"/>
      <c r="BBH402" s="120"/>
      <c r="BBI402" s="120"/>
      <c r="BBJ402" s="121"/>
      <c r="BBK402" s="119"/>
      <c r="BBL402" s="120"/>
      <c r="BBM402" s="120"/>
      <c r="BBN402" s="120"/>
      <c r="BBO402" s="120"/>
      <c r="BBP402" s="120"/>
      <c r="BBQ402" s="121"/>
      <c r="BBR402" s="119"/>
      <c r="BBS402" s="120"/>
      <c r="BBT402" s="120"/>
      <c r="BBU402" s="120"/>
      <c r="BBV402" s="120"/>
      <c r="BBW402" s="120"/>
      <c r="BBX402" s="121"/>
      <c r="BBY402" s="119"/>
      <c r="BBZ402" s="120"/>
      <c r="BCA402" s="120"/>
      <c r="BCB402" s="120"/>
      <c r="BCC402" s="120"/>
      <c r="BCD402" s="120"/>
      <c r="BCE402" s="121"/>
      <c r="BCF402" s="119"/>
      <c r="BCG402" s="120"/>
      <c r="BCH402" s="120"/>
      <c r="BCI402" s="120"/>
      <c r="BCJ402" s="120"/>
      <c r="BCK402" s="120"/>
      <c r="BCL402" s="121"/>
      <c r="BCM402" s="119"/>
      <c r="BCN402" s="120"/>
      <c r="BCO402" s="120"/>
      <c r="BCP402" s="120"/>
      <c r="BCQ402" s="120"/>
      <c r="BCR402" s="120"/>
      <c r="BCS402" s="121"/>
      <c r="BCT402" s="119"/>
      <c r="BCU402" s="120"/>
      <c r="BCV402" s="120"/>
      <c r="BCW402" s="120"/>
      <c r="BCX402" s="120"/>
      <c r="BCY402" s="120"/>
      <c r="BCZ402" s="121"/>
      <c r="BDA402" s="119"/>
      <c r="BDB402" s="120"/>
      <c r="BDC402" s="120"/>
      <c r="BDD402" s="120"/>
      <c r="BDE402" s="120"/>
      <c r="BDF402" s="120"/>
      <c r="BDG402" s="121"/>
      <c r="BDH402" s="119"/>
      <c r="BDI402" s="120"/>
      <c r="BDJ402" s="120"/>
      <c r="BDK402" s="120"/>
      <c r="BDL402" s="120"/>
      <c r="BDM402" s="120"/>
      <c r="BDN402" s="121"/>
      <c r="BDO402" s="119"/>
      <c r="BDP402" s="120"/>
      <c r="BDQ402" s="120"/>
      <c r="BDR402" s="120"/>
      <c r="BDS402" s="120"/>
      <c r="BDT402" s="120"/>
      <c r="BDU402" s="121"/>
      <c r="BDV402" s="119"/>
      <c r="BDW402" s="120"/>
      <c r="BDX402" s="120"/>
      <c r="BDY402" s="120"/>
      <c r="BDZ402" s="120"/>
      <c r="BEA402" s="120"/>
      <c r="BEB402" s="121"/>
      <c r="BEC402" s="119"/>
      <c r="BED402" s="120"/>
      <c r="BEE402" s="120"/>
      <c r="BEF402" s="120"/>
      <c r="BEG402" s="120"/>
      <c r="BEH402" s="120"/>
      <c r="BEI402" s="121"/>
      <c r="BEJ402" s="119"/>
      <c r="BEK402" s="120"/>
      <c r="BEL402" s="120"/>
      <c r="BEM402" s="120"/>
      <c r="BEN402" s="120"/>
      <c r="BEO402" s="120"/>
      <c r="BEP402" s="121"/>
      <c r="BEQ402" s="119"/>
      <c r="BER402" s="120"/>
      <c r="BES402" s="120"/>
      <c r="BET402" s="120"/>
      <c r="BEU402" s="120"/>
      <c r="BEV402" s="120"/>
      <c r="BEW402" s="121"/>
      <c r="BEX402" s="119"/>
      <c r="BEY402" s="120"/>
      <c r="BEZ402" s="120"/>
      <c r="BFA402" s="120"/>
      <c r="BFB402" s="120"/>
      <c r="BFC402" s="120"/>
      <c r="BFD402" s="121"/>
      <c r="BFE402" s="119"/>
      <c r="BFF402" s="120"/>
      <c r="BFG402" s="120"/>
      <c r="BFH402" s="120"/>
      <c r="BFI402" s="120"/>
      <c r="BFJ402" s="120"/>
      <c r="BFK402" s="121"/>
      <c r="BFL402" s="119"/>
      <c r="BFM402" s="120"/>
      <c r="BFN402" s="120"/>
      <c r="BFO402" s="120"/>
      <c r="BFP402" s="120"/>
      <c r="BFQ402" s="120"/>
      <c r="BFR402" s="121"/>
      <c r="BFS402" s="119"/>
      <c r="BFT402" s="120"/>
      <c r="BFU402" s="120"/>
      <c r="BFV402" s="120"/>
      <c r="BFW402" s="120"/>
      <c r="BFX402" s="120"/>
      <c r="BFY402" s="121"/>
      <c r="BFZ402" s="119"/>
      <c r="BGA402" s="120"/>
      <c r="BGB402" s="120"/>
      <c r="BGC402" s="120"/>
      <c r="BGD402" s="120"/>
      <c r="BGE402" s="120"/>
      <c r="BGF402" s="121"/>
      <c r="BGG402" s="119"/>
      <c r="BGH402" s="120"/>
      <c r="BGI402" s="120"/>
      <c r="BGJ402" s="120"/>
      <c r="BGK402" s="120"/>
      <c r="BGL402" s="120"/>
      <c r="BGM402" s="121"/>
      <c r="BGN402" s="119"/>
      <c r="BGO402" s="120"/>
      <c r="BGP402" s="120"/>
      <c r="BGQ402" s="120"/>
      <c r="BGR402" s="120"/>
      <c r="BGS402" s="120"/>
      <c r="BGT402" s="121"/>
      <c r="BGU402" s="119"/>
      <c r="BGV402" s="120"/>
      <c r="BGW402" s="120"/>
      <c r="BGX402" s="120"/>
      <c r="BGY402" s="120"/>
      <c r="BGZ402" s="120"/>
      <c r="BHA402" s="121"/>
      <c r="BHB402" s="119"/>
      <c r="BHC402" s="120"/>
      <c r="BHD402" s="120"/>
      <c r="BHE402" s="120"/>
      <c r="BHF402" s="120"/>
      <c r="BHG402" s="120"/>
      <c r="BHH402" s="121"/>
      <c r="BHI402" s="119"/>
      <c r="BHJ402" s="120"/>
      <c r="BHK402" s="120"/>
      <c r="BHL402" s="120"/>
      <c r="BHM402" s="120"/>
      <c r="BHN402" s="120"/>
      <c r="BHO402" s="121"/>
      <c r="BHP402" s="119"/>
      <c r="BHQ402" s="120"/>
      <c r="BHR402" s="120"/>
      <c r="BHS402" s="120"/>
      <c r="BHT402" s="120"/>
      <c r="BHU402" s="120"/>
      <c r="BHV402" s="121"/>
      <c r="BHW402" s="119"/>
      <c r="BHX402" s="120"/>
      <c r="BHY402" s="120"/>
      <c r="BHZ402" s="120"/>
      <c r="BIA402" s="120"/>
      <c r="BIB402" s="120"/>
      <c r="BIC402" s="121"/>
      <c r="BID402" s="119"/>
      <c r="BIE402" s="120"/>
      <c r="BIF402" s="120"/>
      <c r="BIG402" s="120"/>
      <c r="BIH402" s="120"/>
      <c r="BII402" s="120"/>
      <c r="BIJ402" s="121"/>
      <c r="BIK402" s="119"/>
      <c r="BIL402" s="120"/>
      <c r="BIM402" s="120"/>
      <c r="BIN402" s="120"/>
      <c r="BIO402" s="120"/>
      <c r="BIP402" s="120"/>
      <c r="BIQ402" s="121"/>
      <c r="BIR402" s="119"/>
      <c r="BIS402" s="120"/>
      <c r="BIT402" s="120"/>
      <c r="BIU402" s="120"/>
      <c r="BIV402" s="120"/>
      <c r="BIW402" s="120"/>
      <c r="BIX402" s="121"/>
      <c r="BIY402" s="119"/>
      <c r="BIZ402" s="120"/>
      <c r="BJA402" s="120"/>
      <c r="BJB402" s="120"/>
      <c r="BJC402" s="120"/>
      <c r="BJD402" s="120"/>
      <c r="BJE402" s="121"/>
      <c r="BJF402" s="119"/>
      <c r="BJG402" s="120"/>
      <c r="BJH402" s="120"/>
      <c r="BJI402" s="120"/>
      <c r="BJJ402" s="120"/>
      <c r="BJK402" s="120"/>
      <c r="BJL402" s="121"/>
      <c r="BJM402" s="119"/>
      <c r="BJN402" s="120"/>
      <c r="BJO402" s="120"/>
      <c r="BJP402" s="120"/>
      <c r="BJQ402" s="120"/>
      <c r="BJR402" s="120"/>
      <c r="BJS402" s="121"/>
      <c r="BJT402" s="119"/>
      <c r="BJU402" s="120"/>
      <c r="BJV402" s="120"/>
      <c r="BJW402" s="120"/>
      <c r="BJX402" s="120"/>
      <c r="BJY402" s="120"/>
      <c r="BJZ402" s="121"/>
      <c r="BKA402" s="119"/>
      <c r="BKB402" s="120"/>
      <c r="BKC402" s="120"/>
      <c r="BKD402" s="120"/>
      <c r="BKE402" s="120"/>
      <c r="BKF402" s="120"/>
      <c r="BKG402" s="121"/>
      <c r="BKH402" s="119"/>
      <c r="BKI402" s="120"/>
      <c r="BKJ402" s="120"/>
      <c r="BKK402" s="120"/>
      <c r="BKL402" s="120"/>
      <c r="BKM402" s="120"/>
      <c r="BKN402" s="121"/>
      <c r="BKO402" s="119"/>
      <c r="BKP402" s="120"/>
      <c r="BKQ402" s="120"/>
      <c r="BKR402" s="120"/>
      <c r="BKS402" s="120"/>
      <c r="BKT402" s="120"/>
      <c r="BKU402" s="121"/>
      <c r="BKV402" s="119"/>
      <c r="BKW402" s="120"/>
      <c r="BKX402" s="120"/>
      <c r="BKY402" s="120"/>
      <c r="BKZ402" s="120"/>
      <c r="BLA402" s="120"/>
      <c r="BLB402" s="121"/>
      <c r="BLC402" s="119"/>
      <c r="BLD402" s="120"/>
      <c r="BLE402" s="120"/>
      <c r="BLF402" s="120"/>
      <c r="BLG402" s="120"/>
      <c r="BLH402" s="120"/>
      <c r="BLI402" s="121"/>
      <c r="BLJ402" s="119"/>
      <c r="BLK402" s="120"/>
      <c r="BLL402" s="120"/>
      <c r="BLM402" s="120"/>
      <c r="BLN402" s="120"/>
      <c r="BLO402" s="120"/>
      <c r="BLP402" s="121"/>
      <c r="BLQ402" s="119"/>
      <c r="BLR402" s="120"/>
      <c r="BLS402" s="120"/>
      <c r="BLT402" s="120"/>
      <c r="BLU402" s="120"/>
      <c r="BLV402" s="120"/>
      <c r="BLW402" s="121"/>
      <c r="BLX402" s="119"/>
      <c r="BLY402" s="120"/>
      <c r="BLZ402" s="120"/>
      <c r="BMA402" s="120"/>
      <c r="BMB402" s="120"/>
      <c r="BMC402" s="120"/>
      <c r="BMD402" s="121"/>
      <c r="BME402" s="119"/>
      <c r="BMF402" s="120"/>
      <c r="BMG402" s="120"/>
      <c r="BMH402" s="120"/>
      <c r="BMI402" s="120"/>
      <c r="BMJ402" s="120"/>
      <c r="BMK402" s="121"/>
      <c r="BML402" s="119"/>
      <c r="BMM402" s="120"/>
      <c r="BMN402" s="120"/>
      <c r="BMO402" s="120"/>
      <c r="BMP402" s="120"/>
      <c r="BMQ402" s="120"/>
      <c r="BMR402" s="121"/>
      <c r="BMS402" s="119"/>
      <c r="BMT402" s="120"/>
      <c r="BMU402" s="120"/>
      <c r="BMV402" s="120"/>
      <c r="BMW402" s="120"/>
      <c r="BMX402" s="120"/>
      <c r="BMY402" s="121"/>
      <c r="BMZ402" s="119"/>
      <c r="BNA402" s="120"/>
      <c r="BNB402" s="120"/>
      <c r="BNC402" s="120"/>
      <c r="BND402" s="120"/>
      <c r="BNE402" s="120"/>
      <c r="BNF402" s="121"/>
      <c r="BNG402" s="119"/>
      <c r="BNH402" s="120"/>
      <c r="BNI402" s="120"/>
      <c r="BNJ402" s="120"/>
      <c r="BNK402" s="120"/>
      <c r="BNL402" s="120"/>
      <c r="BNM402" s="121"/>
      <c r="BNN402" s="119"/>
      <c r="BNO402" s="120"/>
      <c r="BNP402" s="120"/>
      <c r="BNQ402" s="120"/>
      <c r="BNR402" s="120"/>
      <c r="BNS402" s="120"/>
      <c r="BNT402" s="121"/>
      <c r="BNU402" s="119"/>
      <c r="BNV402" s="120"/>
      <c r="BNW402" s="120"/>
      <c r="BNX402" s="120"/>
      <c r="BNY402" s="120"/>
      <c r="BNZ402" s="120"/>
      <c r="BOA402" s="121"/>
      <c r="BOB402" s="119"/>
      <c r="BOC402" s="120"/>
      <c r="BOD402" s="120"/>
      <c r="BOE402" s="120"/>
      <c r="BOF402" s="120"/>
      <c r="BOG402" s="120"/>
      <c r="BOH402" s="121"/>
      <c r="BOI402" s="119"/>
      <c r="BOJ402" s="120"/>
      <c r="BOK402" s="120"/>
      <c r="BOL402" s="120"/>
      <c r="BOM402" s="120"/>
      <c r="BON402" s="120"/>
      <c r="BOO402" s="121"/>
      <c r="BOP402" s="119"/>
      <c r="BOQ402" s="120"/>
      <c r="BOR402" s="120"/>
      <c r="BOS402" s="120"/>
      <c r="BOT402" s="120"/>
      <c r="BOU402" s="120"/>
      <c r="BOV402" s="121"/>
      <c r="BOW402" s="119"/>
      <c r="BOX402" s="120"/>
      <c r="BOY402" s="120"/>
      <c r="BOZ402" s="120"/>
      <c r="BPA402" s="120"/>
      <c r="BPB402" s="120"/>
      <c r="BPC402" s="121"/>
      <c r="BPD402" s="119"/>
      <c r="BPE402" s="120"/>
      <c r="BPF402" s="120"/>
      <c r="BPG402" s="120"/>
      <c r="BPH402" s="120"/>
      <c r="BPI402" s="120"/>
      <c r="BPJ402" s="121"/>
      <c r="BPK402" s="119"/>
      <c r="BPL402" s="120"/>
      <c r="BPM402" s="120"/>
      <c r="BPN402" s="120"/>
      <c r="BPO402" s="120"/>
      <c r="BPP402" s="120"/>
      <c r="BPQ402" s="121"/>
      <c r="BPR402" s="119"/>
      <c r="BPS402" s="120"/>
      <c r="BPT402" s="120"/>
      <c r="BPU402" s="120"/>
      <c r="BPV402" s="120"/>
      <c r="BPW402" s="120"/>
      <c r="BPX402" s="121"/>
      <c r="BPY402" s="119"/>
      <c r="BPZ402" s="120"/>
      <c r="BQA402" s="120"/>
      <c r="BQB402" s="120"/>
      <c r="BQC402" s="120"/>
      <c r="BQD402" s="120"/>
      <c r="BQE402" s="121"/>
      <c r="BQF402" s="119"/>
      <c r="BQG402" s="120"/>
      <c r="BQH402" s="120"/>
      <c r="BQI402" s="120"/>
      <c r="BQJ402" s="120"/>
      <c r="BQK402" s="120"/>
      <c r="BQL402" s="121"/>
      <c r="BQM402" s="119"/>
      <c r="BQN402" s="120"/>
      <c r="BQO402" s="120"/>
      <c r="BQP402" s="120"/>
      <c r="BQQ402" s="120"/>
      <c r="BQR402" s="120"/>
      <c r="BQS402" s="121"/>
      <c r="BQT402" s="119"/>
      <c r="BQU402" s="120"/>
      <c r="BQV402" s="120"/>
      <c r="BQW402" s="120"/>
      <c r="BQX402" s="120"/>
      <c r="BQY402" s="120"/>
      <c r="BQZ402" s="121"/>
      <c r="BRA402" s="119"/>
      <c r="BRB402" s="120"/>
      <c r="BRC402" s="120"/>
      <c r="BRD402" s="120"/>
      <c r="BRE402" s="120"/>
      <c r="BRF402" s="120"/>
      <c r="BRG402" s="121"/>
      <c r="BRH402" s="119"/>
      <c r="BRI402" s="120"/>
      <c r="BRJ402" s="120"/>
      <c r="BRK402" s="120"/>
      <c r="BRL402" s="120"/>
      <c r="BRM402" s="120"/>
      <c r="BRN402" s="121"/>
      <c r="BRO402" s="119"/>
      <c r="BRP402" s="120"/>
      <c r="BRQ402" s="120"/>
      <c r="BRR402" s="120"/>
      <c r="BRS402" s="120"/>
      <c r="BRT402" s="120"/>
      <c r="BRU402" s="121"/>
      <c r="BRV402" s="119"/>
      <c r="BRW402" s="120"/>
      <c r="BRX402" s="120"/>
      <c r="BRY402" s="120"/>
      <c r="BRZ402" s="120"/>
      <c r="BSA402" s="120"/>
      <c r="BSB402" s="121"/>
      <c r="BSC402" s="119"/>
      <c r="BSD402" s="120"/>
      <c r="BSE402" s="120"/>
      <c r="BSF402" s="120"/>
      <c r="BSG402" s="120"/>
      <c r="BSH402" s="120"/>
      <c r="BSI402" s="121"/>
      <c r="BSJ402" s="119"/>
      <c r="BSK402" s="120"/>
      <c r="BSL402" s="120"/>
      <c r="BSM402" s="120"/>
      <c r="BSN402" s="120"/>
      <c r="BSO402" s="120"/>
      <c r="BSP402" s="121"/>
      <c r="BSQ402" s="119"/>
      <c r="BSR402" s="120"/>
      <c r="BSS402" s="120"/>
      <c r="BST402" s="120"/>
      <c r="BSU402" s="120"/>
      <c r="BSV402" s="120"/>
      <c r="BSW402" s="121"/>
      <c r="BSX402" s="119"/>
      <c r="BSY402" s="120"/>
      <c r="BSZ402" s="120"/>
      <c r="BTA402" s="120"/>
      <c r="BTB402" s="120"/>
      <c r="BTC402" s="120"/>
      <c r="BTD402" s="121"/>
      <c r="BTE402" s="119"/>
      <c r="BTF402" s="120"/>
      <c r="BTG402" s="120"/>
      <c r="BTH402" s="120"/>
      <c r="BTI402" s="120"/>
      <c r="BTJ402" s="120"/>
      <c r="BTK402" s="121"/>
      <c r="BTL402" s="119"/>
      <c r="BTM402" s="120"/>
      <c r="BTN402" s="120"/>
      <c r="BTO402" s="120"/>
      <c r="BTP402" s="120"/>
      <c r="BTQ402" s="120"/>
      <c r="BTR402" s="121"/>
      <c r="BTS402" s="119"/>
      <c r="BTT402" s="120"/>
      <c r="BTU402" s="120"/>
      <c r="BTV402" s="120"/>
      <c r="BTW402" s="120"/>
      <c r="BTX402" s="120"/>
      <c r="BTY402" s="121"/>
      <c r="BTZ402" s="119"/>
      <c r="BUA402" s="120"/>
      <c r="BUB402" s="120"/>
      <c r="BUC402" s="120"/>
      <c r="BUD402" s="120"/>
      <c r="BUE402" s="120"/>
      <c r="BUF402" s="121"/>
      <c r="BUG402" s="119"/>
      <c r="BUH402" s="120"/>
      <c r="BUI402" s="120"/>
      <c r="BUJ402" s="120"/>
      <c r="BUK402" s="120"/>
      <c r="BUL402" s="120"/>
      <c r="BUM402" s="121"/>
      <c r="BUN402" s="119"/>
      <c r="BUO402" s="120"/>
      <c r="BUP402" s="120"/>
      <c r="BUQ402" s="120"/>
      <c r="BUR402" s="120"/>
      <c r="BUS402" s="120"/>
      <c r="BUT402" s="121"/>
      <c r="BUU402" s="119"/>
      <c r="BUV402" s="120"/>
      <c r="BUW402" s="120"/>
      <c r="BUX402" s="120"/>
      <c r="BUY402" s="120"/>
      <c r="BUZ402" s="120"/>
      <c r="BVA402" s="121"/>
      <c r="BVB402" s="119"/>
      <c r="BVC402" s="120"/>
      <c r="BVD402" s="120"/>
      <c r="BVE402" s="120"/>
      <c r="BVF402" s="120"/>
      <c r="BVG402" s="120"/>
      <c r="BVH402" s="121"/>
      <c r="BVI402" s="119"/>
      <c r="BVJ402" s="120"/>
      <c r="BVK402" s="120"/>
      <c r="BVL402" s="120"/>
      <c r="BVM402" s="120"/>
      <c r="BVN402" s="120"/>
      <c r="BVO402" s="121"/>
      <c r="BVP402" s="119"/>
      <c r="BVQ402" s="120"/>
      <c r="BVR402" s="120"/>
      <c r="BVS402" s="120"/>
      <c r="BVT402" s="120"/>
      <c r="BVU402" s="120"/>
      <c r="BVV402" s="121"/>
      <c r="BVW402" s="119"/>
      <c r="BVX402" s="120"/>
      <c r="BVY402" s="120"/>
      <c r="BVZ402" s="120"/>
      <c r="BWA402" s="120"/>
      <c r="BWB402" s="120"/>
      <c r="BWC402" s="121"/>
      <c r="BWD402" s="119"/>
      <c r="BWE402" s="120"/>
      <c r="BWF402" s="120"/>
      <c r="BWG402" s="120"/>
      <c r="BWH402" s="120"/>
      <c r="BWI402" s="120"/>
      <c r="BWJ402" s="121"/>
      <c r="BWK402" s="119"/>
      <c r="BWL402" s="120"/>
      <c r="BWM402" s="120"/>
      <c r="BWN402" s="120"/>
      <c r="BWO402" s="120"/>
      <c r="BWP402" s="120"/>
      <c r="BWQ402" s="121"/>
      <c r="BWR402" s="119"/>
      <c r="BWS402" s="120"/>
      <c r="BWT402" s="120"/>
      <c r="BWU402" s="120"/>
      <c r="BWV402" s="120"/>
      <c r="BWW402" s="120"/>
      <c r="BWX402" s="121"/>
      <c r="BWY402" s="119"/>
      <c r="BWZ402" s="120"/>
      <c r="BXA402" s="120"/>
      <c r="BXB402" s="120"/>
      <c r="BXC402" s="120"/>
      <c r="BXD402" s="120"/>
      <c r="BXE402" s="121"/>
      <c r="BXF402" s="119"/>
      <c r="BXG402" s="120"/>
      <c r="BXH402" s="120"/>
      <c r="BXI402" s="120"/>
      <c r="BXJ402" s="120"/>
      <c r="BXK402" s="120"/>
      <c r="BXL402" s="121"/>
      <c r="BXM402" s="119"/>
      <c r="BXN402" s="120"/>
      <c r="BXO402" s="120"/>
      <c r="BXP402" s="120"/>
      <c r="BXQ402" s="120"/>
      <c r="BXR402" s="120"/>
      <c r="BXS402" s="121"/>
      <c r="BXT402" s="119"/>
      <c r="BXU402" s="120"/>
      <c r="BXV402" s="120"/>
      <c r="BXW402" s="120"/>
      <c r="BXX402" s="120"/>
      <c r="BXY402" s="120"/>
      <c r="BXZ402" s="121"/>
      <c r="BYA402" s="119"/>
      <c r="BYB402" s="120"/>
      <c r="BYC402" s="120"/>
      <c r="BYD402" s="120"/>
      <c r="BYE402" s="120"/>
      <c r="BYF402" s="120"/>
      <c r="BYG402" s="121"/>
      <c r="BYH402" s="119"/>
      <c r="BYI402" s="120"/>
      <c r="BYJ402" s="120"/>
      <c r="BYK402" s="120"/>
      <c r="BYL402" s="120"/>
      <c r="BYM402" s="120"/>
      <c r="BYN402" s="121"/>
      <c r="BYO402" s="119"/>
      <c r="BYP402" s="120"/>
      <c r="BYQ402" s="120"/>
      <c r="BYR402" s="120"/>
      <c r="BYS402" s="120"/>
      <c r="BYT402" s="120"/>
      <c r="BYU402" s="121"/>
      <c r="BYV402" s="119"/>
      <c r="BYW402" s="120"/>
      <c r="BYX402" s="120"/>
      <c r="BYY402" s="120"/>
      <c r="BYZ402" s="120"/>
      <c r="BZA402" s="120"/>
      <c r="BZB402" s="121"/>
      <c r="BZC402" s="119"/>
      <c r="BZD402" s="120"/>
      <c r="BZE402" s="120"/>
      <c r="BZF402" s="120"/>
      <c r="BZG402" s="120"/>
      <c r="BZH402" s="120"/>
      <c r="BZI402" s="121"/>
      <c r="BZJ402" s="119"/>
      <c r="BZK402" s="120"/>
      <c r="BZL402" s="120"/>
      <c r="BZM402" s="120"/>
      <c r="BZN402" s="120"/>
      <c r="BZO402" s="120"/>
      <c r="BZP402" s="121"/>
      <c r="BZQ402" s="119"/>
      <c r="BZR402" s="120"/>
      <c r="BZS402" s="120"/>
      <c r="BZT402" s="120"/>
      <c r="BZU402" s="120"/>
      <c r="BZV402" s="120"/>
      <c r="BZW402" s="121"/>
      <c r="BZX402" s="119"/>
      <c r="BZY402" s="120"/>
      <c r="BZZ402" s="120"/>
      <c r="CAA402" s="120"/>
      <c r="CAB402" s="120"/>
      <c r="CAC402" s="120"/>
      <c r="CAD402" s="121"/>
      <c r="CAE402" s="119"/>
      <c r="CAF402" s="120"/>
      <c r="CAG402" s="120"/>
      <c r="CAH402" s="120"/>
      <c r="CAI402" s="120"/>
      <c r="CAJ402" s="120"/>
      <c r="CAK402" s="121"/>
      <c r="CAL402" s="119"/>
      <c r="CAM402" s="120"/>
      <c r="CAN402" s="120"/>
      <c r="CAO402" s="120"/>
      <c r="CAP402" s="120"/>
      <c r="CAQ402" s="120"/>
      <c r="CAR402" s="121"/>
      <c r="CAS402" s="119"/>
      <c r="CAT402" s="120"/>
      <c r="CAU402" s="120"/>
      <c r="CAV402" s="120"/>
      <c r="CAW402" s="120"/>
      <c r="CAX402" s="120"/>
      <c r="CAY402" s="121"/>
      <c r="CAZ402" s="119"/>
      <c r="CBA402" s="120"/>
      <c r="CBB402" s="120"/>
      <c r="CBC402" s="120"/>
      <c r="CBD402" s="120"/>
      <c r="CBE402" s="120"/>
      <c r="CBF402" s="121"/>
      <c r="CBG402" s="119"/>
      <c r="CBH402" s="120"/>
      <c r="CBI402" s="120"/>
      <c r="CBJ402" s="120"/>
      <c r="CBK402" s="120"/>
      <c r="CBL402" s="120"/>
      <c r="CBM402" s="121"/>
      <c r="CBN402" s="119"/>
      <c r="CBO402" s="120"/>
      <c r="CBP402" s="120"/>
      <c r="CBQ402" s="120"/>
      <c r="CBR402" s="120"/>
      <c r="CBS402" s="120"/>
      <c r="CBT402" s="121"/>
      <c r="CBU402" s="119"/>
      <c r="CBV402" s="120"/>
      <c r="CBW402" s="120"/>
      <c r="CBX402" s="120"/>
      <c r="CBY402" s="120"/>
      <c r="CBZ402" s="120"/>
      <c r="CCA402" s="121"/>
      <c r="CCB402" s="119"/>
      <c r="CCC402" s="120"/>
      <c r="CCD402" s="120"/>
      <c r="CCE402" s="120"/>
      <c r="CCF402" s="120"/>
      <c r="CCG402" s="120"/>
      <c r="CCH402" s="121"/>
      <c r="CCI402" s="119"/>
      <c r="CCJ402" s="120"/>
      <c r="CCK402" s="120"/>
      <c r="CCL402" s="120"/>
      <c r="CCM402" s="120"/>
      <c r="CCN402" s="120"/>
      <c r="CCO402" s="121"/>
      <c r="CCP402" s="119"/>
      <c r="CCQ402" s="120"/>
      <c r="CCR402" s="120"/>
      <c r="CCS402" s="120"/>
      <c r="CCT402" s="120"/>
      <c r="CCU402" s="120"/>
      <c r="CCV402" s="121"/>
      <c r="CCW402" s="119"/>
      <c r="CCX402" s="120"/>
      <c r="CCY402" s="120"/>
      <c r="CCZ402" s="120"/>
      <c r="CDA402" s="120"/>
      <c r="CDB402" s="120"/>
      <c r="CDC402" s="121"/>
      <c r="CDD402" s="119"/>
      <c r="CDE402" s="120"/>
      <c r="CDF402" s="120"/>
      <c r="CDG402" s="120"/>
      <c r="CDH402" s="120"/>
      <c r="CDI402" s="120"/>
      <c r="CDJ402" s="121"/>
      <c r="CDK402" s="119"/>
      <c r="CDL402" s="120"/>
      <c r="CDM402" s="120"/>
      <c r="CDN402" s="120"/>
      <c r="CDO402" s="120"/>
      <c r="CDP402" s="120"/>
      <c r="CDQ402" s="121"/>
      <c r="CDR402" s="119"/>
      <c r="CDS402" s="120"/>
      <c r="CDT402" s="120"/>
      <c r="CDU402" s="120"/>
      <c r="CDV402" s="120"/>
      <c r="CDW402" s="120"/>
      <c r="CDX402" s="121"/>
      <c r="CDY402" s="119"/>
      <c r="CDZ402" s="120"/>
      <c r="CEA402" s="120"/>
      <c r="CEB402" s="120"/>
      <c r="CEC402" s="120"/>
      <c r="CED402" s="120"/>
      <c r="CEE402" s="121"/>
      <c r="CEF402" s="119"/>
      <c r="CEG402" s="120"/>
      <c r="CEH402" s="120"/>
      <c r="CEI402" s="120"/>
      <c r="CEJ402" s="120"/>
      <c r="CEK402" s="120"/>
      <c r="CEL402" s="121"/>
      <c r="CEM402" s="119"/>
      <c r="CEN402" s="120"/>
      <c r="CEO402" s="120"/>
      <c r="CEP402" s="120"/>
      <c r="CEQ402" s="120"/>
      <c r="CER402" s="120"/>
      <c r="CES402" s="121"/>
      <c r="CET402" s="119"/>
      <c r="CEU402" s="120"/>
      <c r="CEV402" s="120"/>
      <c r="CEW402" s="120"/>
      <c r="CEX402" s="120"/>
      <c r="CEY402" s="120"/>
      <c r="CEZ402" s="121"/>
      <c r="CFA402" s="119"/>
      <c r="CFB402" s="120"/>
      <c r="CFC402" s="120"/>
      <c r="CFD402" s="120"/>
      <c r="CFE402" s="120"/>
      <c r="CFF402" s="120"/>
      <c r="CFG402" s="121"/>
      <c r="CFH402" s="119"/>
      <c r="CFI402" s="120"/>
      <c r="CFJ402" s="120"/>
      <c r="CFK402" s="120"/>
      <c r="CFL402" s="120"/>
      <c r="CFM402" s="120"/>
      <c r="CFN402" s="121"/>
      <c r="CFO402" s="119"/>
      <c r="CFP402" s="120"/>
      <c r="CFQ402" s="120"/>
      <c r="CFR402" s="120"/>
      <c r="CFS402" s="120"/>
      <c r="CFT402" s="120"/>
      <c r="CFU402" s="121"/>
      <c r="CFV402" s="119"/>
      <c r="CFW402" s="120"/>
      <c r="CFX402" s="120"/>
      <c r="CFY402" s="120"/>
      <c r="CFZ402" s="120"/>
      <c r="CGA402" s="120"/>
      <c r="CGB402" s="121"/>
      <c r="CGC402" s="119"/>
      <c r="CGD402" s="120"/>
      <c r="CGE402" s="120"/>
      <c r="CGF402" s="120"/>
      <c r="CGG402" s="120"/>
      <c r="CGH402" s="120"/>
      <c r="CGI402" s="121"/>
      <c r="CGJ402" s="119"/>
      <c r="CGK402" s="120"/>
      <c r="CGL402" s="120"/>
      <c r="CGM402" s="120"/>
      <c r="CGN402" s="120"/>
      <c r="CGO402" s="120"/>
      <c r="CGP402" s="121"/>
      <c r="CGQ402" s="119"/>
      <c r="CGR402" s="120"/>
      <c r="CGS402" s="120"/>
      <c r="CGT402" s="120"/>
      <c r="CGU402" s="120"/>
      <c r="CGV402" s="120"/>
      <c r="CGW402" s="121"/>
      <c r="CGX402" s="119"/>
      <c r="CGY402" s="120"/>
      <c r="CGZ402" s="120"/>
      <c r="CHA402" s="120"/>
      <c r="CHB402" s="120"/>
      <c r="CHC402" s="120"/>
      <c r="CHD402" s="121"/>
      <c r="CHE402" s="119"/>
      <c r="CHF402" s="120"/>
      <c r="CHG402" s="120"/>
      <c r="CHH402" s="120"/>
      <c r="CHI402" s="120"/>
      <c r="CHJ402" s="120"/>
      <c r="CHK402" s="121"/>
      <c r="CHL402" s="119"/>
      <c r="CHM402" s="120"/>
      <c r="CHN402" s="120"/>
      <c r="CHO402" s="120"/>
      <c r="CHP402" s="120"/>
      <c r="CHQ402" s="120"/>
      <c r="CHR402" s="121"/>
      <c r="CHS402" s="119"/>
      <c r="CHT402" s="120"/>
      <c r="CHU402" s="120"/>
      <c r="CHV402" s="120"/>
      <c r="CHW402" s="120"/>
      <c r="CHX402" s="120"/>
      <c r="CHY402" s="121"/>
      <c r="CHZ402" s="119"/>
      <c r="CIA402" s="120"/>
      <c r="CIB402" s="120"/>
      <c r="CIC402" s="120"/>
      <c r="CID402" s="120"/>
      <c r="CIE402" s="120"/>
      <c r="CIF402" s="121"/>
      <c r="CIG402" s="119"/>
      <c r="CIH402" s="120"/>
      <c r="CII402" s="120"/>
      <c r="CIJ402" s="120"/>
      <c r="CIK402" s="120"/>
      <c r="CIL402" s="120"/>
      <c r="CIM402" s="121"/>
      <c r="CIN402" s="119"/>
      <c r="CIO402" s="120"/>
      <c r="CIP402" s="120"/>
      <c r="CIQ402" s="120"/>
      <c r="CIR402" s="120"/>
      <c r="CIS402" s="120"/>
      <c r="CIT402" s="121"/>
      <c r="CIU402" s="119"/>
      <c r="CIV402" s="120"/>
      <c r="CIW402" s="120"/>
      <c r="CIX402" s="120"/>
      <c r="CIY402" s="120"/>
      <c r="CIZ402" s="120"/>
      <c r="CJA402" s="121"/>
      <c r="CJB402" s="119"/>
      <c r="CJC402" s="120"/>
      <c r="CJD402" s="120"/>
      <c r="CJE402" s="120"/>
      <c r="CJF402" s="120"/>
      <c r="CJG402" s="120"/>
      <c r="CJH402" s="121"/>
      <c r="CJI402" s="119"/>
      <c r="CJJ402" s="120"/>
      <c r="CJK402" s="120"/>
      <c r="CJL402" s="120"/>
      <c r="CJM402" s="120"/>
      <c r="CJN402" s="120"/>
      <c r="CJO402" s="121"/>
      <c r="CJP402" s="119"/>
      <c r="CJQ402" s="120"/>
      <c r="CJR402" s="120"/>
      <c r="CJS402" s="120"/>
      <c r="CJT402" s="120"/>
      <c r="CJU402" s="120"/>
      <c r="CJV402" s="121"/>
      <c r="CJW402" s="119"/>
      <c r="CJX402" s="120"/>
      <c r="CJY402" s="120"/>
      <c r="CJZ402" s="120"/>
      <c r="CKA402" s="120"/>
      <c r="CKB402" s="120"/>
      <c r="CKC402" s="121"/>
      <c r="CKD402" s="119"/>
      <c r="CKE402" s="120"/>
      <c r="CKF402" s="120"/>
      <c r="CKG402" s="120"/>
      <c r="CKH402" s="120"/>
      <c r="CKI402" s="120"/>
      <c r="CKJ402" s="121"/>
      <c r="CKK402" s="119"/>
      <c r="CKL402" s="120"/>
      <c r="CKM402" s="120"/>
      <c r="CKN402" s="120"/>
      <c r="CKO402" s="120"/>
      <c r="CKP402" s="120"/>
      <c r="CKQ402" s="121"/>
      <c r="CKR402" s="119"/>
      <c r="CKS402" s="120"/>
      <c r="CKT402" s="120"/>
      <c r="CKU402" s="120"/>
      <c r="CKV402" s="120"/>
      <c r="CKW402" s="120"/>
      <c r="CKX402" s="121"/>
      <c r="CKY402" s="119"/>
      <c r="CKZ402" s="120"/>
      <c r="CLA402" s="120"/>
      <c r="CLB402" s="120"/>
      <c r="CLC402" s="120"/>
      <c r="CLD402" s="120"/>
      <c r="CLE402" s="121"/>
      <c r="CLF402" s="119"/>
      <c r="CLG402" s="120"/>
      <c r="CLH402" s="120"/>
      <c r="CLI402" s="120"/>
      <c r="CLJ402" s="120"/>
      <c r="CLK402" s="120"/>
      <c r="CLL402" s="121"/>
      <c r="CLM402" s="119"/>
      <c r="CLN402" s="120"/>
      <c r="CLO402" s="120"/>
      <c r="CLP402" s="120"/>
      <c r="CLQ402" s="120"/>
      <c r="CLR402" s="120"/>
      <c r="CLS402" s="121"/>
      <c r="CLT402" s="119"/>
      <c r="CLU402" s="120"/>
      <c r="CLV402" s="120"/>
      <c r="CLW402" s="120"/>
      <c r="CLX402" s="120"/>
      <c r="CLY402" s="120"/>
      <c r="CLZ402" s="121"/>
      <c r="CMA402" s="119"/>
      <c r="CMB402" s="120"/>
      <c r="CMC402" s="120"/>
      <c r="CMD402" s="120"/>
      <c r="CME402" s="120"/>
      <c r="CMF402" s="120"/>
      <c r="CMG402" s="121"/>
      <c r="CMH402" s="119"/>
      <c r="CMI402" s="120"/>
      <c r="CMJ402" s="120"/>
      <c r="CMK402" s="120"/>
      <c r="CML402" s="120"/>
      <c r="CMM402" s="120"/>
      <c r="CMN402" s="121"/>
      <c r="CMO402" s="119"/>
      <c r="CMP402" s="120"/>
      <c r="CMQ402" s="120"/>
      <c r="CMR402" s="120"/>
      <c r="CMS402" s="120"/>
      <c r="CMT402" s="120"/>
      <c r="CMU402" s="121"/>
      <c r="CMV402" s="119"/>
      <c r="CMW402" s="120"/>
      <c r="CMX402" s="120"/>
      <c r="CMY402" s="120"/>
      <c r="CMZ402" s="120"/>
      <c r="CNA402" s="120"/>
      <c r="CNB402" s="121"/>
      <c r="CNC402" s="119"/>
      <c r="CND402" s="120"/>
      <c r="CNE402" s="120"/>
      <c r="CNF402" s="120"/>
      <c r="CNG402" s="120"/>
      <c r="CNH402" s="120"/>
      <c r="CNI402" s="121"/>
      <c r="CNJ402" s="119"/>
      <c r="CNK402" s="120"/>
      <c r="CNL402" s="120"/>
      <c r="CNM402" s="120"/>
      <c r="CNN402" s="120"/>
      <c r="CNO402" s="120"/>
      <c r="CNP402" s="121"/>
      <c r="CNQ402" s="119"/>
      <c r="CNR402" s="120"/>
      <c r="CNS402" s="120"/>
      <c r="CNT402" s="120"/>
      <c r="CNU402" s="120"/>
      <c r="CNV402" s="120"/>
      <c r="CNW402" s="121"/>
      <c r="CNX402" s="119"/>
      <c r="CNY402" s="120"/>
      <c r="CNZ402" s="120"/>
      <c r="COA402" s="120"/>
      <c r="COB402" s="120"/>
      <c r="COC402" s="120"/>
      <c r="COD402" s="121"/>
      <c r="COE402" s="119"/>
      <c r="COF402" s="120"/>
      <c r="COG402" s="120"/>
      <c r="COH402" s="120"/>
      <c r="COI402" s="120"/>
      <c r="COJ402" s="120"/>
      <c r="COK402" s="121"/>
      <c r="COL402" s="119"/>
      <c r="COM402" s="120"/>
      <c r="CON402" s="120"/>
      <c r="COO402" s="120"/>
      <c r="COP402" s="120"/>
      <c r="COQ402" s="120"/>
      <c r="COR402" s="121"/>
      <c r="COS402" s="119"/>
      <c r="COT402" s="120"/>
      <c r="COU402" s="120"/>
      <c r="COV402" s="120"/>
      <c r="COW402" s="120"/>
      <c r="COX402" s="120"/>
      <c r="COY402" s="121"/>
      <c r="COZ402" s="119"/>
      <c r="CPA402" s="120"/>
      <c r="CPB402" s="120"/>
      <c r="CPC402" s="120"/>
      <c r="CPD402" s="120"/>
      <c r="CPE402" s="120"/>
      <c r="CPF402" s="121"/>
      <c r="CPG402" s="119"/>
      <c r="CPH402" s="120"/>
      <c r="CPI402" s="120"/>
      <c r="CPJ402" s="120"/>
      <c r="CPK402" s="120"/>
      <c r="CPL402" s="120"/>
      <c r="CPM402" s="121"/>
      <c r="CPN402" s="119"/>
      <c r="CPO402" s="120"/>
      <c r="CPP402" s="120"/>
      <c r="CPQ402" s="120"/>
      <c r="CPR402" s="120"/>
      <c r="CPS402" s="120"/>
      <c r="CPT402" s="121"/>
      <c r="CPU402" s="119"/>
      <c r="CPV402" s="120"/>
      <c r="CPW402" s="120"/>
      <c r="CPX402" s="120"/>
      <c r="CPY402" s="120"/>
      <c r="CPZ402" s="120"/>
      <c r="CQA402" s="121"/>
      <c r="CQB402" s="119"/>
      <c r="CQC402" s="120"/>
      <c r="CQD402" s="120"/>
      <c r="CQE402" s="120"/>
      <c r="CQF402" s="120"/>
      <c r="CQG402" s="120"/>
      <c r="CQH402" s="121"/>
      <c r="CQI402" s="119"/>
      <c r="CQJ402" s="120"/>
      <c r="CQK402" s="120"/>
      <c r="CQL402" s="120"/>
      <c r="CQM402" s="120"/>
      <c r="CQN402" s="120"/>
      <c r="CQO402" s="121"/>
      <c r="CQP402" s="119"/>
      <c r="CQQ402" s="120"/>
      <c r="CQR402" s="120"/>
      <c r="CQS402" s="120"/>
      <c r="CQT402" s="120"/>
      <c r="CQU402" s="120"/>
      <c r="CQV402" s="121"/>
      <c r="CQW402" s="119"/>
      <c r="CQX402" s="120"/>
      <c r="CQY402" s="120"/>
      <c r="CQZ402" s="120"/>
      <c r="CRA402" s="120"/>
      <c r="CRB402" s="120"/>
      <c r="CRC402" s="121"/>
      <c r="CRD402" s="119"/>
      <c r="CRE402" s="120"/>
      <c r="CRF402" s="120"/>
      <c r="CRG402" s="120"/>
      <c r="CRH402" s="120"/>
      <c r="CRI402" s="120"/>
      <c r="CRJ402" s="121"/>
      <c r="CRK402" s="119"/>
      <c r="CRL402" s="120"/>
      <c r="CRM402" s="120"/>
      <c r="CRN402" s="120"/>
      <c r="CRO402" s="120"/>
      <c r="CRP402" s="120"/>
      <c r="CRQ402" s="121"/>
      <c r="CRR402" s="119"/>
      <c r="CRS402" s="120"/>
      <c r="CRT402" s="120"/>
      <c r="CRU402" s="120"/>
      <c r="CRV402" s="120"/>
      <c r="CRW402" s="120"/>
      <c r="CRX402" s="121"/>
      <c r="CRY402" s="119"/>
      <c r="CRZ402" s="120"/>
      <c r="CSA402" s="120"/>
      <c r="CSB402" s="120"/>
      <c r="CSC402" s="120"/>
      <c r="CSD402" s="120"/>
      <c r="CSE402" s="121"/>
      <c r="CSF402" s="119"/>
      <c r="CSG402" s="120"/>
      <c r="CSH402" s="120"/>
      <c r="CSI402" s="120"/>
      <c r="CSJ402" s="120"/>
      <c r="CSK402" s="120"/>
      <c r="CSL402" s="121"/>
      <c r="CSM402" s="119"/>
      <c r="CSN402" s="120"/>
      <c r="CSO402" s="120"/>
      <c r="CSP402" s="120"/>
      <c r="CSQ402" s="120"/>
      <c r="CSR402" s="120"/>
      <c r="CSS402" s="121"/>
      <c r="CST402" s="119"/>
      <c r="CSU402" s="120"/>
      <c r="CSV402" s="120"/>
      <c r="CSW402" s="120"/>
      <c r="CSX402" s="120"/>
      <c r="CSY402" s="120"/>
      <c r="CSZ402" s="121"/>
      <c r="CTA402" s="119"/>
      <c r="CTB402" s="120"/>
      <c r="CTC402" s="120"/>
      <c r="CTD402" s="120"/>
      <c r="CTE402" s="120"/>
      <c r="CTF402" s="120"/>
      <c r="CTG402" s="121"/>
      <c r="CTH402" s="119"/>
      <c r="CTI402" s="120"/>
      <c r="CTJ402" s="120"/>
      <c r="CTK402" s="120"/>
      <c r="CTL402" s="120"/>
      <c r="CTM402" s="120"/>
      <c r="CTN402" s="121"/>
      <c r="CTO402" s="119"/>
      <c r="CTP402" s="120"/>
      <c r="CTQ402" s="120"/>
      <c r="CTR402" s="120"/>
      <c r="CTS402" s="120"/>
      <c r="CTT402" s="120"/>
      <c r="CTU402" s="121"/>
      <c r="CTV402" s="119"/>
      <c r="CTW402" s="120"/>
      <c r="CTX402" s="120"/>
      <c r="CTY402" s="120"/>
      <c r="CTZ402" s="120"/>
      <c r="CUA402" s="120"/>
      <c r="CUB402" s="121"/>
      <c r="CUC402" s="119"/>
      <c r="CUD402" s="120"/>
      <c r="CUE402" s="120"/>
      <c r="CUF402" s="120"/>
      <c r="CUG402" s="120"/>
      <c r="CUH402" s="120"/>
      <c r="CUI402" s="121"/>
      <c r="CUJ402" s="119"/>
      <c r="CUK402" s="120"/>
      <c r="CUL402" s="120"/>
      <c r="CUM402" s="120"/>
      <c r="CUN402" s="120"/>
      <c r="CUO402" s="120"/>
      <c r="CUP402" s="121"/>
      <c r="CUQ402" s="119"/>
      <c r="CUR402" s="120"/>
      <c r="CUS402" s="120"/>
      <c r="CUT402" s="120"/>
      <c r="CUU402" s="120"/>
      <c r="CUV402" s="120"/>
      <c r="CUW402" s="121"/>
      <c r="CUX402" s="119"/>
      <c r="CUY402" s="120"/>
      <c r="CUZ402" s="120"/>
      <c r="CVA402" s="120"/>
      <c r="CVB402" s="120"/>
      <c r="CVC402" s="120"/>
      <c r="CVD402" s="121"/>
      <c r="CVE402" s="119"/>
      <c r="CVF402" s="120"/>
      <c r="CVG402" s="120"/>
      <c r="CVH402" s="120"/>
      <c r="CVI402" s="120"/>
      <c r="CVJ402" s="120"/>
      <c r="CVK402" s="121"/>
      <c r="CVL402" s="119"/>
      <c r="CVM402" s="120"/>
      <c r="CVN402" s="120"/>
      <c r="CVO402" s="120"/>
      <c r="CVP402" s="120"/>
      <c r="CVQ402" s="120"/>
      <c r="CVR402" s="121"/>
      <c r="CVS402" s="119"/>
      <c r="CVT402" s="120"/>
      <c r="CVU402" s="120"/>
      <c r="CVV402" s="120"/>
      <c r="CVW402" s="120"/>
      <c r="CVX402" s="120"/>
      <c r="CVY402" s="121"/>
      <c r="CVZ402" s="119"/>
      <c r="CWA402" s="120"/>
      <c r="CWB402" s="120"/>
      <c r="CWC402" s="120"/>
      <c r="CWD402" s="120"/>
      <c r="CWE402" s="120"/>
      <c r="CWF402" s="121"/>
      <c r="CWG402" s="119"/>
      <c r="CWH402" s="120"/>
      <c r="CWI402" s="120"/>
      <c r="CWJ402" s="120"/>
      <c r="CWK402" s="120"/>
      <c r="CWL402" s="120"/>
      <c r="CWM402" s="121"/>
      <c r="CWN402" s="119"/>
      <c r="CWO402" s="120"/>
      <c r="CWP402" s="120"/>
      <c r="CWQ402" s="120"/>
      <c r="CWR402" s="120"/>
      <c r="CWS402" s="120"/>
      <c r="CWT402" s="121"/>
      <c r="CWU402" s="119"/>
      <c r="CWV402" s="120"/>
      <c r="CWW402" s="120"/>
      <c r="CWX402" s="120"/>
      <c r="CWY402" s="120"/>
      <c r="CWZ402" s="120"/>
      <c r="CXA402" s="121"/>
      <c r="CXB402" s="119"/>
      <c r="CXC402" s="120"/>
      <c r="CXD402" s="120"/>
      <c r="CXE402" s="120"/>
      <c r="CXF402" s="120"/>
      <c r="CXG402" s="120"/>
      <c r="CXH402" s="121"/>
      <c r="CXI402" s="119"/>
      <c r="CXJ402" s="120"/>
      <c r="CXK402" s="120"/>
      <c r="CXL402" s="120"/>
      <c r="CXM402" s="120"/>
      <c r="CXN402" s="120"/>
      <c r="CXO402" s="121"/>
      <c r="CXP402" s="119"/>
      <c r="CXQ402" s="120"/>
      <c r="CXR402" s="120"/>
      <c r="CXS402" s="120"/>
      <c r="CXT402" s="120"/>
      <c r="CXU402" s="120"/>
      <c r="CXV402" s="121"/>
      <c r="CXW402" s="119"/>
      <c r="CXX402" s="120"/>
      <c r="CXY402" s="120"/>
      <c r="CXZ402" s="120"/>
      <c r="CYA402" s="120"/>
      <c r="CYB402" s="120"/>
      <c r="CYC402" s="121"/>
      <c r="CYD402" s="119"/>
      <c r="CYE402" s="120"/>
      <c r="CYF402" s="120"/>
      <c r="CYG402" s="120"/>
      <c r="CYH402" s="120"/>
      <c r="CYI402" s="120"/>
      <c r="CYJ402" s="121"/>
      <c r="CYK402" s="119"/>
      <c r="CYL402" s="120"/>
      <c r="CYM402" s="120"/>
      <c r="CYN402" s="120"/>
      <c r="CYO402" s="120"/>
      <c r="CYP402" s="120"/>
      <c r="CYQ402" s="121"/>
      <c r="CYR402" s="119"/>
      <c r="CYS402" s="120"/>
      <c r="CYT402" s="120"/>
      <c r="CYU402" s="120"/>
      <c r="CYV402" s="120"/>
      <c r="CYW402" s="120"/>
      <c r="CYX402" s="121"/>
      <c r="CYY402" s="119"/>
      <c r="CYZ402" s="120"/>
      <c r="CZA402" s="120"/>
      <c r="CZB402" s="120"/>
      <c r="CZC402" s="120"/>
      <c r="CZD402" s="120"/>
      <c r="CZE402" s="121"/>
      <c r="CZF402" s="119"/>
      <c r="CZG402" s="120"/>
      <c r="CZH402" s="120"/>
      <c r="CZI402" s="120"/>
      <c r="CZJ402" s="120"/>
      <c r="CZK402" s="120"/>
      <c r="CZL402" s="121"/>
      <c r="CZM402" s="119"/>
      <c r="CZN402" s="120"/>
      <c r="CZO402" s="120"/>
      <c r="CZP402" s="120"/>
      <c r="CZQ402" s="120"/>
      <c r="CZR402" s="120"/>
      <c r="CZS402" s="121"/>
      <c r="CZT402" s="119"/>
      <c r="CZU402" s="120"/>
      <c r="CZV402" s="120"/>
      <c r="CZW402" s="120"/>
      <c r="CZX402" s="120"/>
      <c r="CZY402" s="120"/>
      <c r="CZZ402" s="121"/>
      <c r="DAA402" s="119"/>
      <c r="DAB402" s="120"/>
      <c r="DAC402" s="120"/>
      <c r="DAD402" s="120"/>
      <c r="DAE402" s="120"/>
      <c r="DAF402" s="120"/>
      <c r="DAG402" s="121"/>
      <c r="DAH402" s="119"/>
      <c r="DAI402" s="120"/>
      <c r="DAJ402" s="120"/>
      <c r="DAK402" s="120"/>
      <c r="DAL402" s="120"/>
      <c r="DAM402" s="120"/>
      <c r="DAN402" s="121"/>
      <c r="DAO402" s="119"/>
      <c r="DAP402" s="120"/>
      <c r="DAQ402" s="120"/>
      <c r="DAR402" s="120"/>
      <c r="DAS402" s="120"/>
      <c r="DAT402" s="120"/>
      <c r="DAU402" s="121"/>
      <c r="DAV402" s="119"/>
      <c r="DAW402" s="120"/>
      <c r="DAX402" s="120"/>
      <c r="DAY402" s="120"/>
      <c r="DAZ402" s="120"/>
      <c r="DBA402" s="120"/>
      <c r="DBB402" s="121"/>
      <c r="DBC402" s="119"/>
      <c r="DBD402" s="120"/>
      <c r="DBE402" s="120"/>
      <c r="DBF402" s="120"/>
      <c r="DBG402" s="120"/>
      <c r="DBH402" s="120"/>
      <c r="DBI402" s="121"/>
      <c r="DBJ402" s="119"/>
      <c r="DBK402" s="120"/>
      <c r="DBL402" s="120"/>
      <c r="DBM402" s="120"/>
      <c r="DBN402" s="120"/>
      <c r="DBO402" s="120"/>
      <c r="DBP402" s="121"/>
      <c r="DBQ402" s="119"/>
      <c r="DBR402" s="120"/>
      <c r="DBS402" s="120"/>
      <c r="DBT402" s="120"/>
      <c r="DBU402" s="120"/>
      <c r="DBV402" s="120"/>
      <c r="DBW402" s="121"/>
      <c r="DBX402" s="119"/>
      <c r="DBY402" s="120"/>
      <c r="DBZ402" s="120"/>
      <c r="DCA402" s="120"/>
      <c r="DCB402" s="120"/>
      <c r="DCC402" s="120"/>
      <c r="DCD402" s="121"/>
      <c r="DCE402" s="119"/>
      <c r="DCF402" s="120"/>
      <c r="DCG402" s="120"/>
      <c r="DCH402" s="120"/>
      <c r="DCI402" s="120"/>
      <c r="DCJ402" s="120"/>
      <c r="DCK402" s="121"/>
      <c r="DCL402" s="119"/>
      <c r="DCM402" s="120"/>
      <c r="DCN402" s="120"/>
      <c r="DCO402" s="120"/>
      <c r="DCP402" s="120"/>
      <c r="DCQ402" s="120"/>
      <c r="DCR402" s="121"/>
      <c r="DCS402" s="119"/>
      <c r="DCT402" s="120"/>
      <c r="DCU402" s="120"/>
      <c r="DCV402" s="120"/>
      <c r="DCW402" s="120"/>
      <c r="DCX402" s="120"/>
      <c r="DCY402" s="121"/>
      <c r="DCZ402" s="119"/>
      <c r="DDA402" s="120"/>
      <c r="DDB402" s="120"/>
      <c r="DDC402" s="120"/>
      <c r="DDD402" s="120"/>
      <c r="DDE402" s="120"/>
      <c r="DDF402" s="121"/>
      <c r="DDG402" s="119"/>
      <c r="DDH402" s="120"/>
      <c r="DDI402" s="120"/>
      <c r="DDJ402" s="120"/>
      <c r="DDK402" s="120"/>
      <c r="DDL402" s="120"/>
      <c r="DDM402" s="121"/>
      <c r="DDN402" s="119"/>
      <c r="DDO402" s="120"/>
      <c r="DDP402" s="120"/>
      <c r="DDQ402" s="120"/>
      <c r="DDR402" s="120"/>
      <c r="DDS402" s="120"/>
      <c r="DDT402" s="121"/>
      <c r="DDU402" s="119"/>
      <c r="DDV402" s="120"/>
      <c r="DDW402" s="120"/>
      <c r="DDX402" s="120"/>
      <c r="DDY402" s="120"/>
      <c r="DDZ402" s="120"/>
      <c r="DEA402" s="121"/>
      <c r="DEB402" s="119"/>
      <c r="DEC402" s="120"/>
      <c r="DED402" s="120"/>
      <c r="DEE402" s="120"/>
      <c r="DEF402" s="120"/>
      <c r="DEG402" s="120"/>
      <c r="DEH402" s="121"/>
      <c r="DEI402" s="119"/>
      <c r="DEJ402" s="120"/>
      <c r="DEK402" s="120"/>
      <c r="DEL402" s="120"/>
      <c r="DEM402" s="120"/>
      <c r="DEN402" s="120"/>
      <c r="DEO402" s="121"/>
      <c r="DEP402" s="119"/>
      <c r="DEQ402" s="120"/>
      <c r="DER402" s="120"/>
      <c r="DES402" s="120"/>
      <c r="DET402" s="120"/>
      <c r="DEU402" s="120"/>
      <c r="DEV402" s="121"/>
      <c r="DEW402" s="119"/>
      <c r="DEX402" s="120"/>
      <c r="DEY402" s="120"/>
      <c r="DEZ402" s="120"/>
      <c r="DFA402" s="120"/>
      <c r="DFB402" s="120"/>
      <c r="DFC402" s="121"/>
      <c r="DFD402" s="119"/>
      <c r="DFE402" s="120"/>
      <c r="DFF402" s="120"/>
      <c r="DFG402" s="120"/>
      <c r="DFH402" s="120"/>
      <c r="DFI402" s="120"/>
      <c r="DFJ402" s="121"/>
      <c r="DFK402" s="119"/>
      <c r="DFL402" s="120"/>
      <c r="DFM402" s="120"/>
      <c r="DFN402" s="120"/>
      <c r="DFO402" s="120"/>
      <c r="DFP402" s="120"/>
      <c r="DFQ402" s="121"/>
      <c r="DFR402" s="119"/>
      <c r="DFS402" s="120"/>
      <c r="DFT402" s="120"/>
      <c r="DFU402" s="120"/>
      <c r="DFV402" s="120"/>
      <c r="DFW402" s="120"/>
      <c r="DFX402" s="121"/>
      <c r="DFY402" s="119"/>
      <c r="DFZ402" s="120"/>
      <c r="DGA402" s="120"/>
      <c r="DGB402" s="120"/>
      <c r="DGC402" s="120"/>
      <c r="DGD402" s="120"/>
      <c r="DGE402" s="121"/>
      <c r="DGF402" s="119"/>
      <c r="DGG402" s="120"/>
      <c r="DGH402" s="120"/>
      <c r="DGI402" s="120"/>
      <c r="DGJ402" s="120"/>
      <c r="DGK402" s="120"/>
      <c r="DGL402" s="121"/>
      <c r="DGM402" s="119"/>
      <c r="DGN402" s="120"/>
      <c r="DGO402" s="120"/>
      <c r="DGP402" s="120"/>
      <c r="DGQ402" s="120"/>
      <c r="DGR402" s="120"/>
      <c r="DGS402" s="121"/>
      <c r="DGT402" s="119"/>
      <c r="DGU402" s="120"/>
      <c r="DGV402" s="120"/>
      <c r="DGW402" s="120"/>
      <c r="DGX402" s="120"/>
      <c r="DGY402" s="120"/>
      <c r="DGZ402" s="121"/>
      <c r="DHA402" s="119"/>
      <c r="DHB402" s="120"/>
      <c r="DHC402" s="120"/>
      <c r="DHD402" s="120"/>
      <c r="DHE402" s="120"/>
      <c r="DHF402" s="120"/>
      <c r="DHG402" s="121"/>
      <c r="DHH402" s="119"/>
      <c r="DHI402" s="120"/>
      <c r="DHJ402" s="120"/>
      <c r="DHK402" s="120"/>
      <c r="DHL402" s="120"/>
      <c r="DHM402" s="120"/>
      <c r="DHN402" s="121"/>
      <c r="DHO402" s="119"/>
      <c r="DHP402" s="120"/>
      <c r="DHQ402" s="120"/>
      <c r="DHR402" s="120"/>
      <c r="DHS402" s="120"/>
      <c r="DHT402" s="120"/>
      <c r="DHU402" s="121"/>
      <c r="DHV402" s="119"/>
      <c r="DHW402" s="120"/>
      <c r="DHX402" s="120"/>
      <c r="DHY402" s="120"/>
      <c r="DHZ402" s="120"/>
      <c r="DIA402" s="120"/>
      <c r="DIB402" s="121"/>
      <c r="DIC402" s="119"/>
      <c r="DID402" s="120"/>
      <c r="DIE402" s="120"/>
      <c r="DIF402" s="120"/>
      <c r="DIG402" s="120"/>
      <c r="DIH402" s="120"/>
      <c r="DII402" s="121"/>
      <c r="DIJ402" s="119"/>
      <c r="DIK402" s="120"/>
      <c r="DIL402" s="120"/>
      <c r="DIM402" s="120"/>
      <c r="DIN402" s="120"/>
      <c r="DIO402" s="120"/>
      <c r="DIP402" s="121"/>
      <c r="DIQ402" s="119"/>
      <c r="DIR402" s="120"/>
      <c r="DIS402" s="120"/>
      <c r="DIT402" s="120"/>
      <c r="DIU402" s="120"/>
      <c r="DIV402" s="120"/>
      <c r="DIW402" s="121"/>
      <c r="DIX402" s="119"/>
      <c r="DIY402" s="120"/>
      <c r="DIZ402" s="120"/>
      <c r="DJA402" s="120"/>
      <c r="DJB402" s="120"/>
      <c r="DJC402" s="120"/>
      <c r="DJD402" s="121"/>
      <c r="DJE402" s="119"/>
      <c r="DJF402" s="120"/>
      <c r="DJG402" s="120"/>
      <c r="DJH402" s="120"/>
      <c r="DJI402" s="120"/>
      <c r="DJJ402" s="120"/>
      <c r="DJK402" s="121"/>
      <c r="DJL402" s="119"/>
      <c r="DJM402" s="120"/>
      <c r="DJN402" s="120"/>
      <c r="DJO402" s="120"/>
      <c r="DJP402" s="120"/>
      <c r="DJQ402" s="120"/>
      <c r="DJR402" s="121"/>
      <c r="DJS402" s="119"/>
      <c r="DJT402" s="120"/>
      <c r="DJU402" s="120"/>
      <c r="DJV402" s="120"/>
      <c r="DJW402" s="120"/>
      <c r="DJX402" s="120"/>
      <c r="DJY402" s="121"/>
      <c r="DJZ402" s="119"/>
      <c r="DKA402" s="120"/>
      <c r="DKB402" s="120"/>
      <c r="DKC402" s="120"/>
      <c r="DKD402" s="120"/>
      <c r="DKE402" s="120"/>
      <c r="DKF402" s="121"/>
      <c r="DKG402" s="119"/>
      <c r="DKH402" s="120"/>
      <c r="DKI402" s="120"/>
      <c r="DKJ402" s="120"/>
      <c r="DKK402" s="120"/>
      <c r="DKL402" s="120"/>
      <c r="DKM402" s="121"/>
      <c r="DKN402" s="119"/>
      <c r="DKO402" s="120"/>
      <c r="DKP402" s="120"/>
      <c r="DKQ402" s="120"/>
      <c r="DKR402" s="120"/>
      <c r="DKS402" s="120"/>
      <c r="DKT402" s="121"/>
      <c r="DKU402" s="119"/>
      <c r="DKV402" s="120"/>
      <c r="DKW402" s="120"/>
      <c r="DKX402" s="120"/>
      <c r="DKY402" s="120"/>
      <c r="DKZ402" s="120"/>
      <c r="DLA402" s="121"/>
      <c r="DLB402" s="119"/>
      <c r="DLC402" s="120"/>
      <c r="DLD402" s="120"/>
      <c r="DLE402" s="120"/>
      <c r="DLF402" s="120"/>
      <c r="DLG402" s="120"/>
      <c r="DLH402" s="121"/>
      <c r="DLI402" s="119"/>
      <c r="DLJ402" s="120"/>
      <c r="DLK402" s="120"/>
      <c r="DLL402" s="120"/>
      <c r="DLM402" s="120"/>
      <c r="DLN402" s="120"/>
      <c r="DLO402" s="121"/>
      <c r="DLP402" s="119"/>
      <c r="DLQ402" s="120"/>
      <c r="DLR402" s="120"/>
      <c r="DLS402" s="120"/>
      <c r="DLT402" s="120"/>
      <c r="DLU402" s="120"/>
      <c r="DLV402" s="121"/>
      <c r="DLW402" s="119"/>
      <c r="DLX402" s="120"/>
      <c r="DLY402" s="120"/>
      <c r="DLZ402" s="120"/>
      <c r="DMA402" s="120"/>
      <c r="DMB402" s="120"/>
      <c r="DMC402" s="121"/>
      <c r="DMD402" s="119"/>
      <c r="DME402" s="120"/>
      <c r="DMF402" s="120"/>
      <c r="DMG402" s="120"/>
      <c r="DMH402" s="120"/>
      <c r="DMI402" s="120"/>
      <c r="DMJ402" s="121"/>
      <c r="DMK402" s="119"/>
      <c r="DML402" s="120"/>
      <c r="DMM402" s="120"/>
      <c r="DMN402" s="120"/>
      <c r="DMO402" s="120"/>
      <c r="DMP402" s="120"/>
      <c r="DMQ402" s="121"/>
      <c r="DMR402" s="119"/>
      <c r="DMS402" s="120"/>
      <c r="DMT402" s="120"/>
      <c r="DMU402" s="120"/>
      <c r="DMV402" s="120"/>
      <c r="DMW402" s="120"/>
      <c r="DMX402" s="121"/>
      <c r="DMY402" s="119"/>
      <c r="DMZ402" s="120"/>
      <c r="DNA402" s="120"/>
      <c r="DNB402" s="120"/>
      <c r="DNC402" s="120"/>
      <c r="DND402" s="120"/>
      <c r="DNE402" s="121"/>
      <c r="DNF402" s="119"/>
      <c r="DNG402" s="120"/>
      <c r="DNH402" s="120"/>
      <c r="DNI402" s="120"/>
      <c r="DNJ402" s="120"/>
      <c r="DNK402" s="120"/>
      <c r="DNL402" s="121"/>
      <c r="DNM402" s="119"/>
      <c r="DNN402" s="120"/>
      <c r="DNO402" s="120"/>
      <c r="DNP402" s="120"/>
      <c r="DNQ402" s="120"/>
      <c r="DNR402" s="120"/>
      <c r="DNS402" s="121"/>
      <c r="DNT402" s="119"/>
      <c r="DNU402" s="120"/>
      <c r="DNV402" s="120"/>
      <c r="DNW402" s="120"/>
      <c r="DNX402" s="120"/>
      <c r="DNY402" s="120"/>
      <c r="DNZ402" s="121"/>
      <c r="DOA402" s="119"/>
      <c r="DOB402" s="120"/>
      <c r="DOC402" s="120"/>
      <c r="DOD402" s="120"/>
      <c r="DOE402" s="120"/>
      <c r="DOF402" s="120"/>
      <c r="DOG402" s="121"/>
      <c r="DOH402" s="119"/>
      <c r="DOI402" s="120"/>
      <c r="DOJ402" s="120"/>
      <c r="DOK402" s="120"/>
      <c r="DOL402" s="120"/>
      <c r="DOM402" s="120"/>
      <c r="DON402" s="121"/>
      <c r="DOO402" s="119"/>
      <c r="DOP402" s="120"/>
      <c r="DOQ402" s="120"/>
      <c r="DOR402" s="120"/>
      <c r="DOS402" s="120"/>
      <c r="DOT402" s="120"/>
      <c r="DOU402" s="121"/>
      <c r="DOV402" s="119"/>
      <c r="DOW402" s="120"/>
      <c r="DOX402" s="120"/>
      <c r="DOY402" s="120"/>
      <c r="DOZ402" s="120"/>
      <c r="DPA402" s="120"/>
      <c r="DPB402" s="121"/>
      <c r="DPC402" s="119"/>
      <c r="DPD402" s="120"/>
      <c r="DPE402" s="120"/>
      <c r="DPF402" s="120"/>
      <c r="DPG402" s="120"/>
      <c r="DPH402" s="120"/>
      <c r="DPI402" s="121"/>
      <c r="DPJ402" s="119"/>
      <c r="DPK402" s="120"/>
      <c r="DPL402" s="120"/>
      <c r="DPM402" s="120"/>
      <c r="DPN402" s="120"/>
      <c r="DPO402" s="120"/>
      <c r="DPP402" s="121"/>
      <c r="DPQ402" s="119"/>
      <c r="DPR402" s="120"/>
      <c r="DPS402" s="120"/>
      <c r="DPT402" s="120"/>
      <c r="DPU402" s="120"/>
      <c r="DPV402" s="120"/>
      <c r="DPW402" s="121"/>
      <c r="DPX402" s="119"/>
      <c r="DPY402" s="120"/>
      <c r="DPZ402" s="120"/>
      <c r="DQA402" s="120"/>
      <c r="DQB402" s="120"/>
      <c r="DQC402" s="120"/>
      <c r="DQD402" s="121"/>
      <c r="DQE402" s="119"/>
      <c r="DQF402" s="120"/>
      <c r="DQG402" s="120"/>
      <c r="DQH402" s="120"/>
      <c r="DQI402" s="120"/>
      <c r="DQJ402" s="120"/>
      <c r="DQK402" s="121"/>
      <c r="DQL402" s="119"/>
      <c r="DQM402" s="120"/>
      <c r="DQN402" s="120"/>
      <c r="DQO402" s="120"/>
      <c r="DQP402" s="120"/>
      <c r="DQQ402" s="120"/>
      <c r="DQR402" s="121"/>
      <c r="DQS402" s="119"/>
      <c r="DQT402" s="120"/>
      <c r="DQU402" s="120"/>
      <c r="DQV402" s="120"/>
      <c r="DQW402" s="120"/>
      <c r="DQX402" s="120"/>
      <c r="DQY402" s="121"/>
      <c r="DQZ402" s="119"/>
      <c r="DRA402" s="120"/>
      <c r="DRB402" s="120"/>
      <c r="DRC402" s="120"/>
      <c r="DRD402" s="120"/>
      <c r="DRE402" s="120"/>
      <c r="DRF402" s="121"/>
      <c r="DRG402" s="119"/>
      <c r="DRH402" s="120"/>
      <c r="DRI402" s="120"/>
      <c r="DRJ402" s="120"/>
      <c r="DRK402" s="120"/>
      <c r="DRL402" s="120"/>
      <c r="DRM402" s="121"/>
      <c r="DRN402" s="119"/>
      <c r="DRO402" s="120"/>
      <c r="DRP402" s="120"/>
      <c r="DRQ402" s="120"/>
      <c r="DRR402" s="120"/>
      <c r="DRS402" s="120"/>
      <c r="DRT402" s="121"/>
      <c r="DRU402" s="119"/>
      <c r="DRV402" s="120"/>
      <c r="DRW402" s="120"/>
      <c r="DRX402" s="120"/>
      <c r="DRY402" s="120"/>
      <c r="DRZ402" s="120"/>
      <c r="DSA402" s="121"/>
      <c r="DSB402" s="119"/>
      <c r="DSC402" s="120"/>
      <c r="DSD402" s="120"/>
      <c r="DSE402" s="120"/>
      <c r="DSF402" s="120"/>
      <c r="DSG402" s="120"/>
      <c r="DSH402" s="121"/>
      <c r="DSI402" s="119"/>
      <c r="DSJ402" s="120"/>
      <c r="DSK402" s="120"/>
      <c r="DSL402" s="120"/>
      <c r="DSM402" s="120"/>
      <c r="DSN402" s="120"/>
      <c r="DSO402" s="121"/>
      <c r="DSP402" s="119"/>
      <c r="DSQ402" s="120"/>
      <c r="DSR402" s="120"/>
      <c r="DSS402" s="120"/>
      <c r="DST402" s="120"/>
      <c r="DSU402" s="120"/>
      <c r="DSV402" s="121"/>
      <c r="DSW402" s="119"/>
      <c r="DSX402" s="120"/>
      <c r="DSY402" s="120"/>
      <c r="DSZ402" s="120"/>
      <c r="DTA402" s="120"/>
      <c r="DTB402" s="120"/>
      <c r="DTC402" s="121"/>
      <c r="DTD402" s="119"/>
      <c r="DTE402" s="120"/>
      <c r="DTF402" s="120"/>
      <c r="DTG402" s="120"/>
      <c r="DTH402" s="120"/>
      <c r="DTI402" s="120"/>
      <c r="DTJ402" s="121"/>
      <c r="DTK402" s="119"/>
      <c r="DTL402" s="120"/>
      <c r="DTM402" s="120"/>
      <c r="DTN402" s="120"/>
      <c r="DTO402" s="120"/>
      <c r="DTP402" s="120"/>
      <c r="DTQ402" s="121"/>
      <c r="DTR402" s="119"/>
      <c r="DTS402" s="120"/>
      <c r="DTT402" s="120"/>
      <c r="DTU402" s="120"/>
      <c r="DTV402" s="120"/>
      <c r="DTW402" s="120"/>
      <c r="DTX402" s="121"/>
      <c r="DTY402" s="119"/>
      <c r="DTZ402" s="120"/>
      <c r="DUA402" s="120"/>
      <c r="DUB402" s="120"/>
      <c r="DUC402" s="120"/>
      <c r="DUD402" s="120"/>
      <c r="DUE402" s="121"/>
      <c r="DUF402" s="119"/>
      <c r="DUG402" s="120"/>
      <c r="DUH402" s="120"/>
      <c r="DUI402" s="120"/>
      <c r="DUJ402" s="120"/>
      <c r="DUK402" s="120"/>
      <c r="DUL402" s="121"/>
      <c r="DUM402" s="119"/>
      <c r="DUN402" s="120"/>
      <c r="DUO402" s="120"/>
      <c r="DUP402" s="120"/>
      <c r="DUQ402" s="120"/>
      <c r="DUR402" s="120"/>
      <c r="DUS402" s="121"/>
      <c r="DUT402" s="119"/>
      <c r="DUU402" s="120"/>
      <c r="DUV402" s="120"/>
      <c r="DUW402" s="120"/>
      <c r="DUX402" s="120"/>
      <c r="DUY402" s="120"/>
      <c r="DUZ402" s="121"/>
      <c r="DVA402" s="119"/>
      <c r="DVB402" s="120"/>
      <c r="DVC402" s="120"/>
      <c r="DVD402" s="120"/>
      <c r="DVE402" s="120"/>
      <c r="DVF402" s="120"/>
      <c r="DVG402" s="121"/>
      <c r="DVH402" s="119"/>
      <c r="DVI402" s="120"/>
      <c r="DVJ402" s="120"/>
      <c r="DVK402" s="120"/>
      <c r="DVL402" s="120"/>
      <c r="DVM402" s="120"/>
      <c r="DVN402" s="121"/>
      <c r="DVO402" s="119"/>
      <c r="DVP402" s="120"/>
      <c r="DVQ402" s="120"/>
      <c r="DVR402" s="120"/>
      <c r="DVS402" s="120"/>
      <c r="DVT402" s="120"/>
      <c r="DVU402" s="121"/>
      <c r="DVV402" s="119"/>
      <c r="DVW402" s="120"/>
      <c r="DVX402" s="120"/>
      <c r="DVY402" s="120"/>
      <c r="DVZ402" s="120"/>
      <c r="DWA402" s="120"/>
      <c r="DWB402" s="121"/>
      <c r="DWC402" s="119"/>
      <c r="DWD402" s="120"/>
      <c r="DWE402" s="120"/>
      <c r="DWF402" s="120"/>
      <c r="DWG402" s="120"/>
      <c r="DWH402" s="120"/>
      <c r="DWI402" s="121"/>
      <c r="DWJ402" s="119"/>
      <c r="DWK402" s="120"/>
      <c r="DWL402" s="120"/>
      <c r="DWM402" s="120"/>
      <c r="DWN402" s="120"/>
      <c r="DWO402" s="120"/>
      <c r="DWP402" s="121"/>
      <c r="DWQ402" s="119"/>
      <c r="DWR402" s="120"/>
      <c r="DWS402" s="120"/>
      <c r="DWT402" s="120"/>
      <c r="DWU402" s="120"/>
      <c r="DWV402" s="120"/>
      <c r="DWW402" s="121"/>
      <c r="DWX402" s="119"/>
      <c r="DWY402" s="120"/>
      <c r="DWZ402" s="120"/>
      <c r="DXA402" s="120"/>
      <c r="DXB402" s="120"/>
      <c r="DXC402" s="120"/>
      <c r="DXD402" s="121"/>
      <c r="DXE402" s="119"/>
      <c r="DXF402" s="120"/>
      <c r="DXG402" s="120"/>
      <c r="DXH402" s="120"/>
      <c r="DXI402" s="120"/>
      <c r="DXJ402" s="120"/>
      <c r="DXK402" s="121"/>
      <c r="DXL402" s="119"/>
      <c r="DXM402" s="120"/>
      <c r="DXN402" s="120"/>
      <c r="DXO402" s="120"/>
      <c r="DXP402" s="120"/>
      <c r="DXQ402" s="120"/>
      <c r="DXR402" s="121"/>
      <c r="DXS402" s="119"/>
      <c r="DXT402" s="120"/>
      <c r="DXU402" s="120"/>
      <c r="DXV402" s="120"/>
      <c r="DXW402" s="120"/>
      <c r="DXX402" s="120"/>
      <c r="DXY402" s="121"/>
      <c r="DXZ402" s="119"/>
      <c r="DYA402" s="120"/>
      <c r="DYB402" s="120"/>
      <c r="DYC402" s="120"/>
      <c r="DYD402" s="120"/>
      <c r="DYE402" s="120"/>
      <c r="DYF402" s="121"/>
      <c r="DYG402" s="119"/>
      <c r="DYH402" s="120"/>
      <c r="DYI402" s="120"/>
      <c r="DYJ402" s="120"/>
      <c r="DYK402" s="120"/>
      <c r="DYL402" s="120"/>
      <c r="DYM402" s="121"/>
      <c r="DYN402" s="119"/>
      <c r="DYO402" s="120"/>
      <c r="DYP402" s="120"/>
      <c r="DYQ402" s="120"/>
      <c r="DYR402" s="120"/>
      <c r="DYS402" s="120"/>
      <c r="DYT402" s="121"/>
      <c r="DYU402" s="119"/>
      <c r="DYV402" s="120"/>
      <c r="DYW402" s="120"/>
      <c r="DYX402" s="120"/>
      <c r="DYY402" s="120"/>
      <c r="DYZ402" s="120"/>
      <c r="DZA402" s="121"/>
      <c r="DZB402" s="119"/>
      <c r="DZC402" s="120"/>
      <c r="DZD402" s="120"/>
      <c r="DZE402" s="120"/>
      <c r="DZF402" s="120"/>
      <c r="DZG402" s="120"/>
      <c r="DZH402" s="121"/>
      <c r="DZI402" s="119"/>
      <c r="DZJ402" s="120"/>
      <c r="DZK402" s="120"/>
      <c r="DZL402" s="120"/>
      <c r="DZM402" s="120"/>
      <c r="DZN402" s="120"/>
      <c r="DZO402" s="121"/>
      <c r="DZP402" s="119"/>
      <c r="DZQ402" s="120"/>
      <c r="DZR402" s="120"/>
      <c r="DZS402" s="120"/>
      <c r="DZT402" s="120"/>
      <c r="DZU402" s="120"/>
      <c r="DZV402" s="121"/>
      <c r="DZW402" s="119"/>
      <c r="DZX402" s="120"/>
      <c r="DZY402" s="120"/>
      <c r="DZZ402" s="120"/>
      <c r="EAA402" s="120"/>
      <c r="EAB402" s="120"/>
      <c r="EAC402" s="121"/>
      <c r="EAD402" s="119"/>
      <c r="EAE402" s="120"/>
      <c r="EAF402" s="120"/>
      <c r="EAG402" s="120"/>
      <c r="EAH402" s="120"/>
      <c r="EAI402" s="120"/>
      <c r="EAJ402" s="121"/>
      <c r="EAK402" s="119"/>
      <c r="EAL402" s="120"/>
      <c r="EAM402" s="120"/>
      <c r="EAN402" s="120"/>
      <c r="EAO402" s="120"/>
      <c r="EAP402" s="120"/>
      <c r="EAQ402" s="121"/>
      <c r="EAR402" s="119"/>
      <c r="EAS402" s="120"/>
      <c r="EAT402" s="120"/>
      <c r="EAU402" s="120"/>
      <c r="EAV402" s="120"/>
      <c r="EAW402" s="120"/>
      <c r="EAX402" s="121"/>
      <c r="EAY402" s="119"/>
      <c r="EAZ402" s="120"/>
      <c r="EBA402" s="120"/>
      <c r="EBB402" s="120"/>
      <c r="EBC402" s="120"/>
      <c r="EBD402" s="120"/>
      <c r="EBE402" s="121"/>
      <c r="EBF402" s="119"/>
      <c r="EBG402" s="120"/>
      <c r="EBH402" s="120"/>
      <c r="EBI402" s="120"/>
      <c r="EBJ402" s="120"/>
      <c r="EBK402" s="120"/>
      <c r="EBL402" s="121"/>
      <c r="EBM402" s="119"/>
      <c r="EBN402" s="120"/>
      <c r="EBO402" s="120"/>
      <c r="EBP402" s="120"/>
      <c r="EBQ402" s="120"/>
      <c r="EBR402" s="120"/>
      <c r="EBS402" s="121"/>
      <c r="EBT402" s="119"/>
      <c r="EBU402" s="120"/>
      <c r="EBV402" s="120"/>
      <c r="EBW402" s="120"/>
      <c r="EBX402" s="120"/>
      <c r="EBY402" s="120"/>
      <c r="EBZ402" s="121"/>
      <c r="ECA402" s="119"/>
      <c r="ECB402" s="120"/>
      <c r="ECC402" s="120"/>
      <c r="ECD402" s="120"/>
      <c r="ECE402" s="120"/>
      <c r="ECF402" s="120"/>
      <c r="ECG402" s="121"/>
      <c r="ECH402" s="119"/>
      <c r="ECI402" s="120"/>
      <c r="ECJ402" s="120"/>
      <c r="ECK402" s="120"/>
      <c r="ECL402" s="120"/>
      <c r="ECM402" s="120"/>
      <c r="ECN402" s="121"/>
      <c r="ECO402" s="119"/>
      <c r="ECP402" s="120"/>
      <c r="ECQ402" s="120"/>
      <c r="ECR402" s="120"/>
      <c r="ECS402" s="120"/>
      <c r="ECT402" s="120"/>
      <c r="ECU402" s="121"/>
      <c r="ECV402" s="119"/>
      <c r="ECW402" s="120"/>
      <c r="ECX402" s="120"/>
      <c r="ECY402" s="120"/>
      <c r="ECZ402" s="120"/>
      <c r="EDA402" s="120"/>
      <c r="EDB402" s="121"/>
      <c r="EDC402" s="119"/>
      <c r="EDD402" s="120"/>
      <c r="EDE402" s="120"/>
      <c r="EDF402" s="120"/>
      <c r="EDG402" s="120"/>
      <c r="EDH402" s="120"/>
      <c r="EDI402" s="121"/>
      <c r="EDJ402" s="119"/>
      <c r="EDK402" s="120"/>
      <c r="EDL402" s="120"/>
      <c r="EDM402" s="120"/>
      <c r="EDN402" s="120"/>
      <c r="EDO402" s="120"/>
      <c r="EDP402" s="121"/>
      <c r="EDQ402" s="119"/>
      <c r="EDR402" s="120"/>
      <c r="EDS402" s="120"/>
      <c r="EDT402" s="120"/>
      <c r="EDU402" s="120"/>
      <c r="EDV402" s="120"/>
      <c r="EDW402" s="121"/>
      <c r="EDX402" s="119"/>
      <c r="EDY402" s="120"/>
      <c r="EDZ402" s="120"/>
      <c r="EEA402" s="120"/>
      <c r="EEB402" s="120"/>
      <c r="EEC402" s="120"/>
      <c r="EED402" s="121"/>
      <c r="EEE402" s="119"/>
      <c r="EEF402" s="120"/>
      <c r="EEG402" s="120"/>
      <c r="EEH402" s="120"/>
      <c r="EEI402" s="120"/>
      <c r="EEJ402" s="120"/>
      <c r="EEK402" s="121"/>
      <c r="EEL402" s="119"/>
      <c r="EEM402" s="120"/>
      <c r="EEN402" s="120"/>
      <c r="EEO402" s="120"/>
      <c r="EEP402" s="120"/>
      <c r="EEQ402" s="120"/>
      <c r="EER402" s="121"/>
      <c r="EES402" s="119"/>
      <c r="EET402" s="120"/>
      <c r="EEU402" s="120"/>
      <c r="EEV402" s="120"/>
      <c r="EEW402" s="120"/>
      <c r="EEX402" s="120"/>
      <c r="EEY402" s="121"/>
      <c r="EEZ402" s="119"/>
      <c r="EFA402" s="120"/>
      <c r="EFB402" s="120"/>
      <c r="EFC402" s="120"/>
      <c r="EFD402" s="120"/>
      <c r="EFE402" s="120"/>
      <c r="EFF402" s="121"/>
      <c r="EFG402" s="119"/>
      <c r="EFH402" s="120"/>
      <c r="EFI402" s="120"/>
      <c r="EFJ402" s="120"/>
      <c r="EFK402" s="120"/>
      <c r="EFL402" s="120"/>
      <c r="EFM402" s="121"/>
      <c r="EFN402" s="119"/>
      <c r="EFO402" s="120"/>
      <c r="EFP402" s="120"/>
      <c r="EFQ402" s="120"/>
      <c r="EFR402" s="120"/>
      <c r="EFS402" s="120"/>
      <c r="EFT402" s="121"/>
      <c r="EFU402" s="119"/>
      <c r="EFV402" s="120"/>
      <c r="EFW402" s="120"/>
      <c r="EFX402" s="120"/>
      <c r="EFY402" s="120"/>
      <c r="EFZ402" s="120"/>
      <c r="EGA402" s="121"/>
      <c r="EGB402" s="119"/>
      <c r="EGC402" s="120"/>
      <c r="EGD402" s="120"/>
      <c r="EGE402" s="120"/>
      <c r="EGF402" s="120"/>
      <c r="EGG402" s="120"/>
      <c r="EGH402" s="121"/>
      <c r="EGI402" s="119"/>
      <c r="EGJ402" s="120"/>
      <c r="EGK402" s="120"/>
      <c r="EGL402" s="120"/>
      <c r="EGM402" s="120"/>
      <c r="EGN402" s="120"/>
      <c r="EGO402" s="121"/>
      <c r="EGP402" s="119"/>
      <c r="EGQ402" s="120"/>
      <c r="EGR402" s="120"/>
      <c r="EGS402" s="120"/>
      <c r="EGT402" s="120"/>
      <c r="EGU402" s="120"/>
      <c r="EGV402" s="121"/>
      <c r="EGW402" s="119"/>
      <c r="EGX402" s="120"/>
      <c r="EGY402" s="120"/>
      <c r="EGZ402" s="120"/>
      <c r="EHA402" s="120"/>
      <c r="EHB402" s="120"/>
      <c r="EHC402" s="121"/>
      <c r="EHD402" s="119"/>
      <c r="EHE402" s="120"/>
      <c r="EHF402" s="120"/>
      <c r="EHG402" s="120"/>
      <c r="EHH402" s="120"/>
      <c r="EHI402" s="120"/>
      <c r="EHJ402" s="121"/>
      <c r="EHK402" s="119"/>
      <c r="EHL402" s="120"/>
      <c r="EHM402" s="120"/>
      <c r="EHN402" s="120"/>
      <c r="EHO402" s="120"/>
      <c r="EHP402" s="120"/>
      <c r="EHQ402" s="121"/>
      <c r="EHR402" s="119"/>
      <c r="EHS402" s="120"/>
      <c r="EHT402" s="120"/>
      <c r="EHU402" s="120"/>
      <c r="EHV402" s="120"/>
      <c r="EHW402" s="120"/>
      <c r="EHX402" s="121"/>
      <c r="EHY402" s="119"/>
      <c r="EHZ402" s="120"/>
      <c r="EIA402" s="120"/>
      <c r="EIB402" s="120"/>
      <c r="EIC402" s="120"/>
      <c r="EID402" s="120"/>
      <c r="EIE402" s="121"/>
      <c r="EIF402" s="119"/>
      <c r="EIG402" s="120"/>
      <c r="EIH402" s="120"/>
      <c r="EII402" s="120"/>
      <c r="EIJ402" s="120"/>
      <c r="EIK402" s="120"/>
      <c r="EIL402" s="121"/>
      <c r="EIM402" s="119"/>
      <c r="EIN402" s="120"/>
      <c r="EIO402" s="120"/>
      <c r="EIP402" s="120"/>
      <c r="EIQ402" s="120"/>
      <c r="EIR402" s="120"/>
      <c r="EIS402" s="121"/>
      <c r="EIT402" s="119"/>
      <c r="EIU402" s="120"/>
      <c r="EIV402" s="120"/>
      <c r="EIW402" s="120"/>
      <c r="EIX402" s="120"/>
      <c r="EIY402" s="120"/>
      <c r="EIZ402" s="121"/>
      <c r="EJA402" s="119"/>
      <c r="EJB402" s="120"/>
      <c r="EJC402" s="120"/>
      <c r="EJD402" s="120"/>
      <c r="EJE402" s="120"/>
      <c r="EJF402" s="120"/>
      <c r="EJG402" s="121"/>
      <c r="EJH402" s="119"/>
      <c r="EJI402" s="120"/>
      <c r="EJJ402" s="120"/>
      <c r="EJK402" s="120"/>
      <c r="EJL402" s="120"/>
      <c r="EJM402" s="120"/>
      <c r="EJN402" s="121"/>
      <c r="EJO402" s="119"/>
      <c r="EJP402" s="120"/>
      <c r="EJQ402" s="120"/>
      <c r="EJR402" s="120"/>
      <c r="EJS402" s="120"/>
      <c r="EJT402" s="120"/>
      <c r="EJU402" s="121"/>
      <c r="EJV402" s="119"/>
      <c r="EJW402" s="120"/>
      <c r="EJX402" s="120"/>
      <c r="EJY402" s="120"/>
      <c r="EJZ402" s="120"/>
      <c r="EKA402" s="120"/>
      <c r="EKB402" s="121"/>
      <c r="EKC402" s="119"/>
      <c r="EKD402" s="120"/>
      <c r="EKE402" s="120"/>
      <c r="EKF402" s="120"/>
      <c r="EKG402" s="120"/>
      <c r="EKH402" s="120"/>
      <c r="EKI402" s="121"/>
      <c r="EKJ402" s="119"/>
      <c r="EKK402" s="120"/>
      <c r="EKL402" s="120"/>
      <c r="EKM402" s="120"/>
      <c r="EKN402" s="120"/>
      <c r="EKO402" s="120"/>
      <c r="EKP402" s="121"/>
      <c r="EKQ402" s="119"/>
      <c r="EKR402" s="120"/>
      <c r="EKS402" s="120"/>
      <c r="EKT402" s="120"/>
      <c r="EKU402" s="120"/>
      <c r="EKV402" s="120"/>
      <c r="EKW402" s="121"/>
      <c r="EKX402" s="119"/>
      <c r="EKY402" s="120"/>
      <c r="EKZ402" s="120"/>
      <c r="ELA402" s="120"/>
      <c r="ELB402" s="120"/>
      <c r="ELC402" s="120"/>
      <c r="ELD402" s="121"/>
      <c r="ELE402" s="119"/>
      <c r="ELF402" s="120"/>
      <c r="ELG402" s="120"/>
      <c r="ELH402" s="120"/>
      <c r="ELI402" s="120"/>
      <c r="ELJ402" s="120"/>
      <c r="ELK402" s="121"/>
      <c r="ELL402" s="119"/>
      <c r="ELM402" s="120"/>
      <c r="ELN402" s="120"/>
      <c r="ELO402" s="120"/>
      <c r="ELP402" s="120"/>
      <c r="ELQ402" s="120"/>
      <c r="ELR402" s="121"/>
      <c r="ELS402" s="119"/>
      <c r="ELT402" s="120"/>
      <c r="ELU402" s="120"/>
      <c r="ELV402" s="120"/>
      <c r="ELW402" s="120"/>
      <c r="ELX402" s="120"/>
      <c r="ELY402" s="121"/>
      <c r="ELZ402" s="119"/>
      <c r="EMA402" s="120"/>
      <c r="EMB402" s="120"/>
      <c r="EMC402" s="120"/>
      <c r="EMD402" s="120"/>
      <c r="EME402" s="120"/>
      <c r="EMF402" s="121"/>
      <c r="EMG402" s="119"/>
      <c r="EMH402" s="120"/>
      <c r="EMI402" s="120"/>
      <c r="EMJ402" s="120"/>
      <c r="EMK402" s="120"/>
      <c r="EML402" s="120"/>
      <c r="EMM402" s="121"/>
      <c r="EMN402" s="119"/>
      <c r="EMO402" s="120"/>
      <c r="EMP402" s="120"/>
      <c r="EMQ402" s="120"/>
      <c r="EMR402" s="120"/>
      <c r="EMS402" s="120"/>
      <c r="EMT402" s="121"/>
      <c r="EMU402" s="119"/>
      <c r="EMV402" s="120"/>
      <c r="EMW402" s="120"/>
      <c r="EMX402" s="120"/>
      <c r="EMY402" s="120"/>
      <c r="EMZ402" s="120"/>
      <c r="ENA402" s="121"/>
      <c r="ENB402" s="119"/>
      <c r="ENC402" s="120"/>
      <c r="END402" s="120"/>
      <c r="ENE402" s="120"/>
      <c r="ENF402" s="120"/>
      <c r="ENG402" s="120"/>
      <c r="ENH402" s="121"/>
      <c r="ENI402" s="119"/>
      <c r="ENJ402" s="120"/>
      <c r="ENK402" s="120"/>
      <c r="ENL402" s="120"/>
      <c r="ENM402" s="120"/>
      <c r="ENN402" s="120"/>
      <c r="ENO402" s="121"/>
      <c r="ENP402" s="119"/>
      <c r="ENQ402" s="120"/>
      <c r="ENR402" s="120"/>
      <c r="ENS402" s="120"/>
      <c r="ENT402" s="120"/>
      <c r="ENU402" s="120"/>
      <c r="ENV402" s="121"/>
      <c r="ENW402" s="119"/>
      <c r="ENX402" s="120"/>
      <c r="ENY402" s="120"/>
      <c r="ENZ402" s="120"/>
      <c r="EOA402" s="120"/>
      <c r="EOB402" s="120"/>
      <c r="EOC402" s="121"/>
      <c r="EOD402" s="119"/>
      <c r="EOE402" s="120"/>
      <c r="EOF402" s="120"/>
      <c r="EOG402" s="120"/>
      <c r="EOH402" s="120"/>
      <c r="EOI402" s="120"/>
      <c r="EOJ402" s="121"/>
      <c r="EOK402" s="119"/>
      <c r="EOL402" s="120"/>
      <c r="EOM402" s="120"/>
      <c r="EON402" s="120"/>
      <c r="EOO402" s="120"/>
      <c r="EOP402" s="120"/>
      <c r="EOQ402" s="121"/>
      <c r="EOR402" s="119"/>
      <c r="EOS402" s="120"/>
      <c r="EOT402" s="120"/>
      <c r="EOU402" s="120"/>
      <c r="EOV402" s="120"/>
      <c r="EOW402" s="120"/>
      <c r="EOX402" s="121"/>
      <c r="EOY402" s="119"/>
      <c r="EOZ402" s="120"/>
      <c r="EPA402" s="120"/>
      <c r="EPB402" s="120"/>
      <c r="EPC402" s="120"/>
      <c r="EPD402" s="120"/>
      <c r="EPE402" s="121"/>
      <c r="EPF402" s="119"/>
      <c r="EPG402" s="120"/>
      <c r="EPH402" s="120"/>
      <c r="EPI402" s="120"/>
      <c r="EPJ402" s="120"/>
      <c r="EPK402" s="120"/>
      <c r="EPL402" s="121"/>
      <c r="EPM402" s="119"/>
      <c r="EPN402" s="120"/>
      <c r="EPO402" s="120"/>
      <c r="EPP402" s="120"/>
      <c r="EPQ402" s="120"/>
      <c r="EPR402" s="120"/>
      <c r="EPS402" s="121"/>
      <c r="EPT402" s="119"/>
      <c r="EPU402" s="120"/>
      <c r="EPV402" s="120"/>
      <c r="EPW402" s="120"/>
      <c r="EPX402" s="120"/>
      <c r="EPY402" s="120"/>
      <c r="EPZ402" s="121"/>
      <c r="EQA402" s="119"/>
      <c r="EQB402" s="120"/>
      <c r="EQC402" s="120"/>
      <c r="EQD402" s="120"/>
      <c r="EQE402" s="120"/>
      <c r="EQF402" s="120"/>
      <c r="EQG402" s="121"/>
      <c r="EQH402" s="119"/>
      <c r="EQI402" s="120"/>
      <c r="EQJ402" s="120"/>
      <c r="EQK402" s="120"/>
      <c r="EQL402" s="120"/>
      <c r="EQM402" s="120"/>
      <c r="EQN402" s="121"/>
      <c r="EQO402" s="119"/>
      <c r="EQP402" s="120"/>
      <c r="EQQ402" s="120"/>
      <c r="EQR402" s="120"/>
      <c r="EQS402" s="120"/>
      <c r="EQT402" s="120"/>
      <c r="EQU402" s="121"/>
      <c r="EQV402" s="119"/>
      <c r="EQW402" s="120"/>
      <c r="EQX402" s="120"/>
      <c r="EQY402" s="120"/>
      <c r="EQZ402" s="120"/>
      <c r="ERA402" s="120"/>
      <c r="ERB402" s="121"/>
      <c r="ERC402" s="119"/>
      <c r="ERD402" s="120"/>
      <c r="ERE402" s="120"/>
      <c r="ERF402" s="120"/>
      <c r="ERG402" s="120"/>
      <c r="ERH402" s="120"/>
      <c r="ERI402" s="121"/>
      <c r="ERJ402" s="119"/>
      <c r="ERK402" s="120"/>
      <c r="ERL402" s="120"/>
      <c r="ERM402" s="120"/>
      <c r="ERN402" s="120"/>
      <c r="ERO402" s="120"/>
      <c r="ERP402" s="121"/>
      <c r="ERQ402" s="119"/>
      <c r="ERR402" s="120"/>
      <c r="ERS402" s="120"/>
      <c r="ERT402" s="120"/>
      <c r="ERU402" s="120"/>
      <c r="ERV402" s="120"/>
      <c r="ERW402" s="121"/>
      <c r="ERX402" s="119"/>
      <c r="ERY402" s="120"/>
      <c r="ERZ402" s="120"/>
      <c r="ESA402" s="120"/>
      <c r="ESB402" s="120"/>
      <c r="ESC402" s="120"/>
      <c r="ESD402" s="121"/>
      <c r="ESE402" s="119"/>
      <c r="ESF402" s="120"/>
      <c r="ESG402" s="120"/>
      <c r="ESH402" s="120"/>
      <c r="ESI402" s="120"/>
      <c r="ESJ402" s="120"/>
      <c r="ESK402" s="121"/>
      <c r="ESL402" s="119"/>
      <c r="ESM402" s="120"/>
      <c r="ESN402" s="120"/>
      <c r="ESO402" s="120"/>
      <c r="ESP402" s="120"/>
      <c r="ESQ402" s="120"/>
      <c r="ESR402" s="121"/>
      <c r="ESS402" s="119"/>
      <c r="EST402" s="120"/>
      <c r="ESU402" s="120"/>
      <c r="ESV402" s="120"/>
      <c r="ESW402" s="120"/>
      <c r="ESX402" s="120"/>
      <c r="ESY402" s="121"/>
      <c r="ESZ402" s="119"/>
      <c r="ETA402" s="120"/>
      <c r="ETB402" s="120"/>
      <c r="ETC402" s="120"/>
      <c r="ETD402" s="120"/>
      <c r="ETE402" s="120"/>
      <c r="ETF402" s="121"/>
      <c r="ETG402" s="119"/>
      <c r="ETH402" s="120"/>
      <c r="ETI402" s="120"/>
      <c r="ETJ402" s="120"/>
      <c r="ETK402" s="120"/>
      <c r="ETL402" s="120"/>
      <c r="ETM402" s="121"/>
      <c r="ETN402" s="119"/>
      <c r="ETO402" s="120"/>
      <c r="ETP402" s="120"/>
      <c r="ETQ402" s="120"/>
      <c r="ETR402" s="120"/>
      <c r="ETS402" s="120"/>
      <c r="ETT402" s="121"/>
      <c r="ETU402" s="119"/>
      <c r="ETV402" s="120"/>
      <c r="ETW402" s="120"/>
      <c r="ETX402" s="120"/>
      <c r="ETY402" s="120"/>
      <c r="ETZ402" s="120"/>
      <c r="EUA402" s="121"/>
      <c r="EUB402" s="119"/>
      <c r="EUC402" s="120"/>
      <c r="EUD402" s="120"/>
      <c r="EUE402" s="120"/>
      <c r="EUF402" s="120"/>
      <c r="EUG402" s="120"/>
      <c r="EUH402" s="121"/>
      <c r="EUI402" s="119"/>
      <c r="EUJ402" s="120"/>
      <c r="EUK402" s="120"/>
      <c r="EUL402" s="120"/>
      <c r="EUM402" s="120"/>
      <c r="EUN402" s="120"/>
      <c r="EUO402" s="121"/>
      <c r="EUP402" s="119"/>
      <c r="EUQ402" s="120"/>
      <c r="EUR402" s="120"/>
      <c r="EUS402" s="120"/>
      <c r="EUT402" s="120"/>
      <c r="EUU402" s="120"/>
      <c r="EUV402" s="121"/>
      <c r="EUW402" s="119"/>
      <c r="EUX402" s="120"/>
      <c r="EUY402" s="120"/>
      <c r="EUZ402" s="120"/>
      <c r="EVA402" s="120"/>
      <c r="EVB402" s="120"/>
      <c r="EVC402" s="121"/>
      <c r="EVD402" s="119"/>
      <c r="EVE402" s="120"/>
      <c r="EVF402" s="120"/>
      <c r="EVG402" s="120"/>
      <c r="EVH402" s="120"/>
      <c r="EVI402" s="120"/>
      <c r="EVJ402" s="121"/>
      <c r="EVK402" s="119"/>
      <c r="EVL402" s="120"/>
      <c r="EVM402" s="120"/>
      <c r="EVN402" s="120"/>
      <c r="EVO402" s="120"/>
      <c r="EVP402" s="120"/>
      <c r="EVQ402" s="121"/>
      <c r="EVR402" s="119"/>
      <c r="EVS402" s="120"/>
      <c r="EVT402" s="120"/>
      <c r="EVU402" s="120"/>
      <c r="EVV402" s="120"/>
      <c r="EVW402" s="120"/>
      <c r="EVX402" s="121"/>
      <c r="EVY402" s="119"/>
      <c r="EVZ402" s="120"/>
      <c r="EWA402" s="120"/>
      <c r="EWB402" s="120"/>
      <c r="EWC402" s="120"/>
      <c r="EWD402" s="120"/>
      <c r="EWE402" s="121"/>
      <c r="EWF402" s="119"/>
      <c r="EWG402" s="120"/>
      <c r="EWH402" s="120"/>
      <c r="EWI402" s="120"/>
      <c r="EWJ402" s="120"/>
      <c r="EWK402" s="120"/>
      <c r="EWL402" s="121"/>
      <c r="EWM402" s="119"/>
      <c r="EWN402" s="120"/>
      <c r="EWO402" s="120"/>
      <c r="EWP402" s="120"/>
      <c r="EWQ402" s="120"/>
      <c r="EWR402" s="120"/>
      <c r="EWS402" s="121"/>
      <c r="EWT402" s="119"/>
      <c r="EWU402" s="120"/>
      <c r="EWV402" s="120"/>
      <c r="EWW402" s="120"/>
      <c r="EWX402" s="120"/>
      <c r="EWY402" s="120"/>
      <c r="EWZ402" s="121"/>
      <c r="EXA402" s="119"/>
      <c r="EXB402" s="120"/>
      <c r="EXC402" s="120"/>
      <c r="EXD402" s="120"/>
      <c r="EXE402" s="120"/>
      <c r="EXF402" s="120"/>
      <c r="EXG402" s="121"/>
      <c r="EXH402" s="119"/>
      <c r="EXI402" s="120"/>
      <c r="EXJ402" s="120"/>
      <c r="EXK402" s="120"/>
      <c r="EXL402" s="120"/>
      <c r="EXM402" s="120"/>
      <c r="EXN402" s="121"/>
      <c r="EXO402" s="119"/>
      <c r="EXP402" s="120"/>
      <c r="EXQ402" s="120"/>
      <c r="EXR402" s="120"/>
      <c r="EXS402" s="120"/>
      <c r="EXT402" s="120"/>
      <c r="EXU402" s="121"/>
      <c r="EXV402" s="119"/>
      <c r="EXW402" s="120"/>
      <c r="EXX402" s="120"/>
      <c r="EXY402" s="120"/>
      <c r="EXZ402" s="120"/>
      <c r="EYA402" s="120"/>
      <c r="EYB402" s="121"/>
      <c r="EYC402" s="119"/>
      <c r="EYD402" s="120"/>
      <c r="EYE402" s="120"/>
      <c r="EYF402" s="120"/>
      <c r="EYG402" s="120"/>
      <c r="EYH402" s="120"/>
      <c r="EYI402" s="121"/>
      <c r="EYJ402" s="119"/>
      <c r="EYK402" s="120"/>
      <c r="EYL402" s="120"/>
      <c r="EYM402" s="120"/>
      <c r="EYN402" s="120"/>
      <c r="EYO402" s="120"/>
      <c r="EYP402" s="121"/>
      <c r="EYQ402" s="119"/>
      <c r="EYR402" s="120"/>
      <c r="EYS402" s="120"/>
      <c r="EYT402" s="120"/>
      <c r="EYU402" s="120"/>
      <c r="EYV402" s="120"/>
      <c r="EYW402" s="121"/>
      <c r="EYX402" s="119"/>
      <c r="EYY402" s="120"/>
      <c r="EYZ402" s="120"/>
      <c r="EZA402" s="120"/>
      <c r="EZB402" s="120"/>
      <c r="EZC402" s="120"/>
      <c r="EZD402" s="121"/>
      <c r="EZE402" s="119"/>
      <c r="EZF402" s="120"/>
      <c r="EZG402" s="120"/>
      <c r="EZH402" s="120"/>
      <c r="EZI402" s="120"/>
      <c r="EZJ402" s="120"/>
      <c r="EZK402" s="121"/>
      <c r="EZL402" s="119"/>
      <c r="EZM402" s="120"/>
      <c r="EZN402" s="120"/>
      <c r="EZO402" s="120"/>
      <c r="EZP402" s="120"/>
      <c r="EZQ402" s="120"/>
      <c r="EZR402" s="121"/>
      <c r="EZS402" s="119"/>
      <c r="EZT402" s="120"/>
      <c r="EZU402" s="120"/>
      <c r="EZV402" s="120"/>
      <c r="EZW402" s="120"/>
      <c r="EZX402" s="120"/>
      <c r="EZY402" s="121"/>
      <c r="EZZ402" s="119"/>
      <c r="FAA402" s="120"/>
      <c r="FAB402" s="120"/>
      <c r="FAC402" s="120"/>
      <c r="FAD402" s="120"/>
      <c r="FAE402" s="120"/>
      <c r="FAF402" s="121"/>
      <c r="FAG402" s="119"/>
      <c r="FAH402" s="120"/>
      <c r="FAI402" s="120"/>
      <c r="FAJ402" s="120"/>
      <c r="FAK402" s="120"/>
      <c r="FAL402" s="120"/>
      <c r="FAM402" s="121"/>
      <c r="FAN402" s="119"/>
      <c r="FAO402" s="120"/>
      <c r="FAP402" s="120"/>
      <c r="FAQ402" s="120"/>
      <c r="FAR402" s="120"/>
      <c r="FAS402" s="120"/>
      <c r="FAT402" s="121"/>
      <c r="FAU402" s="119"/>
      <c r="FAV402" s="120"/>
      <c r="FAW402" s="120"/>
      <c r="FAX402" s="120"/>
      <c r="FAY402" s="120"/>
      <c r="FAZ402" s="120"/>
      <c r="FBA402" s="121"/>
      <c r="FBB402" s="119"/>
      <c r="FBC402" s="120"/>
      <c r="FBD402" s="120"/>
      <c r="FBE402" s="120"/>
      <c r="FBF402" s="120"/>
      <c r="FBG402" s="120"/>
      <c r="FBH402" s="121"/>
      <c r="FBI402" s="119"/>
      <c r="FBJ402" s="120"/>
      <c r="FBK402" s="120"/>
      <c r="FBL402" s="120"/>
      <c r="FBM402" s="120"/>
      <c r="FBN402" s="120"/>
      <c r="FBO402" s="121"/>
      <c r="FBP402" s="119"/>
      <c r="FBQ402" s="120"/>
      <c r="FBR402" s="120"/>
      <c r="FBS402" s="120"/>
      <c r="FBT402" s="120"/>
      <c r="FBU402" s="120"/>
      <c r="FBV402" s="121"/>
      <c r="FBW402" s="119"/>
      <c r="FBX402" s="120"/>
      <c r="FBY402" s="120"/>
      <c r="FBZ402" s="120"/>
      <c r="FCA402" s="120"/>
      <c r="FCB402" s="120"/>
      <c r="FCC402" s="121"/>
      <c r="FCD402" s="119"/>
      <c r="FCE402" s="120"/>
      <c r="FCF402" s="120"/>
      <c r="FCG402" s="120"/>
      <c r="FCH402" s="120"/>
      <c r="FCI402" s="120"/>
      <c r="FCJ402" s="121"/>
      <c r="FCK402" s="119"/>
      <c r="FCL402" s="120"/>
      <c r="FCM402" s="120"/>
      <c r="FCN402" s="120"/>
      <c r="FCO402" s="120"/>
      <c r="FCP402" s="120"/>
      <c r="FCQ402" s="121"/>
      <c r="FCR402" s="119"/>
      <c r="FCS402" s="120"/>
      <c r="FCT402" s="120"/>
      <c r="FCU402" s="120"/>
      <c r="FCV402" s="120"/>
      <c r="FCW402" s="120"/>
      <c r="FCX402" s="121"/>
      <c r="FCY402" s="119"/>
      <c r="FCZ402" s="120"/>
      <c r="FDA402" s="120"/>
      <c r="FDB402" s="120"/>
      <c r="FDC402" s="120"/>
      <c r="FDD402" s="120"/>
      <c r="FDE402" s="121"/>
      <c r="FDF402" s="119"/>
      <c r="FDG402" s="120"/>
      <c r="FDH402" s="120"/>
      <c r="FDI402" s="120"/>
      <c r="FDJ402" s="120"/>
      <c r="FDK402" s="120"/>
      <c r="FDL402" s="121"/>
      <c r="FDM402" s="119"/>
      <c r="FDN402" s="120"/>
      <c r="FDO402" s="120"/>
      <c r="FDP402" s="120"/>
      <c r="FDQ402" s="120"/>
      <c r="FDR402" s="120"/>
      <c r="FDS402" s="121"/>
      <c r="FDT402" s="119"/>
      <c r="FDU402" s="120"/>
      <c r="FDV402" s="120"/>
      <c r="FDW402" s="120"/>
      <c r="FDX402" s="120"/>
      <c r="FDY402" s="120"/>
      <c r="FDZ402" s="121"/>
      <c r="FEA402" s="119"/>
      <c r="FEB402" s="120"/>
      <c r="FEC402" s="120"/>
      <c r="FED402" s="120"/>
      <c r="FEE402" s="120"/>
      <c r="FEF402" s="120"/>
      <c r="FEG402" s="121"/>
      <c r="FEH402" s="119"/>
      <c r="FEI402" s="120"/>
      <c r="FEJ402" s="120"/>
      <c r="FEK402" s="120"/>
      <c r="FEL402" s="120"/>
      <c r="FEM402" s="120"/>
      <c r="FEN402" s="121"/>
      <c r="FEO402" s="119"/>
      <c r="FEP402" s="120"/>
      <c r="FEQ402" s="120"/>
      <c r="FER402" s="120"/>
      <c r="FES402" s="120"/>
      <c r="FET402" s="120"/>
      <c r="FEU402" s="121"/>
      <c r="FEV402" s="119"/>
      <c r="FEW402" s="120"/>
      <c r="FEX402" s="120"/>
      <c r="FEY402" s="120"/>
      <c r="FEZ402" s="120"/>
      <c r="FFA402" s="120"/>
      <c r="FFB402" s="121"/>
      <c r="FFC402" s="119"/>
      <c r="FFD402" s="120"/>
      <c r="FFE402" s="120"/>
      <c r="FFF402" s="120"/>
      <c r="FFG402" s="120"/>
      <c r="FFH402" s="120"/>
      <c r="FFI402" s="121"/>
      <c r="FFJ402" s="119"/>
      <c r="FFK402" s="120"/>
      <c r="FFL402" s="120"/>
      <c r="FFM402" s="120"/>
      <c r="FFN402" s="120"/>
      <c r="FFO402" s="120"/>
      <c r="FFP402" s="121"/>
      <c r="FFQ402" s="119"/>
      <c r="FFR402" s="120"/>
      <c r="FFS402" s="120"/>
      <c r="FFT402" s="120"/>
      <c r="FFU402" s="120"/>
      <c r="FFV402" s="120"/>
      <c r="FFW402" s="121"/>
      <c r="FFX402" s="119"/>
      <c r="FFY402" s="120"/>
      <c r="FFZ402" s="120"/>
      <c r="FGA402" s="120"/>
      <c r="FGB402" s="120"/>
      <c r="FGC402" s="120"/>
      <c r="FGD402" s="121"/>
      <c r="FGE402" s="119"/>
      <c r="FGF402" s="120"/>
      <c r="FGG402" s="120"/>
      <c r="FGH402" s="120"/>
      <c r="FGI402" s="120"/>
      <c r="FGJ402" s="120"/>
      <c r="FGK402" s="121"/>
      <c r="FGL402" s="119"/>
      <c r="FGM402" s="120"/>
      <c r="FGN402" s="120"/>
      <c r="FGO402" s="120"/>
      <c r="FGP402" s="120"/>
      <c r="FGQ402" s="120"/>
      <c r="FGR402" s="121"/>
      <c r="FGS402" s="119"/>
      <c r="FGT402" s="120"/>
      <c r="FGU402" s="120"/>
      <c r="FGV402" s="120"/>
      <c r="FGW402" s="120"/>
      <c r="FGX402" s="120"/>
      <c r="FGY402" s="121"/>
      <c r="FGZ402" s="119"/>
      <c r="FHA402" s="120"/>
      <c r="FHB402" s="120"/>
      <c r="FHC402" s="120"/>
      <c r="FHD402" s="120"/>
      <c r="FHE402" s="120"/>
      <c r="FHF402" s="121"/>
      <c r="FHG402" s="119"/>
      <c r="FHH402" s="120"/>
      <c r="FHI402" s="120"/>
      <c r="FHJ402" s="120"/>
      <c r="FHK402" s="120"/>
      <c r="FHL402" s="120"/>
      <c r="FHM402" s="121"/>
      <c r="FHN402" s="119"/>
      <c r="FHO402" s="120"/>
      <c r="FHP402" s="120"/>
      <c r="FHQ402" s="120"/>
      <c r="FHR402" s="120"/>
      <c r="FHS402" s="120"/>
      <c r="FHT402" s="121"/>
      <c r="FHU402" s="119"/>
      <c r="FHV402" s="120"/>
      <c r="FHW402" s="120"/>
      <c r="FHX402" s="120"/>
      <c r="FHY402" s="120"/>
      <c r="FHZ402" s="120"/>
      <c r="FIA402" s="121"/>
      <c r="FIB402" s="119"/>
      <c r="FIC402" s="120"/>
      <c r="FID402" s="120"/>
      <c r="FIE402" s="120"/>
      <c r="FIF402" s="120"/>
      <c r="FIG402" s="120"/>
      <c r="FIH402" s="121"/>
      <c r="FII402" s="119"/>
      <c r="FIJ402" s="120"/>
      <c r="FIK402" s="120"/>
      <c r="FIL402" s="120"/>
      <c r="FIM402" s="120"/>
      <c r="FIN402" s="120"/>
      <c r="FIO402" s="121"/>
      <c r="FIP402" s="119"/>
      <c r="FIQ402" s="120"/>
      <c r="FIR402" s="120"/>
      <c r="FIS402" s="120"/>
      <c r="FIT402" s="120"/>
      <c r="FIU402" s="120"/>
      <c r="FIV402" s="121"/>
      <c r="FIW402" s="119"/>
      <c r="FIX402" s="120"/>
      <c r="FIY402" s="120"/>
      <c r="FIZ402" s="120"/>
      <c r="FJA402" s="120"/>
      <c r="FJB402" s="120"/>
      <c r="FJC402" s="121"/>
      <c r="FJD402" s="119"/>
      <c r="FJE402" s="120"/>
      <c r="FJF402" s="120"/>
      <c r="FJG402" s="120"/>
      <c r="FJH402" s="120"/>
      <c r="FJI402" s="120"/>
      <c r="FJJ402" s="121"/>
      <c r="FJK402" s="119"/>
      <c r="FJL402" s="120"/>
      <c r="FJM402" s="120"/>
      <c r="FJN402" s="120"/>
      <c r="FJO402" s="120"/>
      <c r="FJP402" s="120"/>
      <c r="FJQ402" s="121"/>
      <c r="FJR402" s="119"/>
      <c r="FJS402" s="120"/>
      <c r="FJT402" s="120"/>
      <c r="FJU402" s="120"/>
      <c r="FJV402" s="120"/>
      <c r="FJW402" s="120"/>
      <c r="FJX402" s="121"/>
      <c r="FJY402" s="119"/>
      <c r="FJZ402" s="120"/>
      <c r="FKA402" s="120"/>
      <c r="FKB402" s="120"/>
      <c r="FKC402" s="120"/>
      <c r="FKD402" s="120"/>
      <c r="FKE402" s="121"/>
      <c r="FKF402" s="119"/>
      <c r="FKG402" s="120"/>
      <c r="FKH402" s="120"/>
      <c r="FKI402" s="120"/>
      <c r="FKJ402" s="120"/>
      <c r="FKK402" s="120"/>
      <c r="FKL402" s="121"/>
      <c r="FKM402" s="119"/>
      <c r="FKN402" s="120"/>
      <c r="FKO402" s="120"/>
      <c r="FKP402" s="120"/>
      <c r="FKQ402" s="120"/>
      <c r="FKR402" s="120"/>
      <c r="FKS402" s="121"/>
      <c r="FKT402" s="119"/>
      <c r="FKU402" s="120"/>
      <c r="FKV402" s="120"/>
      <c r="FKW402" s="120"/>
      <c r="FKX402" s="120"/>
      <c r="FKY402" s="120"/>
      <c r="FKZ402" s="121"/>
      <c r="FLA402" s="119"/>
      <c r="FLB402" s="120"/>
      <c r="FLC402" s="120"/>
      <c r="FLD402" s="120"/>
      <c r="FLE402" s="120"/>
      <c r="FLF402" s="120"/>
      <c r="FLG402" s="121"/>
      <c r="FLH402" s="119"/>
      <c r="FLI402" s="120"/>
      <c r="FLJ402" s="120"/>
      <c r="FLK402" s="120"/>
      <c r="FLL402" s="120"/>
      <c r="FLM402" s="120"/>
      <c r="FLN402" s="121"/>
      <c r="FLO402" s="119"/>
      <c r="FLP402" s="120"/>
      <c r="FLQ402" s="120"/>
      <c r="FLR402" s="120"/>
      <c r="FLS402" s="120"/>
      <c r="FLT402" s="120"/>
      <c r="FLU402" s="121"/>
      <c r="FLV402" s="119"/>
      <c r="FLW402" s="120"/>
      <c r="FLX402" s="120"/>
      <c r="FLY402" s="120"/>
      <c r="FLZ402" s="120"/>
      <c r="FMA402" s="120"/>
      <c r="FMB402" s="121"/>
      <c r="FMC402" s="119"/>
      <c r="FMD402" s="120"/>
      <c r="FME402" s="120"/>
      <c r="FMF402" s="120"/>
      <c r="FMG402" s="120"/>
      <c r="FMH402" s="120"/>
      <c r="FMI402" s="121"/>
      <c r="FMJ402" s="119"/>
      <c r="FMK402" s="120"/>
      <c r="FML402" s="120"/>
      <c r="FMM402" s="120"/>
      <c r="FMN402" s="120"/>
      <c r="FMO402" s="120"/>
      <c r="FMP402" s="121"/>
      <c r="FMQ402" s="119"/>
      <c r="FMR402" s="120"/>
      <c r="FMS402" s="120"/>
      <c r="FMT402" s="120"/>
      <c r="FMU402" s="120"/>
      <c r="FMV402" s="120"/>
      <c r="FMW402" s="121"/>
      <c r="FMX402" s="119"/>
      <c r="FMY402" s="120"/>
      <c r="FMZ402" s="120"/>
      <c r="FNA402" s="120"/>
      <c r="FNB402" s="120"/>
      <c r="FNC402" s="120"/>
      <c r="FND402" s="121"/>
      <c r="FNE402" s="119"/>
      <c r="FNF402" s="120"/>
      <c r="FNG402" s="120"/>
      <c r="FNH402" s="120"/>
      <c r="FNI402" s="120"/>
      <c r="FNJ402" s="120"/>
      <c r="FNK402" s="121"/>
      <c r="FNL402" s="119"/>
      <c r="FNM402" s="120"/>
      <c r="FNN402" s="120"/>
      <c r="FNO402" s="120"/>
      <c r="FNP402" s="120"/>
      <c r="FNQ402" s="120"/>
      <c r="FNR402" s="121"/>
      <c r="FNS402" s="119"/>
      <c r="FNT402" s="120"/>
      <c r="FNU402" s="120"/>
      <c r="FNV402" s="120"/>
      <c r="FNW402" s="120"/>
      <c r="FNX402" s="120"/>
      <c r="FNY402" s="121"/>
      <c r="FNZ402" s="119"/>
      <c r="FOA402" s="120"/>
      <c r="FOB402" s="120"/>
      <c r="FOC402" s="120"/>
      <c r="FOD402" s="120"/>
      <c r="FOE402" s="120"/>
      <c r="FOF402" s="121"/>
      <c r="FOG402" s="119"/>
      <c r="FOH402" s="120"/>
      <c r="FOI402" s="120"/>
      <c r="FOJ402" s="120"/>
      <c r="FOK402" s="120"/>
      <c r="FOL402" s="120"/>
      <c r="FOM402" s="121"/>
      <c r="FON402" s="119"/>
      <c r="FOO402" s="120"/>
      <c r="FOP402" s="120"/>
      <c r="FOQ402" s="120"/>
      <c r="FOR402" s="120"/>
      <c r="FOS402" s="120"/>
      <c r="FOT402" s="121"/>
      <c r="FOU402" s="119"/>
      <c r="FOV402" s="120"/>
      <c r="FOW402" s="120"/>
      <c r="FOX402" s="120"/>
      <c r="FOY402" s="120"/>
      <c r="FOZ402" s="120"/>
      <c r="FPA402" s="121"/>
      <c r="FPB402" s="119"/>
      <c r="FPC402" s="120"/>
      <c r="FPD402" s="120"/>
      <c r="FPE402" s="120"/>
      <c r="FPF402" s="120"/>
      <c r="FPG402" s="120"/>
      <c r="FPH402" s="121"/>
      <c r="FPI402" s="119"/>
      <c r="FPJ402" s="120"/>
      <c r="FPK402" s="120"/>
      <c r="FPL402" s="120"/>
      <c r="FPM402" s="120"/>
      <c r="FPN402" s="120"/>
      <c r="FPO402" s="121"/>
      <c r="FPP402" s="119"/>
      <c r="FPQ402" s="120"/>
      <c r="FPR402" s="120"/>
      <c r="FPS402" s="120"/>
      <c r="FPT402" s="120"/>
      <c r="FPU402" s="120"/>
      <c r="FPV402" s="121"/>
      <c r="FPW402" s="119"/>
      <c r="FPX402" s="120"/>
      <c r="FPY402" s="120"/>
      <c r="FPZ402" s="120"/>
      <c r="FQA402" s="120"/>
      <c r="FQB402" s="120"/>
      <c r="FQC402" s="121"/>
      <c r="FQD402" s="119"/>
      <c r="FQE402" s="120"/>
      <c r="FQF402" s="120"/>
      <c r="FQG402" s="120"/>
      <c r="FQH402" s="120"/>
      <c r="FQI402" s="120"/>
      <c r="FQJ402" s="121"/>
      <c r="FQK402" s="119"/>
      <c r="FQL402" s="120"/>
      <c r="FQM402" s="120"/>
      <c r="FQN402" s="120"/>
      <c r="FQO402" s="120"/>
      <c r="FQP402" s="120"/>
      <c r="FQQ402" s="121"/>
      <c r="FQR402" s="119"/>
      <c r="FQS402" s="120"/>
      <c r="FQT402" s="120"/>
      <c r="FQU402" s="120"/>
      <c r="FQV402" s="120"/>
      <c r="FQW402" s="120"/>
      <c r="FQX402" s="121"/>
      <c r="FQY402" s="119"/>
      <c r="FQZ402" s="120"/>
      <c r="FRA402" s="120"/>
      <c r="FRB402" s="120"/>
      <c r="FRC402" s="120"/>
      <c r="FRD402" s="120"/>
      <c r="FRE402" s="121"/>
      <c r="FRF402" s="119"/>
      <c r="FRG402" s="120"/>
      <c r="FRH402" s="120"/>
      <c r="FRI402" s="120"/>
      <c r="FRJ402" s="120"/>
      <c r="FRK402" s="120"/>
      <c r="FRL402" s="121"/>
      <c r="FRM402" s="119"/>
      <c r="FRN402" s="120"/>
      <c r="FRO402" s="120"/>
      <c r="FRP402" s="120"/>
      <c r="FRQ402" s="120"/>
      <c r="FRR402" s="120"/>
      <c r="FRS402" s="121"/>
      <c r="FRT402" s="119"/>
      <c r="FRU402" s="120"/>
      <c r="FRV402" s="120"/>
      <c r="FRW402" s="120"/>
      <c r="FRX402" s="120"/>
      <c r="FRY402" s="120"/>
      <c r="FRZ402" s="121"/>
      <c r="FSA402" s="119"/>
      <c r="FSB402" s="120"/>
      <c r="FSC402" s="120"/>
      <c r="FSD402" s="120"/>
      <c r="FSE402" s="120"/>
      <c r="FSF402" s="120"/>
      <c r="FSG402" s="121"/>
      <c r="FSH402" s="119"/>
      <c r="FSI402" s="120"/>
      <c r="FSJ402" s="120"/>
      <c r="FSK402" s="120"/>
      <c r="FSL402" s="120"/>
      <c r="FSM402" s="120"/>
      <c r="FSN402" s="121"/>
      <c r="FSO402" s="119"/>
      <c r="FSP402" s="120"/>
      <c r="FSQ402" s="120"/>
      <c r="FSR402" s="120"/>
      <c r="FSS402" s="120"/>
      <c r="FST402" s="120"/>
      <c r="FSU402" s="121"/>
      <c r="FSV402" s="119"/>
      <c r="FSW402" s="120"/>
      <c r="FSX402" s="120"/>
      <c r="FSY402" s="120"/>
      <c r="FSZ402" s="120"/>
      <c r="FTA402" s="120"/>
      <c r="FTB402" s="121"/>
      <c r="FTC402" s="119"/>
      <c r="FTD402" s="120"/>
      <c r="FTE402" s="120"/>
      <c r="FTF402" s="120"/>
      <c r="FTG402" s="120"/>
      <c r="FTH402" s="120"/>
      <c r="FTI402" s="121"/>
      <c r="FTJ402" s="119"/>
      <c r="FTK402" s="120"/>
      <c r="FTL402" s="120"/>
      <c r="FTM402" s="120"/>
      <c r="FTN402" s="120"/>
      <c r="FTO402" s="120"/>
      <c r="FTP402" s="121"/>
      <c r="FTQ402" s="119"/>
      <c r="FTR402" s="120"/>
      <c r="FTS402" s="120"/>
      <c r="FTT402" s="120"/>
      <c r="FTU402" s="120"/>
      <c r="FTV402" s="120"/>
      <c r="FTW402" s="121"/>
      <c r="FTX402" s="119"/>
      <c r="FTY402" s="120"/>
      <c r="FTZ402" s="120"/>
      <c r="FUA402" s="120"/>
      <c r="FUB402" s="120"/>
      <c r="FUC402" s="120"/>
      <c r="FUD402" s="121"/>
      <c r="FUE402" s="119"/>
      <c r="FUF402" s="120"/>
      <c r="FUG402" s="120"/>
      <c r="FUH402" s="120"/>
      <c r="FUI402" s="120"/>
      <c r="FUJ402" s="120"/>
      <c r="FUK402" s="121"/>
      <c r="FUL402" s="119"/>
      <c r="FUM402" s="120"/>
      <c r="FUN402" s="120"/>
      <c r="FUO402" s="120"/>
      <c r="FUP402" s="120"/>
      <c r="FUQ402" s="120"/>
      <c r="FUR402" s="121"/>
      <c r="FUS402" s="119"/>
      <c r="FUT402" s="120"/>
      <c r="FUU402" s="120"/>
      <c r="FUV402" s="120"/>
      <c r="FUW402" s="120"/>
      <c r="FUX402" s="120"/>
      <c r="FUY402" s="121"/>
      <c r="FUZ402" s="119"/>
      <c r="FVA402" s="120"/>
      <c r="FVB402" s="120"/>
      <c r="FVC402" s="120"/>
      <c r="FVD402" s="120"/>
      <c r="FVE402" s="120"/>
      <c r="FVF402" s="121"/>
      <c r="FVG402" s="119"/>
      <c r="FVH402" s="120"/>
      <c r="FVI402" s="120"/>
      <c r="FVJ402" s="120"/>
      <c r="FVK402" s="120"/>
      <c r="FVL402" s="120"/>
      <c r="FVM402" s="121"/>
      <c r="FVN402" s="119"/>
      <c r="FVO402" s="120"/>
      <c r="FVP402" s="120"/>
      <c r="FVQ402" s="120"/>
      <c r="FVR402" s="120"/>
      <c r="FVS402" s="120"/>
      <c r="FVT402" s="121"/>
      <c r="FVU402" s="119"/>
      <c r="FVV402" s="120"/>
      <c r="FVW402" s="120"/>
      <c r="FVX402" s="120"/>
      <c r="FVY402" s="120"/>
      <c r="FVZ402" s="120"/>
      <c r="FWA402" s="121"/>
      <c r="FWB402" s="119"/>
      <c r="FWC402" s="120"/>
      <c r="FWD402" s="120"/>
      <c r="FWE402" s="120"/>
      <c r="FWF402" s="120"/>
      <c r="FWG402" s="120"/>
      <c r="FWH402" s="121"/>
      <c r="FWI402" s="119"/>
      <c r="FWJ402" s="120"/>
      <c r="FWK402" s="120"/>
      <c r="FWL402" s="120"/>
      <c r="FWM402" s="120"/>
      <c r="FWN402" s="120"/>
      <c r="FWO402" s="121"/>
      <c r="FWP402" s="119"/>
      <c r="FWQ402" s="120"/>
      <c r="FWR402" s="120"/>
      <c r="FWS402" s="120"/>
      <c r="FWT402" s="120"/>
      <c r="FWU402" s="120"/>
      <c r="FWV402" s="121"/>
      <c r="FWW402" s="119"/>
      <c r="FWX402" s="120"/>
      <c r="FWY402" s="120"/>
      <c r="FWZ402" s="120"/>
      <c r="FXA402" s="120"/>
      <c r="FXB402" s="120"/>
      <c r="FXC402" s="121"/>
      <c r="FXD402" s="119"/>
      <c r="FXE402" s="120"/>
      <c r="FXF402" s="120"/>
      <c r="FXG402" s="120"/>
      <c r="FXH402" s="120"/>
      <c r="FXI402" s="120"/>
      <c r="FXJ402" s="121"/>
      <c r="FXK402" s="119"/>
      <c r="FXL402" s="120"/>
      <c r="FXM402" s="120"/>
      <c r="FXN402" s="120"/>
      <c r="FXO402" s="120"/>
      <c r="FXP402" s="120"/>
      <c r="FXQ402" s="121"/>
      <c r="FXR402" s="119"/>
      <c r="FXS402" s="120"/>
      <c r="FXT402" s="120"/>
      <c r="FXU402" s="120"/>
      <c r="FXV402" s="120"/>
      <c r="FXW402" s="120"/>
      <c r="FXX402" s="121"/>
      <c r="FXY402" s="119"/>
      <c r="FXZ402" s="120"/>
      <c r="FYA402" s="120"/>
      <c r="FYB402" s="120"/>
      <c r="FYC402" s="120"/>
      <c r="FYD402" s="120"/>
      <c r="FYE402" s="121"/>
      <c r="FYF402" s="119"/>
      <c r="FYG402" s="120"/>
      <c r="FYH402" s="120"/>
      <c r="FYI402" s="120"/>
      <c r="FYJ402" s="120"/>
      <c r="FYK402" s="120"/>
      <c r="FYL402" s="121"/>
      <c r="FYM402" s="119"/>
      <c r="FYN402" s="120"/>
      <c r="FYO402" s="120"/>
      <c r="FYP402" s="120"/>
      <c r="FYQ402" s="120"/>
      <c r="FYR402" s="120"/>
      <c r="FYS402" s="121"/>
      <c r="FYT402" s="119"/>
      <c r="FYU402" s="120"/>
      <c r="FYV402" s="120"/>
      <c r="FYW402" s="120"/>
      <c r="FYX402" s="120"/>
      <c r="FYY402" s="120"/>
      <c r="FYZ402" s="121"/>
      <c r="FZA402" s="119"/>
      <c r="FZB402" s="120"/>
      <c r="FZC402" s="120"/>
      <c r="FZD402" s="120"/>
      <c r="FZE402" s="120"/>
      <c r="FZF402" s="120"/>
      <c r="FZG402" s="121"/>
      <c r="FZH402" s="119"/>
      <c r="FZI402" s="120"/>
      <c r="FZJ402" s="120"/>
      <c r="FZK402" s="120"/>
      <c r="FZL402" s="120"/>
      <c r="FZM402" s="120"/>
      <c r="FZN402" s="121"/>
      <c r="FZO402" s="119"/>
      <c r="FZP402" s="120"/>
      <c r="FZQ402" s="120"/>
      <c r="FZR402" s="120"/>
      <c r="FZS402" s="120"/>
      <c r="FZT402" s="120"/>
      <c r="FZU402" s="121"/>
      <c r="FZV402" s="119"/>
      <c r="FZW402" s="120"/>
      <c r="FZX402" s="120"/>
      <c r="FZY402" s="120"/>
      <c r="FZZ402" s="120"/>
      <c r="GAA402" s="120"/>
      <c r="GAB402" s="121"/>
      <c r="GAC402" s="119"/>
      <c r="GAD402" s="120"/>
      <c r="GAE402" s="120"/>
      <c r="GAF402" s="120"/>
      <c r="GAG402" s="120"/>
      <c r="GAH402" s="120"/>
      <c r="GAI402" s="121"/>
      <c r="GAJ402" s="119"/>
      <c r="GAK402" s="120"/>
      <c r="GAL402" s="120"/>
      <c r="GAM402" s="120"/>
      <c r="GAN402" s="120"/>
      <c r="GAO402" s="120"/>
      <c r="GAP402" s="121"/>
      <c r="GAQ402" s="119"/>
      <c r="GAR402" s="120"/>
      <c r="GAS402" s="120"/>
      <c r="GAT402" s="120"/>
      <c r="GAU402" s="120"/>
      <c r="GAV402" s="120"/>
      <c r="GAW402" s="121"/>
      <c r="GAX402" s="119"/>
      <c r="GAY402" s="120"/>
      <c r="GAZ402" s="120"/>
      <c r="GBA402" s="120"/>
      <c r="GBB402" s="120"/>
      <c r="GBC402" s="120"/>
      <c r="GBD402" s="121"/>
      <c r="GBE402" s="119"/>
      <c r="GBF402" s="120"/>
      <c r="GBG402" s="120"/>
      <c r="GBH402" s="120"/>
      <c r="GBI402" s="120"/>
      <c r="GBJ402" s="120"/>
      <c r="GBK402" s="121"/>
      <c r="GBL402" s="119"/>
      <c r="GBM402" s="120"/>
      <c r="GBN402" s="120"/>
      <c r="GBO402" s="120"/>
      <c r="GBP402" s="120"/>
      <c r="GBQ402" s="120"/>
      <c r="GBR402" s="121"/>
      <c r="GBS402" s="119"/>
      <c r="GBT402" s="120"/>
      <c r="GBU402" s="120"/>
      <c r="GBV402" s="120"/>
      <c r="GBW402" s="120"/>
      <c r="GBX402" s="120"/>
      <c r="GBY402" s="121"/>
      <c r="GBZ402" s="119"/>
      <c r="GCA402" s="120"/>
      <c r="GCB402" s="120"/>
      <c r="GCC402" s="120"/>
      <c r="GCD402" s="120"/>
      <c r="GCE402" s="120"/>
      <c r="GCF402" s="121"/>
      <c r="GCG402" s="119"/>
      <c r="GCH402" s="120"/>
      <c r="GCI402" s="120"/>
      <c r="GCJ402" s="120"/>
      <c r="GCK402" s="120"/>
      <c r="GCL402" s="120"/>
      <c r="GCM402" s="121"/>
      <c r="GCN402" s="119"/>
      <c r="GCO402" s="120"/>
      <c r="GCP402" s="120"/>
      <c r="GCQ402" s="120"/>
      <c r="GCR402" s="120"/>
      <c r="GCS402" s="120"/>
      <c r="GCT402" s="121"/>
      <c r="GCU402" s="119"/>
      <c r="GCV402" s="120"/>
      <c r="GCW402" s="120"/>
      <c r="GCX402" s="120"/>
      <c r="GCY402" s="120"/>
      <c r="GCZ402" s="120"/>
      <c r="GDA402" s="121"/>
      <c r="GDB402" s="119"/>
      <c r="GDC402" s="120"/>
      <c r="GDD402" s="120"/>
      <c r="GDE402" s="120"/>
      <c r="GDF402" s="120"/>
      <c r="GDG402" s="120"/>
      <c r="GDH402" s="121"/>
      <c r="GDI402" s="119"/>
      <c r="GDJ402" s="120"/>
      <c r="GDK402" s="120"/>
      <c r="GDL402" s="120"/>
      <c r="GDM402" s="120"/>
      <c r="GDN402" s="120"/>
      <c r="GDO402" s="121"/>
      <c r="GDP402" s="119"/>
      <c r="GDQ402" s="120"/>
      <c r="GDR402" s="120"/>
      <c r="GDS402" s="120"/>
      <c r="GDT402" s="120"/>
      <c r="GDU402" s="120"/>
      <c r="GDV402" s="121"/>
      <c r="GDW402" s="119"/>
      <c r="GDX402" s="120"/>
      <c r="GDY402" s="120"/>
      <c r="GDZ402" s="120"/>
      <c r="GEA402" s="120"/>
      <c r="GEB402" s="120"/>
      <c r="GEC402" s="121"/>
      <c r="GED402" s="119"/>
      <c r="GEE402" s="120"/>
      <c r="GEF402" s="120"/>
      <c r="GEG402" s="120"/>
      <c r="GEH402" s="120"/>
      <c r="GEI402" s="120"/>
      <c r="GEJ402" s="121"/>
      <c r="GEK402" s="119"/>
      <c r="GEL402" s="120"/>
      <c r="GEM402" s="120"/>
      <c r="GEN402" s="120"/>
      <c r="GEO402" s="120"/>
      <c r="GEP402" s="120"/>
      <c r="GEQ402" s="121"/>
      <c r="GER402" s="119"/>
      <c r="GES402" s="120"/>
      <c r="GET402" s="120"/>
      <c r="GEU402" s="120"/>
      <c r="GEV402" s="120"/>
      <c r="GEW402" s="120"/>
      <c r="GEX402" s="121"/>
      <c r="GEY402" s="119"/>
      <c r="GEZ402" s="120"/>
      <c r="GFA402" s="120"/>
      <c r="GFB402" s="120"/>
      <c r="GFC402" s="120"/>
      <c r="GFD402" s="120"/>
      <c r="GFE402" s="121"/>
      <c r="GFF402" s="119"/>
      <c r="GFG402" s="120"/>
      <c r="GFH402" s="120"/>
      <c r="GFI402" s="120"/>
      <c r="GFJ402" s="120"/>
      <c r="GFK402" s="120"/>
      <c r="GFL402" s="121"/>
      <c r="GFM402" s="119"/>
      <c r="GFN402" s="120"/>
      <c r="GFO402" s="120"/>
      <c r="GFP402" s="120"/>
      <c r="GFQ402" s="120"/>
      <c r="GFR402" s="120"/>
      <c r="GFS402" s="121"/>
      <c r="GFT402" s="119"/>
      <c r="GFU402" s="120"/>
      <c r="GFV402" s="120"/>
      <c r="GFW402" s="120"/>
      <c r="GFX402" s="120"/>
      <c r="GFY402" s="120"/>
      <c r="GFZ402" s="121"/>
      <c r="GGA402" s="119"/>
      <c r="GGB402" s="120"/>
      <c r="GGC402" s="120"/>
      <c r="GGD402" s="120"/>
      <c r="GGE402" s="120"/>
      <c r="GGF402" s="120"/>
      <c r="GGG402" s="121"/>
      <c r="GGH402" s="119"/>
      <c r="GGI402" s="120"/>
      <c r="GGJ402" s="120"/>
      <c r="GGK402" s="120"/>
      <c r="GGL402" s="120"/>
      <c r="GGM402" s="120"/>
      <c r="GGN402" s="121"/>
      <c r="GGO402" s="119"/>
      <c r="GGP402" s="120"/>
      <c r="GGQ402" s="120"/>
      <c r="GGR402" s="120"/>
      <c r="GGS402" s="120"/>
      <c r="GGT402" s="120"/>
      <c r="GGU402" s="121"/>
      <c r="GGV402" s="119"/>
      <c r="GGW402" s="120"/>
      <c r="GGX402" s="120"/>
      <c r="GGY402" s="120"/>
      <c r="GGZ402" s="120"/>
      <c r="GHA402" s="120"/>
      <c r="GHB402" s="121"/>
      <c r="GHC402" s="119"/>
      <c r="GHD402" s="120"/>
      <c r="GHE402" s="120"/>
      <c r="GHF402" s="120"/>
      <c r="GHG402" s="120"/>
      <c r="GHH402" s="120"/>
      <c r="GHI402" s="121"/>
      <c r="GHJ402" s="119"/>
      <c r="GHK402" s="120"/>
      <c r="GHL402" s="120"/>
      <c r="GHM402" s="120"/>
      <c r="GHN402" s="120"/>
      <c r="GHO402" s="120"/>
      <c r="GHP402" s="121"/>
      <c r="GHQ402" s="119"/>
      <c r="GHR402" s="120"/>
      <c r="GHS402" s="120"/>
      <c r="GHT402" s="120"/>
      <c r="GHU402" s="120"/>
      <c r="GHV402" s="120"/>
      <c r="GHW402" s="121"/>
      <c r="GHX402" s="119"/>
      <c r="GHY402" s="120"/>
      <c r="GHZ402" s="120"/>
      <c r="GIA402" s="120"/>
      <c r="GIB402" s="120"/>
      <c r="GIC402" s="120"/>
      <c r="GID402" s="121"/>
      <c r="GIE402" s="119"/>
      <c r="GIF402" s="120"/>
      <c r="GIG402" s="120"/>
      <c r="GIH402" s="120"/>
      <c r="GII402" s="120"/>
      <c r="GIJ402" s="120"/>
      <c r="GIK402" s="121"/>
      <c r="GIL402" s="119"/>
      <c r="GIM402" s="120"/>
      <c r="GIN402" s="120"/>
      <c r="GIO402" s="120"/>
      <c r="GIP402" s="120"/>
      <c r="GIQ402" s="120"/>
      <c r="GIR402" s="121"/>
      <c r="GIS402" s="119"/>
      <c r="GIT402" s="120"/>
      <c r="GIU402" s="120"/>
      <c r="GIV402" s="120"/>
      <c r="GIW402" s="120"/>
      <c r="GIX402" s="120"/>
      <c r="GIY402" s="121"/>
      <c r="GIZ402" s="119"/>
      <c r="GJA402" s="120"/>
      <c r="GJB402" s="120"/>
      <c r="GJC402" s="120"/>
      <c r="GJD402" s="120"/>
      <c r="GJE402" s="120"/>
      <c r="GJF402" s="121"/>
      <c r="GJG402" s="119"/>
      <c r="GJH402" s="120"/>
      <c r="GJI402" s="120"/>
      <c r="GJJ402" s="120"/>
      <c r="GJK402" s="120"/>
      <c r="GJL402" s="120"/>
      <c r="GJM402" s="121"/>
      <c r="GJN402" s="119"/>
      <c r="GJO402" s="120"/>
      <c r="GJP402" s="120"/>
      <c r="GJQ402" s="120"/>
      <c r="GJR402" s="120"/>
      <c r="GJS402" s="120"/>
      <c r="GJT402" s="121"/>
      <c r="GJU402" s="119"/>
      <c r="GJV402" s="120"/>
      <c r="GJW402" s="120"/>
      <c r="GJX402" s="120"/>
      <c r="GJY402" s="120"/>
      <c r="GJZ402" s="120"/>
      <c r="GKA402" s="121"/>
      <c r="GKB402" s="119"/>
      <c r="GKC402" s="120"/>
      <c r="GKD402" s="120"/>
      <c r="GKE402" s="120"/>
      <c r="GKF402" s="120"/>
      <c r="GKG402" s="120"/>
      <c r="GKH402" s="121"/>
      <c r="GKI402" s="119"/>
      <c r="GKJ402" s="120"/>
      <c r="GKK402" s="120"/>
      <c r="GKL402" s="120"/>
      <c r="GKM402" s="120"/>
      <c r="GKN402" s="120"/>
      <c r="GKO402" s="121"/>
      <c r="GKP402" s="119"/>
      <c r="GKQ402" s="120"/>
      <c r="GKR402" s="120"/>
      <c r="GKS402" s="120"/>
      <c r="GKT402" s="120"/>
      <c r="GKU402" s="120"/>
      <c r="GKV402" s="121"/>
      <c r="GKW402" s="119"/>
      <c r="GKX402" s="120"/>
      <c r="GKY402" s="120"/>
      <c r="GKZ402" s="120"/>
      <c r="GLA402" s="120"/>
      <c r="GLB402" s="120"/>
      <c r="GLC402" s="121"/>
      <c r="GLD402" s="119"/>
      <c r="GLE402" s="120"/>
      <c r="GLF402" s="120"/>
      <c r="GLG402" s="120"/>
      <c r="GLH402" s="120"/>
      <c r="GLI402" s="120"/>
      <c r="GLJ402" s="121"/>
      <c r="GLK402" s="119"/>
      <c r="GLL402" s="120"/>
      <c r="GLM402" s="120"/>
      <c r="GLN402" s="120"/>
      <c r="GLO402" s="120"/>
      <c r="GLP402" s="120"/>
      <c r="GLQ402" s="121"/>
      <c r="GLR402" s="119"/>
      <c r="GLS402" s="120"/>
      <c r="GLT402" s="120"/>
      <c r="GLU402" s="120"/>
      <c r="GLV402" s="120"/>
      <c r="GLW402" s="120"/>
      <c r="GLX402" s="121"/>
      <c r="GLY402" s="119"/>
      <c r="GLZ402" s="120"/>
      <c r="GMA402" s="120"/>
      <c r="GMB402" s="120"/>
      <c r="GMC402" s="120"/>
      <c r="GMD402" s="120"/>
      <c r="GME402" s="121"/>
      <c r="GMF402" s="119"/>
      <c r="GMG402" s="120"/>
      <c r="GMH402" s="120"/>
      <c r="GMI402" s="120"/>
      <c r="GMJ402" s="120"/>
      <c r="GMK402" s="120"/>
      <c r="GML402" s="121"/>
      <c r="GMM402" s="119"/>
      <c r="GMN402" s="120"/>
      <c r="GMO402" s="120"/>
      <c r="GMP402" s="120"/>
      <c r="GMQ402" s="120"/>
      <c r="GMR402" s="120"/>
      <c r="GMS402" s="121"/>
      <c r="GMT402" s="119"/>
      <c r="GMU402" s="120"/>
      <c r="GMV402" s="120"/>
      <c r="GMW402" s="120"/>
      <c r="GMX402" s="120"/>
      <c r="GMY402" s="120"/>
      <c r="GMZ402" s="121"/>
      <c r="GNA402" s="119"/>
      <c r="GNB402" s="120"/>
      <c r="GNC402" s="120"/>
      <c r="GND402" s="120"/>
      <c r="GNE402" s="120"/>
      <c r="GNF402" s="120"/>
      <c r="GNG402" s="121"/>
      <c r="GNH402" s="119"/>
      <c r="GNI402" s="120"/>
      <c r="GNJ402" s="120"/>
      <c r="GNK402" s="120"/>
      <c r="GNL402" s="120"/>
      <c r="GNM402" s="120"/>
      <c r="GNN402" s="121"/>
      <c r="GNO402" s="119"/>
      <c r="GNP402" s="120"/>
      <c r="GNQ402" s="120"/>
      <c r="GNR402" s="120"/>
      <c r="GNS402" s="120"/>
      <c r="GNT402" s="120"/>
      <c r="GNU402" s="121"/>
      <c r="GNV402" s="119"/>
      <c r="GNW402" s="120"/>
      <c r="GNX402" s="120"/>
      <c r="GNY402" s="120"/>
      <c r="GNZ402" s="120"/>
      <c r="GOA402" s="120"/>
      <c r="GOB402" s="121"/>
      <c r="GOC402" s="119"/>
      <c r="GOD402" s="120"/>
      <c r="GOE402" s="120"/>
      <c r="GOF402" s="120"/>
      <c r="GOG402" s="120"/>
      <c r="GOH402" s="120"/>
      <c r="GOI402" s="121"/>
      <c r="GOJ402" s="119"/>
      <c r="GOK402" s="120"/>
      <c r="GOL402" s="120"/>
      <c r="GOM402" s="120"/>
      <c r="GON402" s="120"/>
      <c r="GOO402" s="120"/>
      <c r="GOP402" s="121"/>
      <c r="GOQ402" s="119"/>
      <c r="GOR402" s="120"/>
      <c r="GOS402" s="120"/>
      <c r="GOT402" s="120"/>
      <c r="GOU402" s="120"/>
      <c r="GOV402" s="120"/>
      <c r="GOW402" s="121"/>
      <c r="GOX402" s="119"/>
      <c r="GOY402" s="120"/>
      <c r="GOZ402" s="120"/>
      <c r="GPA402" s="120"/>
      <c r="GPB402" s="120"/>
      <c r="GPC402" s="120"/>
      <c r="GPD402" s="121"/>
      <c r="GPE402" s="119"/>
      <c r="GPF402" s="120"/>
      <c r="GPG402" s="120"/>
      <c r="GPH402" s="120"/>
      <c r="GPI402" s="120"/>
      <c r="GPJ402" s="120"/>
      <c r="GPK402" s="121"/>
      <c r="GPL402" s="119"/>
      <c r="GPM402" s="120"/>
      <c r="GPN402" s="120"/>
      <c r="GPO402" s="120"/>
      <c r="GPP402" s="120"/>
      <c r="GPQ402" s="120"/>
      <c r="GPR402" s="121"/>
      <c r="GPS402" s="119"/>
      <c r="GPT402" s="120"/>
      <c r="GPU402" s="120"/>
      <c r="GPV402" s="120"/>
      <c r="GPW402" s="120"/>
      <c r="GPX402" s="120"/>
      <c r="GPY402" s="121"/>
      <c r="GPZ402" s="119"/>
      <c r="GQA402" s="120"/>
      <c r="GQB402" s="120"/>
      <c r="GQC402" s="120"/>
      <c r="GQD402" s="120"/>
      <c r="GQE402" s="120"/>
      <c r="GQF402" s="121"/>
      <c r="GQG402" s="119"/>
      <c r="GQH402" s="120"/>
      <c r="GQI402" s="120"/>
      <c r="GQJ402" s="120"/>
      <c r="GQK402" s="120"/>
      <c r="GQL402" s="120"/>
      <c r="GQM402" s="121"/>
      <c r="GQN402" s="119"/>
      <c r="GQO402" s="120"/>
      <c r="GQP402" s="120"/>
      <c r="GQQ402" s="120"/>
      <c r="GQR402" s="120"/>
      <c r="GQS402" s="120"/>
      <c r="GQT402" s="121"/>
      <c r="GQU402" s="119"/>
      <c r="GQV402" s="120"/>
      <c r="GQW402" s="120"/>
      <c r="GQX402" s="120"/>
      <c r="GQY402" s="120"/>
      <c r="GQZ402" s="120"/>
      <c r="GRA402" s="121"/>
      <c r="GRB402" s="119"/>
      <c r="GRC402" s="120"/>
      <c r="GRD402" s="120"/>
      <c r="GRE402" s="120"/>
      <c r="GRF402" s="120"/>
      <c r="GRG402" s="120"/>
      <c r="GRH402" s="121"/>
      <c r="GRI402" s="119"/>
      <c r="GRJ402" s="120"/>
      <c r="GRK402" s="120"/>
      <c r="GRL402" s="120"/>
      <c r="GRM402" s="120"/>
      <c r="GRN402" s="120"/>
      <c r="GRO402" s="121"/>
      <c r="GRP402" s="119"/>
      <c r="GRQ402" s="120"/>
      <c r="GRR402" s="120"/>
      <c r="GRS402" s="120"/>
      <c r="GRT402" s="120"/>
      <c r="GRU402" s="120"/>
      <c r="GRV402" s="121"/>
      <c r="GRW402" s="119"/>
      <c r="GRX402" s="120"/>
      <c r="GRY402" s="120"/>
      <c r="GRZ402" s="120"/>
      <c r="GSA402" s="120"/>
      <c r="GSB402" s="120"/>
      <c r="GSC402" s="121"/>
      <c r="GSD402" s="119"/>
      <c r="GSE402" s="120"/>
      <c r="GSF402" s="120"/>
      <c r="GSG402" s="120"/>
      <c r="GSH402" s="120"/>
      <c r="GSI402" s="120"/>
      <c r="GSJ402" s="121"/>
      <c r="GSK402" s="119"/>
      <c r="GSL402" s="120"/>
      <c r="GSM402" s="120"/>
      <c r="GSN402" s="120"/>
      <c r="GSO402" s="120"/>
      <c r="GSP402" s="120"/>
      <c r="GSQ402" s="121"/>
      <c r="GSR402" s="119"/>
      <c r="GSS402" s="120"/>
      <c r="GST402" s="120"/>
      <c r="GSU402" s="120"/>
      <c r="GSV402" s="120"/>
      <c r="GSW402" s="120"/>
      <c r="GSX402" s="121"/>
      <c r="GSY402" s="119"/>
      <c r="GSZ402" s="120"/>
      <c r="GTA402" s="120"/>
      <c r="GTB402" s="120"/>
      <c r="GTC402" s="120"/>
      <c r="GTD402" s="120"/>
      <c r="GTE402" s="121"/>
      <c r="GTF402" s="119"/>
      <c r="GTG402" s="120"/>
      <c r="GTH402" s="120"/>
      <c r="GTI402" s="120"/>
      <c r="GTJ402" s="120"/>
      <c r="GTK402" s="120"/>
      <c r="GTL402" s="121"/>
      <c r="GTM402" s="119"/>
      <c r="GTN402" s="120"/>
      <c r="GTO402" s="120"/>
      <c r="GTP402" s="120"/>
      <c r="GTQ402" s="120"/>
      <c r="GTR402" s="120"/>
      <c r="GTS402" s="121"/>
      <c r="GTT402" s="119"/>
      <c r="GTU402" s="120"/>
      <c r="GTV402" s="120"/>
      <c r="GTW402" s="120"/>
      <c r="GTX402" s="120"/>
      <c r="GTY402" s="120"/>
      <c r="GTZ402" s="121"/>
      <c r="GUA402" s="119"/>
      <c r="GUB402" s="120"/>
      <c r="GUC402" s="120"/>
      <c r="GUD402" s="120"/>
      <c r="GUE402" s="120"/>
      <c r="GUF402" s="120"/>
      <c r="GUG402" s="121"/>
      <c r="GUH402" s="119"/>
      <c r="GUI402" s="120"/>
      <c r="GUJ402" s="120"/>
      <c r="GUK402" s="120"/>
      <c r="GUL402" s="120"/>
      <c r="GUM402" s="120"/>
      <c r="GUN402" s="121"/>
      <c r="GUO402" s="119"/>
      <c r="GUP402" s="120"/>
      <c r="GUQ402" s="120"/>
      <c r="GUR402" s="120"/>
      <c r="GUS402" s="120"/>
      <c r="GUT402" s="120"/>
      <c r="GUU402" s="121"/>
      <c r="GUV402" s="119"/>
      <c r="GUW402" s="120"/>
      <c r="GUX402" s="120"/>
      <c r="GUY402" s="120"/>
      <c r="GUZ402" s="120"/>
      <c r="GVA402" s="120"/>
      <c r="GVB402" s="121"/>
      <c r="GVC402" s="119"/>
      <c r="GVD402" s="120"/>
      <c r="GVE402" s="120"/>
      <c r="GVF402" s="120"/>
      <c r="GVG402" s="120"/>
      <c r="GVH402" s="120"/>
      <c r="GVI402" s="121"/>
      <c r="GVJ402" s="119"/>
      <c r="GVK402" s="120"/>
      <c r="GVL402" s="120"/>
      <c r="GVM402" s="120"/>
      <c r="GVN402" s="120"/>
      <c r="GVO402" s="120"/>
      <c r="GVP402" s="121"/>
      <c r="GVQ402" s="119"/>
      <c r="GVR402" s="120"/>
      <c r="GVS402" s="120"/>
      <c r="GVT402" s="120"/>
      <c r="GVU402" s="120"/>
      <c r="GVV402" s="120"/>
      <c r="GVW402" s="121"/>
      <c r="GVX402" s="119"/>
      <c r="GVY402" s="120"/>
      <c r="GVZ402" s="120"/>
      <c r="GWA402" s="120"/>
      <c r="GWB402" s="120"/>
      <c r="GWC402" s="120"/>
      <c r="GWD402" s="121"/>
      <c r="GWE402" s="119"/>
      <c r="GWF402" s="120"/>
      <c r="GWG402" s="120"/>
      <c r="GWH402" s="120"/>
      <c r="GWI402" s="120"/>
      <c r="GWJ402" s="120"/>
      <c r="GWK402" s="121"/>
      <c r="GWL402" s="119"/>
      <c r="GWM402" s="120"/>
      <c r="GWN402" s="120"/>
      <c r="GWO402" s="120"/>
      <c r="GWP402" s="120"/>
      <c r="GWQ402" s="120"/>
      <c r="GWR402" s="121"/>
      <c r="GWS402" s="119"/>
      <c r="GWT402" s="120"/>
      <c r="GWU402" s="120"/>
      <c r="GWV402" s="120"/>
      <c r="GWW402" s="120"/>
      <c r="GWX402" s="120"/>
      <c r="GWY402" s="121"/>
      <c r="GWZ402" s="119"/>
      <c r="GXA402" s="120"/>
      <c r="GXB402" s="120"/>
      <c r="GXC402" s="120"/>
      <c r="GXD402" s="120"/>
      <c r="GXE402" s="120"/>
      <c r="GXF402" s="121"/>
      <c r="GXG402" s="119"/>
      <c r="GXH402" s="120"/>
      <c r="GXI402" s="120"/>
      <c r="GXJ402" s="120"/>
      <c r="GXK402" s="120"/>
      <c r="GXL402" s="120"/>
      <c r="GXM402" s="121"/>
      <c r="GXN402" s="119"/>
      <c r="GXO402" s="120"/>
      <c r="GXP402" s="120"/>
      <c r="GXQ402" s="120"/>
      <c r="GXR402" s="120"/>
      <c r="GXS402" s="120"/>
      <c r="GXT402" s="121"/>
      <c r="GXU402" s="119"/>
      <c r="GXV402" s="120"/>
      <c r="GXW402" s="120"/>
      <c r="GXX402" s="120"/>
      <c r="GXY402" s="120"/>
      <c r="GXZ402" s="120"/>
      <c r="GYA402" s="121"/>
      <c r="GYB402" s="119"/>
      <c r="GYC402" s="120"/>
      <c r="GYD402" s="120"/>
      <c r="GYE402" s="120"/>
      <c r="GYF402" s="120"/>
      <c r="GYG402" s="120"/>
      <c r="GYH402" s="121"/>
      <c r="GYI402" s="119"/>
      <c r="GYJ402" s="120"/>
      <c r="GYK402" s="120"/>
      <c r="GYL402" s="120"/>
      <c r="GYM402" s="120"/>
      <c r="GYN402" s="120"/>
      <c r="GYO402" s="121"/>
      <c r="GYP402" s="119"/>
      <c r="GYQ402" s="120"/>
      <c r="GYR402" s="120"/>
      <c r="GYS402" s="120"/>
      <c r="GYT402" s="120"/>
      <c r="GYU402" s="120"/>
      <c r="GYV402" s="121"/>
      <c r="GYW402" s="119"/>
      <c r="GYX402" s="120"/>
      <c r="GYY402" s="120"/>
      <c r="GYZ402" s="120"/>
      <c r="GZA402" s="120"/>
      <c r="GZB402" s="120"/>
      <c r="GZC402" s="121"/>
      <c r="GZD402" s="119"/>
      <c r="GZE402" s="120"/>
      <c r="GZF402" s="120"/>
      <c r="GZG402" s="120"/>
      <c r="GZH402" s="120"/>
      <c r="GZI402" s="120"/>
      <c r="GZJ402" s="121"/>
      <c r="GZK402" s="119"/>
      <c r="GZL402" s="120"/>
      <c r="GZM402" s="120"/>
      <c r="GZN402" s="120"/>
      <c r="GZO402" s="120"/>
      <c r="GZP402" s="120"/>
      <c r="GZQ402" s="121"/>
      <c r="GZR402" s="119"/>
      <c r="GZS402" s="120"/>
      <c r="GZT402" s="120"/>
      <c r="GZU402" s="120"/>
      <c r="GZV402" s="120"/>
      <c r="GZW402" s="120"/>
      <c r="GZX402" s="121"/>
      <c r="GZY402" s="119"/>
      <c r="GZZ402" s="120"/>
      <c r="HAA402" s="120"/>
      <c r="HAB402" s="120"/>
      <c r="HAC402" s="120"/>
      <c r="HAD402" s="120"/>
      <c r="HAE402" s="121"/>
      <c r="HAF402" s="119"/>
      <c r="HAG402" s="120"/>
      <c r="HAH402" s="120"/>
      <c r="HAI402" s="120"/>
      <c r="HAJ402" s="120"/>
      <c r="HAK402" s="120"/>
      <c r="HAL402" s="121"/>
      <c r="HAM402" s="119"/>
      <c r="HAN402" s="120"/>
      <c r="HAO402" s="120"/>
      <c r="HAP402" s="120"/>
      <c r="HAQ402" s="120"/>
      <c r="HAR402" s="120"/>
      <c r="HAS402" s="121"/>
      <c r="HAT402" s="119"/>
      <c r="HAU402" s="120"/>
      <c r="HAV402" s="120"/>
      <c r="HAW402" s="120"/>
      <c r="HAX402" s="120"/>
      <c r="HAY402" s="120"/>
      <c r="HAZ402" s="121"/>
      <c r="HBA402" s="119"/>
      <c r="HBB402" s="120"/>
      <c r="HBC402" s="120"/>
      <c r="HBD402" s="120"/>
      <c r="HBE402" s="120"/>
      <c r="HBF402" s="120"/>
      <c r="HBG402" s="121"/>
      <c r="HBH402" s="119"/>
      <c r="HBI402" s="120"/>
      <c r="HBJ402" s="120"/>
      <c r="HBK402" s="120"/>
      <c r="HBL402" s="120"/>
      <c r="HBM402" s="120"/>
      <c r="HBN402" s="121"/>
      <c r="HBO402" s="119"/>
      <c r="HBP402" s="120"/>
      <c r="HBQ402" s="120"/>
      <c r="HBR402" s="120"/>
      <c r="HBS402" s="120"/>
      <c r="HBT402" s="120"/>
      <c r="HBU402" s="121"/>
      <c r="HBV402" s="119"/>
      <c r="HBW402" s="120"/>
      <c r="HBX402" s="120"/>
      <c r="HBY402" s="120"/>
      <c r="HBZ402" s="120"/>
      <c r="HCA402" s="120"/>
      <c r="HCB402" s="121"/>
      <c r="HCC402" s="119"/>
      <c r="HCD402" s="120"/>
      <c r="HCE402" s="120"/>
      <c r="HCF402" s="120"/>
      <c r="HCG402" s="120"/>
      <c r="HCH402" s="120"/>
      <c r="HCI402" s="121"/>
      <c r="HCJ402" s="119"/>
      <c r="HCK402" s="120"/>
      <c r="HCL402" s="120"/>
      <c r="HCM402" s="120"/>
      <c r="HCN402" s="120"/>
      <c r="HCO402" s="120"/>
      <c r="HCP402" s="121"/>
      <c r="HCQ402" s="119"/>
      <c r="HCR402" s="120"/>
      <c r="HCS402" s="120"/>
      <c r="HCT402" s="120"/>
      <c r="HCU402" s="120"/>
      <c r="HCV402" s="120"/>
      <c r="HCW402" s="121"/>
      <c r="HCX402" s="119"/>
      <c r="HCY402" s="120"/>
      <c r="HCZ402" s="120"/>
      <c r="HDA402" s="120"/>
      <c r="HDB402" s="120"/>
      <c r="HDC402" s="120"/>
      <c r="HDD402" s="121"/>
      <c r="HDE402" s="119"/>
      <c r="HDF402" s="120"/>
      <c r="HDG402" s="120"/>
      <c r="HDH402" s="120"/>
      <c r="HDI402" s="120"/>
      <c r="HDJ402" s="120"/>
      <c r="HDK402" s="121"/>
      <c r="HDL402" s="119"/>
      <c r="HDM402" s="120"/>
      <c r="HDN402" s="120"/>
      <c r="HDO402" s="120"/>
      <c r="HDP402" s="120"/>
      <c r="HDQ402" s="120"/>
      <c r="HDR402" s="121"/>
      <c r="HDS402" s="119"/>
      <c r="HDT402" s="120"/>
      <c r="HDU402" s="120"/>
      <c r="HDV402" s="120"/>
      <c r="HDW402" s="120"/>
      <c r="HDX402" s="120"/>
      <c r="HDY402" s="121"/>
      <c r="HDZ402" s="119"/>
      <c r="HEA402" s="120"/>
      <c r="HEB402" s="120"/>
      <c r="HEC402" s="120"/>
      <c r="HED402" s="120"/>
      <c r="HEE402" s="120"/>
      <c r="HEF402" s="121"/>
      <c r="HEG402" s="119"/>
      <c r="HEH402" s="120"/>
      <c r="HEI402" s="120"/>
      <c r="HEJ402" s="120"/>
      <c r="HEK402" s="120"/>
      <c r="HEL402" s="120"/>
      <c r="HEM402" s="121"/>
      <c r="HEN402" s="119"/>
      <c r="HEO402" s="120"/>
      <c r="HEP402" s="120"/>
      <c r="HEQ402" s="120"/>
      <c r="HER402" s="120"/>
      <c r="HES402" s="120"/>
      <c r="HET402" s="121"/>
      <c r="HEU402" s="119"/>
      <c r="HEV402" s="120"/>
      <c r="HEW402" s="120"/>
      <c r="HEX402" s="120"/>
      <c r="HEY402" s="120"/>
      <c r="HEZ402" s="120"/>
      <c r="HFA402" s="121"/>
      <c r="HFB402" s="119"/>
      <c r="HFC402" s="120"/>
      <c r="HFD402" s="120"/>
      <c r="HFE402" s="120"/>
      <c r="HFF402" s="120"/>
      <c r="HFG402" s="120"/>
      <c r="HFH402" s="121"/>
      <c r="HFI402" s="119"/>
      <c r="HFJ402" s="120"/>
      <c r="HFK402" s="120"/>
      <c r="HFL402" s="120"/>
      <c r="HFM402" s="120"/>
      <c r="HFN402" s="120"/>
      <c r="HFO402" s="121"/>
      <c r="HFP402" s="119"/>
      <c r="HFQ402" s="120"/>
      <c r="HFR402" s="120"/>
      <c r="HFS402" s="120"/>
      <c r="HFT402" s="120"/>
      <c r="HFU402" s="120"/>
      <c r="HFV402" s="121"/>
      <c r="HFW402" s="119"/>
      <c r="HFX402" s="120"/>
      <c r="HFY402" s="120"/>
      <c r="HFZ402" s="120"/>
      <c r="HGA402" s="120"/>
      <c r="HGB402" s="120"/>
      <c r="HGC402" s="121"/>
      <c r="HGD402" s="119"/>
      <c r="HGE402" s="120"/>
      <c r="HGF402" s="120"/>
      <c r="HGG402" s="120"/>
      <c r="HGH402" s="120"/>
      <c r="HGI402" s="120"/>
      <c r="HGJ402" s="121"/>
      <c r="HGK402" s="119"/>
      <c r="HGL402" s="120"/>
      <c r="HGM402" s="120"/>
      <c r="HGN402" s="120"/>
      <c r="HGO402" s="120"/>
      <c r="HGP402" s="120"/>
      <c r="HGQ402" s="121"/>
      <c r="HGR402" s="119"/>
      <c r="HGS402" s="120"/>
      <c r="HGT402" s="120"/>
      <c r="HGU402" s="120"/>
      <c r="HGV402" s="120"/>
      <c r="HGW402" s="120"/>
      <c r="HGX402" s="121"/>
      <c r="HGY402" s="119"/>
      <c r="HGZ402" s="120"/>
      <c r="HHA402" s="120"/>
      <c r="HHB402" s="120"/>
      <c r="HHC402" s="120"/>
      <c r="HHD402" s="120"/>
      <c r="HHE402" s="121"/>
      <c r="HHF402" s="119"/>
      <c r="HHG402" s="120"/>
      <c r="HHH402" s="120"/>
      <c r="HHI402" s="120"/>
      <c r="HHJ402" s="120"/>
      <c r="HHK402" s="120"/>
      <c r="HHL402" s="121"/>
      <c r="HHM402" s="119"/>
      <c r="HHN402" s="120"/>
      <c r="HHO402" s="120"/>
      <c r="HHP402" s="120"/>
      <c r="HHQ402" s="120"/>
      <c r="HHR402" s="120"/>
      <c r="HHS402" s="121"/>
      <c r="HHT402" s="119"/>
      <c r="HHU402" s="120"/>
      <c r="HHV402" s="120"/>
      <c r="HHW402" s="120"/>
      <c r="HHX402" s="120"/>
      <c r="HHY402" s="120"/>
      <c r="HHZ402" s="121"/>
      <c r="HIA402" s="119"/>
      <c r="HIB402" s="120"/>
      <c r="HIC402" s="120"/>
      <c r="HID402" s="120"/>
      <c r="HIE402" s="120"/>
      <c r="HIF402" s="120"/>
      <c r="HIG402" s="121"/>
      <c r="HIH402" s="119"/>
      <c r="HII402" s="120"/>
      <c r="HIJ402" s="120"/>
      <c r="HIK402" s="120"/>
      <c r="HIL402" s="120"/>
      <c r="HIM402" s="120"/>
      <c r="HIN402" s="121"/>
      <c r="HIO402" s="119"/>
      <c r="HIP402" s="120"/>
      <c r="HIQ402" s="120"/>
      <c r="HIR402" s="120"/>
      <c r="HIS402" s="120"/>
      <c r="HIT402" s="120"/>
      <c r="HIU402" s="121"/>
      <c r="HIV402" s="119"/>
      <c r="HIW402" s="120"/>
      <c r="HIX402" s="120"/>
      <c r="HIY402" s="120"/>
      <c r="HIZ402" s="120"/>
      <c r="HJA402" s="120"/>
      <c r="HJB402" s="121"/>
      <c r="HJC402" s="119"/>
      <c r="HJD402" s="120"/>
      <c r="HJE402" s="120"/>
      <c r="HJF402" s="120"/>
      <c r="HJG402" s="120"/>
      <c r="HJH402" s="120"/>
      <c r="HJI402" s="121"/>
      <c r="HJJ402" s="119"/>
      <c r="HJK402" s="120"/>
      <c r="HJL402" s="120"/>
      <c r="HJM402" s="120"/>
      <c r="HJN402" s="120"/>
      <c r="HJO402" s="120"/>
      <c r="HJP402" s="121"/>
      <c r="HJQ402" s="119"/>
      <c r="HJR402" s="120"/>
      <c r="HJS402" s="120"/>
      <c r="HJT402" s="120"/>
      <c r="HJU402" s="120"/>
      <c r="HJV402" s="120"/>
      <c r="HJW402" s="121"/>
      <c r="HJX402" s="119"/>
      <c r="HJY402" s="120"/>
      <c r="HJZ402" s="120"/>
      <c r="HKA402" s="120"/>
      <c r="HKB402" s="120"/>
      <c r="HKC402" s="120"/>
      <c r="HKD402" s="121"/>
      <c r="HKE402" s="119"/>
      <c r="HKF402" s="120"/>
      <c r="HKG402" s="120"/>
      <c r="HKH402" s="120"/>
      <c r="HKI402" s="120"/>
      <c r="HKJ402" s="120"/>
      <c r="HKK402" s="121"/>
      <c r="HKL402" s="119"/>
      <c r="HKM402" s="120"/>
      <c r="HKN402" s="120"/>
      <c r="HKO402" s="120"/>
      <c r="HKP402" s="120"/>
      <c r="HKQ402" s="120"/>
      <c r="HKR402" s="121"/>
      <c r="HKS402" s="119"/>
      <c r="HKT402" s="120"/>
      <c r="HKU402" s="120"/>
      <c r="HKV402" s="120"/>
      <c r="HKW402" s="120"/>
      <c r="HKX402" s="120"/>
      <c r="HKY402" s="121"/>
      <c r="HKZ402" s="119"/>
      <c r="HLA402" s="120"/>
      <c r="HLB402" s="120"/>
      <c r="HLC402" s="120"/>
      <c r="HLD402" s="120"/>
      <c r="HLE402" s="120"/>
      <c r="HLF402" s="121"/>
      <c r="HLG402" s="119"/>
      <c r="HLH402" s="120"/>
      <c r="HLI402" s="120"/>
      <c r="HLJ402" s="120"/>
      <c r="HLK402" s="120"/>
      <c r="HLL402" s="120"/>
      <c r="HLM402" s="121"/>
      <c r="HLN402" s="119"/>
      <c r="HLO402" s="120"/>
      <c r="HLP402" s="120"/>
      <c r="HLQ402" s="120"/>
      <c r="HLR402" s="120"/>
      <c r="HLS402" s="120"/>
      <c r="HLT402" s="121"/>
      <c r="HLU402" s="119"/>
      <c r="HLV402" s="120"/>
      <c r="HLW402" s="120"/>
      <c r="HLX402" s="120"/>
      <c r="HLY402" s="120"/>
      <c r="HLZ402" s="120"/>
      <c r="HMA402" s="121"/>
      <c r="HMB402" s="119"/>
      <c r="HMC402" s="120"/>
      <c r="HMD402" s="120"/>
      <c r="HME402" s="120"/>
      <c r="HMF402" s="120"/>
      <c r="HMG402" s="120"/>
      <c r="HMH402" s="121"/>
      <c r="HMI402" s="119"/>
      <c r="HMJ402" s="120"/>
      <c r="HMK402" s="120"/>
      <c r="HML402" s="120"/>
      <c r="HMM402" s="120"/>
      <c r="HMN402" s="120"/>
      <c r="HMO402" s="121"/>
      <c r="HMP402" s="119"/>
      <c r="HMQ402" s="120"/>
      <c r="HMR402" s="120"/>
      <c r="HMS402" s="120"/>
      <c r="HMT402" s="120"/>
      <c r="HMU402" s="120"/>
      <c r="HMV402" s="121"/>
      <c r="HMW402" s="119"/>
      <c r="HMX402" s="120"/>
      <c r="HMY402" s="120"/>
      <c r="HMZ402" s="120"/>
      <c r="HNA402" s="120"/>
      <c r="HNB402" s="120"/>
      <c r="HNC402" s="121"/>
      <c r="HND402" s="119"/>
      <c r="HNE402" s="120"/>
      <c r="HNF402" s="120"/>
      <c r="HNG402" s="120"/>
      <c r="HNH402" s="120"/>
      <c r="HNI402" s="120"/>
      <c r="HNJ402" s="121"/>
      <c r="HNK402" s="119"/>
      <c r="HNL402" s="120"/>
      <c r="HNM402" s="120"/>
      <c r="HNN402" s="120"/>
      <c r="HNO402" s="120"/>
      <c r="HNP402" s="120"/>
      <c r="HNQ402" s="121"/>
      <c r="HNR402" s="119"/>
      <c r="HNS402" s="120"/>
      <c r="HNT402" s="120"/>
      <c r="HNU402" s="120"/>
      <c r="HNV402" s="120"/>
      <c r="HNW402" s="120"/>
      <c r="HNX402" s="121"/>
      <c r="HNY402" s="119"/>
      <c r="HNZ402" s="120"/>
      <c r="HOA402" s="120"/>
      <c r="HOB402" s="120"/>
      <c r="HOC402" s="120"/>
      <c r="HOD402" s="120"/>
      <c r="HOE402" s="121"/>
      <c r="HOF402" s="119"/>
      <c r="HOG402" s="120"/>
      <c r="HOH402" s="120"/>
      <c r="HOI402" s="120"/>
      <c r="HOJ402" s="120"/>
      <c r="HOK402" s="120"/>
      <c r="HOL402" s="121"/>
      <c r="HOM402" s="119"/>
      <c r="HON402" s="120"/>
      <c r="HOO402" s="120"/>
      <c r="HOP402" s="120"/>
      <c r="HOQ402" s="120"/>
      <c r="HOR402" s="120"/>
      <c r="HOS402" s="121"/>
      <c r="HOT402" s="119"/>
      <c r="HOU402" s="120"/>
      <c r="HOV402" s="120"/>
      <c r="HOW402" s="120"/>
      <c r="HOX402" s="120"/>
      <c r="HOY402" s="120"/>
      <c r="HOZ402" s="121"/>
      <c r="HPA402" s="119"/>
      <c r="HPB402" s="120"/>
      <c r="HPC402" s="120"/>
      <c r="HPD402" s="120"/>
      <c r="HPE402" s="120"/>
      <c r="HPF402" s="120"/>
      <c r="HPG402" s="121"/>
      <c r="HPH402" s="119"/>
      <c r="HPI402" s="120"/>
      <c r="HPJ402" s="120"/>
      <c r="HPK402" s="120"/>
      <c r="HPL402" s="120"/>
      <c r="HPM402" s="120"/>
      <c r="HPN402" s="121"/>
      <c r="HPO402" s="119"/>
      <c r="HPP402" s="120"/>
      <c r="HPQ402" s="120"/>
      <c r="HPR402" s="120"/>
      <c r="HPS402" s="120"/>
      <c r="HPT402" s="120"/>
      <c r="HPU402" s="121"/>
      <c r="HPV402" s="119"/>
      <c r="HPW402" s="120"/>
      <c r="HPX402" s="120"/>
      <c r="HPY402" s="120"/>
      <c r="HPZ402" s="120"/>
      <c r="HQA402" s="120"/>
      <c r="HQB402" s="121"/>
      <c r="HQC402" s="119"/>
      <c r="HQD402" s="120"/>
      <c r="HQE402" s="120"/>
      <c r="HQF402" s="120"/>
      <c r="HQG402" s="120"/>
      <c r="HQH402" s="120"/>
      <c r="HQI402" s="121"/>
      <c r="HQJ402" s="119"/>
      <c r="HQK402" s="120"/>
      <c r="HQL402" s="120"/>
      <c r="HQM402" s="120"/>
      <c r="HQN402" s="120"/>
      <c r="HQO402" s="120"/>
      <c r="HQP402" s="121"/>
      <c r="HQQ402" s="119"/>
      <c r="HQR402" s="120"/>
      <c r="HQS402" s="120"/>
      <c r="HQT402" s="120"/>
      <c r="HQU402" s="120"/>
      <c r="HQV402" s="120"/>
      <c r="HQW402" s="121"/>
      <c r="HQX402" s="119"/>
      <c r="HQY402" s="120"/>
      <c r="HQZ402" s="120"/>
      <c r="HRA402" s="120"/>
      <c r="HRB402" s="120"/>
      <c r="HRC402" s="120"/>
      <c r="HRD402" s="121"/>
      <c r="HRE402" s="119"/>
      <c r="HRF402" s="120"/>
      <c r="HRG402" s="120"/>
      <c r="HRH402" s="120"/>
      <c r="HRI402" s="120"/>
      <c r="HRJ402" s="120"/>
      <c r="HRK402" s="121"/>
      <c r="HRL402" s="119"/>
      <c r="HRM402" s="120"/>
      <c r="HRN402" s="120"/>
      <c r="HRO402" s="120"/>
      <c r="HRP402" s="120"/>
      <c r="HRQ402" s="120"/>
      <c r="HRR402" s="121"/>
      <c r="HRS402" s="119"/>
      <c r="HRT402" s="120"/>
      <c r="HRU402" s="120"/>
      <c r="HRV402" s="120"/>
      <c r="HRW402" s="120"/>
      <c r="HRX402" s="120"/>
      <c r="HRY402" s="121"/>
      <c r="HRZ402" s="119"/>
      <c r="HSA402" s="120"/>
      <c r="HSB402" s="120"/>
      <c r="HSC402" s="120"/>
      <c r="HSD402" s="120"/>
      <c r="HSE402" s="120"/>
      <c r="HSF402" s="121"/>
      <c r="HSG402" s="119"/>
      <c r="HSH402" s="120"/>
      <c r="HSI402" s="120"/>
      <c r="HSJ402" s="120"/>
      <c r="HSK402" s="120"/>
      <c r="HSL402" s="120"/>
      <c r="HSM402" s="121"/>
      <c r="HSN402" s="119"/>
      <c r="HSO402" s="120"/>
      <c r="HSP402" s="120"/>
      <c r="HSQ402" s="120"/>
      <c r="HSR402" s="120"/>
      <c r="HSS402" s="120"/>
      <c r="HST402" s="121"/>
      <c r="HSU402" s="119"/>
      <c r="HSV402" s="120"/>
      <c r="HSW402" s="120"/>
      <c r="HSX402" s="120"/>
      <c r="HSY402" s="120"/>
      <c r="HSZ402" s="120"/>
      <c r="HTA402" s="121"/>
      <c r="HTB402" s="119"/>
      <c r="HTC402" s="120"/>
      <c r="HTD402" s="120"/>
      <c r="HTE402" s="120"/>
      <c r="HTF402" s="120"/>
      <c r="HTG402" s="120"/>
      <c r="HTH402" s="121"/>
      <c r="HTI402" s="119"/>
      <c r="HTJ402" s="120"/>
      <c r="HTK402" s="120"/>
      <c r="HTL402" s="120"/>
      <c r="HTM402" s="120"/>
      <c r="HTN402" s="120"/>
      <c r="HTO402" s="121"/>
      <c r="HTP402" s="119"/>
      <c r="HTQ402" s="120"/>
      <c r="HTR402" s="120"/>
      <c r="HTS402" s="120"/>
      <c r="HTT402" s="120"/>
      <c r="HTU402" s="120"/>
      <c r="HTV402" s="121"/>
      <c r="HTW402" s="119"/>
      <c r="HTX402" s="120"/>
      <c r="HTY402" s="120"/>
      <c r="HTZ402" s="120"/>
      <c r="HUA402" s="120"/>
      <c r="HUB402" s="120"/>
      <c r="HUC402" s="121"/>
      <c r="HUD402" s="119"/>
      <c r="HUE402" s="120"/>
      <c r="HUF402" s="120"/>
      <c r="HUG402" s="120"/>
      <c r="HUH402" s="120"/>
      <c r="HUI402" s="120"/>
      <c r="HUJ402" s="121"/>
      <c r="HUK402" s="119"/>
      <c r="HUL402" s="120"/>
      <c r="HUM402" s="120"/>
      <c r="HUN402" s="120"/>
      <c r="HUO402" s="120"/>
      <c r="HUP402" s="120"/>
      <c r="HUQ402" s="121"/>
      <c r="HUR402" s="119"/>
      <c r="HUS402" s="120"/>
      <c r="HUT402" s="120"/>
      <c r="HUU402" s="120"/>
      <c r="HUV402" s="120"/>
      <c r="HUW402" s="120"/>
      <c r="HUX402" s="121"/>
      <c r="HUY402" s="119"/>
      <c r="HUZ402" s="120"/>
      <c r="HVA402" s="120"/>
      <c r="HVB402" s="120"/>
      <c r="HVC402" s="120"/>
      <c r="HVD402" s="120"/>
      <c r="HVE402" s="121"/>
      <c r="HVF402" s="119"/>
      <c r="HVG402" s="120"/>
      <c r="HVH402" s="120"/>
      <c r="HVI402" s="120"/>
      <c r="HVJ402" s="120"/>
      <c r="HVK402" s="120"/>
      <c r="HVL402" s="121"/>
      <c r="HVM402" s="119"/>
      <c r="HVN402" s="120"/>
      <c r="HVO402" s="120"/>
      <c r="HVP402" s="120"/>
      <c r="HVQ402" s="120"/>
      <c r="HVR402" s="120"/>
      <c r="HVS402" s="121"/>
      <c r="HVT402" s="119"/>
      <c r="HVU402" s="120"/>
      <c r="HVV402" s="120"/>
      <c r="HVW402" s="120"/>
      <c r="HVX402" s="120"/>
      <c r="HVY402" s="120"/>
      <c r="HVZ402" s="121"/>
      <c r="HWA402" s="119"/>
      <c r="HWB402" s="120"/>
      <c r="HWC402" s="120"/>
      <c r="HWD402" s="120"/>
      <c r="HWE402" s="120"/>
      <c r="HWF402" s="120"/>
      <c r="HWG402" s="121"/>
      <c r="HWH402" s="119"/>
      <c r="HWI402" s="120"/>
      <c r="HWJ402" s="120"/>
      <c r="HWK402" s="120"/>
      <c r="HWL402" s="120"/>
      <c r="HWM402" s="120"/>
      <c r="HWN402" s="121"/>
      <c r="HWO402" s="119"/>
      <c r="HWP402" s="120"/>
      <c r="HWQ402" s="120"/>
      <c r="HWR402" s="120"/>
      <c r="HWS402" s="120"/>
      <c r="HWT402" s="120"/>
      <c r="HWU402" s="121"/>
      <c r="HWV402" s="119"/>
      <c r="HWW402" s="120"/>
      <c r="HWX402" s="120"/>
      <c r="HWY402" s="120"/>
      <c r="HWZ402" s="120"/>
      <c r="HXA402" s="120"/>
      <c r="HXB402" s="121"/>
      <c r="HXC402" s="119"/>
      <c r="HXD402" s="120"/>
      <c r="HXE402" s="120"/>
      <c r="HXF402" s="120"/>
      <c r="HXG402" s="120"/>
      <c r="HXH402" s="120"/>
      <c r="HXI402" s="121"/>
      <c r="HXJ402" s="119"/>
      <c r="HXK402" s="120"/>
      <c r="HXL402" s="120"/>
      <c r="HXM402" s="120"/>
      <c r="HXN402" s="120"/>
      <c r="HXO402" s="120"/>
      <c r="HXP402" s="121"/>
      <c r="HXQ402" s="119"/>
      <c r="HXR402" s="120"/>
      <c r="HXS402" s="120"/>
      <c r="HXT402" s="120"/>
      <c r="HXU402" s="120"/>
      <c r="HXV402" s="120"/>
      <c r="HXW402" s="121"/>
      <c r="HXX402" s="119"/>
      <c r="HXY402" s="120"/>
      <c r="HXZ402" s="120"/>
      <c r="HYA402" s="120"/>
      <c r="HYB402" s="120"/>
      <c r="HYC402" s="120"/>
      <c r="HYD402" s="121"/>
      <c r="HYE402" s="119"/>
      <c r="HYF402" s="120"/>
      <c r="HYG402" s="120"/>
      <c r="HYH402" s="120"/>
      <c r="HYI402" s="120"/>
      <c r="HYJ402" s="120"/>
      <c r="HYK402" s="121"/>
      <c r="HYL402" s="119"/>
      <c r="HYM402" s="120"/>
      <c r="HYN402" s="120"/>
      <c r="HYO402" s="120"/>
      <c r="HYP402" s="120"/>
      <c r="HYQ402" s="120"/>
      <c r="HYR402" s="121"/>
      <c r="HYS402" s="119"/>
      <c r="HYT402" s="120"/>
      <c r="HYU402" s="120"/>
      <c r="HYV402" s="120"/>
      <c r="HYW402" s="120"/>
      <c r="HYX402" s="120"/>
      <c r="HYY402" s="121"/>
      <c r="HYZ402" s="119"/>
      <c r="HZA402" s="120"/>
      <c r="HZB402" s="120"/>
      <c r="HZC402" s="120"/>
      <c r="HZD402" s="120"/>
      <c r="HZE402" s="120"/>
      <c r="HZF402" s="121"/>
      <c r="HZG402" s="119"/>
      <c r="HZH402" s="120"/>
      <c r="HZI402" s="120"/>
      <c r="HZJ402" s="120"/>
      <c r="HZK402" s="120"/>
      <c r="HZL402" s="120"/>
      <c r="HZM402" s="121"/>
      <c r="HZN402" s="119"/>
      <c r="HZO402" s="120"/>
      <c r="HZP402" s="120"/>
      <c r="HZQ402" s="120"/>
      <c r="HZR402" s="120"/>
      <c r="HZS402" s="120"/>
      <c r="HZT402" s="121"/>
      <c r="HZU402" s="119"/>
      <c r="HZV402" s="120"/>
      <c r="HZW402" s="120"/>
      <c r="HZX402" s="120"/>
      <c r="HZY402" s="120"/>
      <c r="HZZ402" s="120"/>
      <c r="IAA402" s="121"/>
      <c r="IAB402" s="119"/>
      <c r="IAC402" s="120"/>
      <c r="IAD402" s="120"/>
      <c r="IAE402" s="120"/>
      <c r="IAF402" s="120"/>
      <c r="IAG402" s="120"/>
      <c r="IAH402" s="121"/>
      <c r="IAI402" s="119"/>
      <c r="IAJ402" s="120"/>
      <c r="IAK402" s="120"/>
      <c r="IAL402" s="120"/>
      <c r="IAM402" s="120"/>
      <c r="IAN402" s="120"/>
      <c r="IAO402" s="121"/>
      <c r="IAP402" s="119"/>
      <c r="IAQ402" s="120"/>
      <c r="IAR402" s="120"/>
      <c r="IAS402" s="120"/>
      <c r="IAT402" s="120"/>
      <c r="IAU402" s="120"/>
      <c r="IAV402" s="121"/>
      <c r="IAW402" s="119"/>
      <c r="IAX402" s="120"/>
      <c r="IAY402" s="120"/>
      <c r="IAZ402" s="120"/>
      <c r="IBA402" s="120"/>
      <c r="IBB402" s="120"/>
      <c r="IBC402" s="121"/>
      <c r="IBD402" s="119"/>
      <c r="IBE402" s="120"/>
      <c r="IBF402" s="120"/>
      <c r="IBG402" s="120"/>
      <c r="IBH402" s="120"/>
      <c r="IBI402" s="120"/>
      <c r="IBJ402" s="121"/>
      <c r="IBK402" s="119"/>
      <c r="IBL402" s="120"/>
      <c r="IBM402" s="120"/>
      <c r="IBN402" s="120"/>
      <c r="IBO402" s="120"/>
      <c r="IBP402" s="120"/>
      <c r="IBQ402" s="121"/>
      <c r="IBR402" s="119"/>
      <c r="IBS402" s="120"/>
      <c r="IBT402" s="120"/>
      <c r="IBU402" s="120"/>
      <c r="IBV402" s="120"/>
      <c r="IBW402" s="120"/>
      <c r="IBX402" s="121"/>
      <c r="IBY402" s="119"/>
      <c r="IBZ402" s="120"/>
      <c r="ICA402" s="120"/>
      <c r="ICB402" s="120"/>
      <c r="ICC402" s="120"/>
      <c r="ICD402" s="120"/>
      <c r="ICE402" s="121"/>
      <c r="ICF402" s="119"/>
      <c r="ICG402" s="120"/>
      <c r="ICH402" s="120"/>
      <c r="ICI402" s="120"/>
      <c r="ICJ402" s="120"/>
      <c r="ICK402" s="120"/>
      <c r="ICL402" s="121"/>
      <c r="ICM402" s="119"/>
      <c r="ICN402" s="120"/>
      <c r="ICO402" s="120"/>
      <c r="ICP402" s="120"/>
      <c r="ICQ402" s="120"/>
      <c r="ICR402" s="120"/>
      <c r="ICS402" s="121"/>
      <c r="ICT402" s="119"/>
      <c r="ICU402" s="120"/>
      <c r="ICV402" s="120"/>
      <c r="ICW402" s="120"/>
      <c r="ICX402" s="120"/>
      <c r="ICY402" s="120"/>
      <c r="ICZ402" s="121"/>
      <c r="IDA402" s="119"/>
      <c r="IDB402" s="120"/>
      <c r="IDC402" s="120"/>
      <c r="IDD402" s="120"/>
      <c r="IDE402" s="120"/>
      <c r="IDF402" s="120"/>
      <c r="IDG402" s="121"/>
      <c r="IDH402" s="119"/>
      <c r="IDI402" s="120"/>
      <c r="IDJ402" s="120"/>
      <c r="IDK402" s="120"/>
      <c r="IDL402" s="120"/>
      <c r="IDM402" s="120"/>
      <c r="IDN402" s="121"/>
      <c r="IDO402" s="119"/>
      <c r="IDP402" s="120"/>
      <c r="IDQ402" s="120"/>
      <c r="IDR402" s="120"/>
      <c r="IDS402" s="120"/>
      <c r="IDT402" s="120"/>
      <c r="IDU402" s="121"/>
      <c r="IDV402" s="119"/>
      <c r="IDW402" s="120"/>
      <c r="IDX402" s="120"/>
      <c r="IDY402" s="120"/>
      <c r="IDZ402" s="120"/>
      <c r="IEA402" s="120"/>
      <c r="IEB402" s="121"/>
      <c r="IEC402" s="119"/>
      <c r="IED402" s="120"/>
      <c r="IEE402" s="120"/>
      <c r="IEF402" s="120"/>
      <c r="IEG402" s="120"/>
      <c r="IEH402" s="120"/>
      <c r="IEI402" s="121"/>
      <c r="IEJ402" s="119"/>
      <c r="IEK402" s="120"/>
      <c r="IEL402" s="120"/>
      <c r="IEM402" s="120"/>
      <c r="IEN402" s="120"/>
      <c r="IEO402" s="120"/>
      <c r="IEP402" s="121"/>
      <c r="IEQ402" s="119"/>
      <c r="IER402" s="120"/>
      <c r="IES402" s="120"/>
      <c r="IET402" s="120"/>
      <c r="IEU402" s="120"/>
      <c r="IEV402" s="120"/>
      <c r="IEW402" s="121"/>
      <c r="IEX402" s="119"/>
      <c r="IEY402" s="120"/>
      <c r="IEZ402" s="120"/>
      <c r="IFA402" s="120"/>
      <c r="IFB402" s="120"/>
      <c r="IFC402" s="120"/>
      <c r="IFD402" s="121"/>
      <c r="IFE402" s="119"/>
      <c r="IFF402" s="120"/>
      <c r="IFG402" s="120"/>
      <c r="IFH402" s="120"/>
      <c r="IFI402" s="120"/>
      <c r="IFJ402" s="120"/>
      <c r="IFK402" s="121"/>
      <c r="IFL402" s="119"/>
      <c r="IFM402" s="120"/>
      <c r="IFN402" s="120"/>
      <c r="IFO402" s="120"/>
      <c r="IFP402" s="120"/>
      <c r="IFQ402" s="120"/>
      <c r="IFR402" s="121"/>
      <c r="IFS402" s="119"/>
      <c r="IFT402" s="120"/>
      <c r="IFU402" s="120"/>
      <c r="IFV402" s="120"/>
      <c r="IFW402" s="120"/>
      <c r="IFX402" s="120"/>
      <c r="IFY402" s="121"/>
      <c r="IFZ402" s="119"/>
      <c r="IGA402" s="120"/>
      <c r="IGB402" s="120"/>
      <c r="IGC402" s="120"/>
      <c r="IGD402" s="120"/>
      <c r="IGE402" s="120"/>
      <c r="IGF402" s="121"/>
      <c r="IGG402" s="119"/>
      <c r="IGH402" s="120"/>
      <c r="IGI402" s="120"/>
      <c r="IGJ402" s="120"/>
      <c r="IGK402" s="120"/>
      <c r="IGL402" s="120"/>
      <c r="IGM402" s="121"/>
      <c r="IGN402" s="119"/>
      <c r="IGO402" s="120"/>
      <c r="IGP402" s="120"/>
      <c r="IGQ402" s="120"/>
      <c r="IGR402" s="120"/>
      <c r="IGS402" s="120"/>
      <c r="IGT402" s="121"/>
      <c r="IGU402" s="119"/>
      <c r="IGV402" s="120"/>
      <c r="IGW402" s="120"/>
      <c r="IGX402" s="120"/>
      <c r="IGY402" s="120"/>
      <c r="IGZ402" s="120"/>
      <c r="IHA402" s="121"/>
      <c r="IHB402" s="119"/>
      <c r="IHC402" s="120"/>
      <c r="IHD402" s="120"/>
      <c r="IHE402" s="120"/>
      <c r="IHF402" s="120"/>
      <c r="IHG402" s="120"/>
      <c r="IHH402" s="121"/>
      <c r="IHI402" s="119"/>
      <c r="IHJ402" s="120"/>
      <c r="IHK402" s="120"/>
      <c r="IHL402" s="120"/>
      <c r="IHM402" s="120"/>
      <c r="IHN402" s="120"/>
      <c r="IHO402" s="121"/>
      <c r="IHP402" s="119"/>
      <c r="IHQ402" s="120"/>
      <c r="IHR402" s="120"/>
      <c r="IHS402" s="120"/>
      <c r="IHT402" s="120"/>
      <c r="IHU402" s="120"/>
      <c r="IHV402" s="121"/>
      <c r="IHW402" s="119"/>
      <c r="IHX402" s="120"/>
      <c r="IHY402" s="120"/>
      <c r="IHZ402" s="120"/>
      <c r="IIA402" s="120"/>
      <c r="IIB402" s="120"/>
      <c r="IIC402" s="121"/>
      <c r="IID402" s="119"/>
      <c r="IIE402" s="120"/>
      <c r="IIF402" s="120"/>
      <c r="IIG402" s="120"/>
      <c r="IIH402" s="120"/>
      <c r="III402" s="120"/>
      <c r="IIJ402" s="121"/>
      <c r="IIK402" s="119"/>
      <c r="IIL402" s="120"/>
      <c r="IIM402" s="120"/>
      <c r="IIN402" s="120"/>
      <c r="IIO402" s="120"/>
      <c r="IIP402" s="120"/>
      <c r="IIQ402" s="121"/>
      <c r="IIR402" s="119"/>
      <c r="IIS402" s="120"/>
      <c r="IIT402" s="120"/>
      <c r="IIU402" s="120"/>
      <c r="IIV402" s="120"/>
      <c r="IIW402" s="120"/>
      <c r="IIX402" s="121"/>
      <c r="IIY402" s="119"/>
      <c r="IIZ402" s="120"/>
      <c r="IJA402" s="120"/>
      <c r="IJB402" s="120"/>
      <c r="IJC402" s="120"/>
      <c r="IJD402" s="120"/>
      <c r="IJE402" s="121"/>
      <c r="IJF402" s="119"/>
      <c r="IJG402" s="120"/>
      <c r="IJH402" s="120"/>
      <c r="IJI402" s="120"/>
      <c r="IJJ402" s="120"/>
      <c r="IJK402" s="120"/>
      <c r="IJL402" s="121"/>
      <c r="IJM402" s="119"/>
      <c r="IJN402" s="120"/>
      <c r="IJO402" s="120"/>
      <c r="IJP402" s="120"/>
      <c r="IJQ402" s="120"/>
      <c r="IJR402" s="120"/>
      <c r="IJS402" s="121"/>
      <c r="IJT402" s="119"/>
      <c r="IJU402" s="120"/>
      <c r="IJV402" s="120"/>
      <c r="IJW402" s="120"/>
      <c r="IJX402" s="120"/>
      <c r="IJY402" s="120"/>
      <c r="IJZ402" s="121"/>
      <c r="IKA402" s="119"/>
      <c r="IKB402" s="120"/>
      <c r="IKC402" s="120"/>
      <c r="IKD402" s="120"/>
      <c r="IKE402" s="120"/>
      <c r="IKF402" s="120"/>
      <c r="IKG402" s="121"/>
      <c r="IKH402" s="119"/>
      <c r="IKI402" s="120"/>
      <c r="IKJ402" s="120"/>
      <c r="IKK402" s="120"/>
      <c r="IKL402" s="120"/>
      <c r="IKM402" s="120"/>
      <c r="IKN402" s="121"/>
      <c r="IKO402" s="119"/>
      <c r="IKP402" s="120"/>
      <c r="IKQ402" s="120"/>
      <c r="IKR402" s="120"/>
      <c r="IKS402" s="120"/>
      <c r="IKT402" s="120"/>
      <c r="IKU402" s="121"/>
      <c r="IKV402" s="119"/>
      <c r="IKW402" s="120"/>
      <c r="IKX402" s="120"/>
      <c r="IKY402" s="120"/>
      <c r="IKZ402" s="120"/>
      <c r="ILA402" s="120"/>
      <c r="ILB402" s="121"/>
      <c r="ILC402" s="119"/>
      <c r="ILD402" s="120"/>
      <c r="ILE402" s="120"/>
      <c r="ILF402" s="120"/>
      <c r="ILG402" s="120"/>
      <c r="ILH402" s="120"/>
      <c r="ILI402" s="121"/>
      <c r="ILJ402" s="119"/>
      <c r="ILK402" s="120"/>
      <c r="ILL402" s="120"/>
      <c r="ILM402" s="120"/>
      <c r="ILN402" s="120"/>
      <c r="ILO402" s="120"/>
      <c r="ILP402" s="121"/>
      <c r="ILQ402" s="119"/>
      <c r="ILR402" s="120"/>
      <c r="ILS402" s="120"/>
      <c r="ILT402" s="120"/>
      <c r="ILU402" s="120"/>
      <c r="ILV402" s="120"/>
      <c r="ILW402" s="121"/>
      <c r="ILX402" s="119"/>
      <c r="ILY402" s="120"/>
      <c r="ILZ402" s="120"/>
      <c r="IMA402" s="120"/>
      <c r="IMB402" s="120"/>
      <c r="IMC402" s="120"/>
      <c r="IMD402" s="121"/>
      <c r="IME402" s="119"/>
      <c r="IMF402" s="120"/>
      <c r="IMG402" s="120"/>
      <c r="IMH402" s="120"/>
      <c r="IMI402" s="120"/>
      <c r="IMJ402" s="120"/>
      <c r="IMK402" s="121"/>
      <c r="IML402" s="119"/>
      <c r="IMM402" s="120"/>
      <c r="IMN402" s="120"/>
      <c r="IMO402" s="120"/>
      <c r="IMP402" s="120"/>
      <c r="IMQ402" s="120"/>
      <c r="IMR402" s="121"/>
      <c r="IMS402" s="119"/>
      <c r="IMT402" s="120"/>
      <c r="IMU402" s="120"/>
      <c r="IMV402" s="120"/>
      <c r="IMW402" s="120"/>
      <c r="IMX402" s="120"/>
      <c r="IMY402" s="121"/>
      <c r="IMZ402" s="119"/>
      <c r="INA402" s="120"/>
      <c r="INB402" s="120"/>
      <c r="INC402" s="120"/>
      <c r="IND402" s="120"/>
      <c r="INE402" s="120"/>
      <c r="INF402" s="121"/>
      <c r="ING402" s="119"/>
      <c r="INH402" s="120"/>
      <c r="INI402" s="120"/>
      <c r="INJ402" s="120"/>
      <c r="INK402" s="120"/>
      <c r="INL402" s="120"/>
      <c r="INM402" s="121"/>
      <c r="INN402" s="119"/>
      <c r="INO402" s="120"/>
      <c r="INP402" s="120"/>
      <c r="INQ402" s="120"/>
      <c r="INR402" s="120"/>
      <c r="INS402" s="120"/>
      <c r="INT402" s="121"/>
      <c r="INU402" s="119"/>
      <c r="INV402" s="120"/>
      <c r="INW402" s="120"/>
      <c r="INX402" s="120"/>
      <c r="INY402" s="120"/>
      <c r="INZ402" s="120"/>
      <c r="IOA402" s="121"/>
      <c r="IOB402" s="119"/>
      <c r="IOC402" s="120"/>
      <c r="IOD402" s="120"/>
      <c r="IOE402" s="120"/>
      <c r="IOF402" s="120"/>
      <c r="IOG402" s="120"/>
      <c r="IOH402" s="121"/>
      <c r="IOI402" s="119"/>
      <c r="IOJ402" s="120"/>
      <c r="IOK402" s="120"/>
      <c r="IOL402" s="120"/>
      <c r="IOM402" s="120"/>
      <c r="ION402" s="120"/>
      <c r="IOO402" s="121"/>
      <c r="IOP402" s="119"/>
      <c r="IOQ402" s="120"/>
      <c r="IOR402" s="120"/>
      <c r="IOS402" s="120"/>
      <c r="IOT402" s="120"/>
      <c r="IOU402" s="120"/>
      <c r="IOV402" s="121"/>
      <c r="IOW402" s="119"/>
      <c r="IOX402" s="120"/>
      <c r="IOY402" s="120"/>
      <c r="IOZ402" s="120"/>
      <c r="IPA402" s="120"/>
      <c r="IPB402" s="120"/>
      <c r="IPC402" s="121"/>
      <c r="IPD402" s="119"/>
      <c r="IPE402" s="120"/>
      <c r="IPF402" s="120"/>
      <c r="IPG402" s="120"/>
      <c r="IPH402" s="120"/>
      <c r="IPI402" s="120"/>
      <c r="IPJ402" s="121"/>
      <c r="IPK402" s="119"/>
      <c r="IPL402" s="120"/>
      <c r="IPM402" s="120"/>
      <c r="IPN402" s="120"/>
      <c r="IPO402" s="120"/>
      <c r="IPP402" s="120"/>
      <c r="IPQ402" s="121"/>
      <c r="IPR402" s="119"/>
      <c r="IPS402" s="120"/>
      <c r="IPT402" s="120"/>
      <c r="IPU402" s="120"/>
      <c r="IPV402" s="120"/>
      <c r="IPW402" s="120"/>
      <c r="IPX402" s="121"/>
      <c r="IPY402" s="119"/>
      <c r="IPZ402" s="120"/>
      <c r="IQA402" s="120"/>
      <c r="IQB402" s="120"/>
      <c r="IQC402" s="120"/>
      <c r="IQD402" s="120"/>
      <c r="IQE402" s="121"/>
      <c r="IQF402" s="119"/>
      <c r="IQG402" s="120"/>
      <c r="IQH402" s="120"/>
      <c r="IQI402" s="120"/>
      <c r="IQJ402" s="120"/>
      <c r="IQK402" s="120"/>
      <c r="IQL402" s="121"/>
      <c r="IQM402" s="119"/>
      <c r="IQN402" s="120"/>
      <c r="IQO402" s="120"/>
      <c r="IQP402" s="120"/>
      <c r="IQQ402" s="120"/>
      <c r="IQR402" s="120"/>
      <c r="IQS402" s="121"/>
      <c r="IQT402" s="119"/>
      <c r="IQU402" s="120"/>
      <c r="IQV402" s="120"/>
      <c r="IQW402" s="120"/>
      <c r="IQX402" s="120"/>
      <c r="IQY402" s="120"/>
      <c r="IQZ402" s="121"/>
      <c r="IRA402" s="119"/>
      <c r="IRB402" s="120"/>
      <c r="IRC402" s="120"/>
      <c r="IRD402" s="120"/>
      <c r="IRE402" s="120"/>
      <c r="IRF402" s="120"/>
      <c r="IRG402" s="121"/>
      <c r="IRH402" s="119"/>
      <c r="IRI402" s="120"/>
      <c r="IRJ402" s="120"/>
      <c r="IRK402" s="120"/>
      <c r="IRL402" s="120"/>
      <c r="IRM402" s="120"/>
      <c r="IRN402" s="121"/>
      <c r="IRO402" s="119"/>
      <c r="IRP402" s="120"/>
      <c r="IRQ402" s="120"/>
      <c r="IRR402" s="120"/>
      <c r="IRS402" s="120"/>
      <c r="IRT402" s="120"/>
      <c r="IRU402" s="121"/>
      <c r="IRV402" s="119"/>
      <c r="IRW402" s="120"/>
      <c r="IRX402" s="120"/>
      <c r="IRY402" s="120"/>
      <c r="IRZ402" s="120"/>
      <c r="ISA402" s="120"/>
      <c r="ISB402" s="121"/>
      <c r="ISC402" s="119"/>
      <c r="ISD402" s="120"/>
      <c r="ISE402" s="120"/>
      <c r="ISF402" s="120"/>
      <c r="ISG402" s="120"/>
      <c r="ISH402" s="120"/>
      <c r="ISI402" s="121"/>
      <c r="ISJ402" s="119"/>
      <c r="ISK402" s="120"/>
      <c r="ISL402" s="120"/>
      <c r="ISM402" s="120"/>
      <c r="ISN402" s="120"/>
      <c r="ISO402" s="120"/>
      <c r="ISP402" s="121"/>
      <c r="ISQ402" s="119"/>
      <c r="ISR402" s="120"/>
      <c r="ISS402" s="120"/>
      <c r="IST402" s="120"/>
      <c r="ISU402" s="120"/>
      <c r="ISV402" s="120"/>
      <c r="ISW402" s="121"/>
      <c r="ISX402" s="119"/>
      <c r="ISY402" s="120"/>
      <c r="ISZ402" s="120"/>
      <c r="ITA402" s="120"/>
      <c r="ITB402" s="120"/>
      <c r="ITC402" s="120"/>
      <c r="ITD402" s="121"/>
      <c r="ITE402" s="119"/>
      <c r="ITF402" s="120"/>
      <c r="ITG402" s="120"/>
      <c r="ITH402" s="120"/>
      <c r="ITI402" s="120"/>
      <c r="ITJ402" s="120"/>
      <c r="ITK402" s="121"/>
      <c r="ITL402" s="119"/>
      <c r="ITM402" s="120"/>
      <c r="ITN402" s="120"/>
      <c r="ITO402" s="120"/>
      <c r="ITP402" s="120"/>
      <c r="ITQ402" s="120"/>
      <c r="ITR402" s="121"/>
      <c r="ITS402" s="119"/>
      <c r="ITT402" s="120"/>
      <c r="ITU402" s="120"/>
      <c r="ITV402" s="120"/>
      <c r="ITW402" s="120"/>
      <c r="ITX402" s="120"/>
      <c r="ITY402" s="121"/>
      <c r="ITZ402" s="119"/>
      <c r="IUA402" s="120"/>
      <c r="IUB402" s="120"/>
      <c r="IUC402" s="120"/>
      <c r="IUD402" s="120"/>
      <c r="IUE402" s="120"/>
      <c r="IUF402" s="121"/>
      <c r="IUG402" s="119"/>
      <c r="IUH402" s="120"/>
      <c r="IUI402" s="120"/>
      <c r="IUJ402" s="120"/>
      <c r="IUK402" s="120"/>
      <c r="IUL402" s="120"/>
      <c r="IUM402" s="121"/>
      <c r="IUN402" s="119"/>
      <c r="IUO402" s="120"/>
      <c r="IUP402" s="120"/>
      <c r="IUQ402" s="120"/>
      <c r="IUR402" s="120"/>
      <c r="IUS402" s="120"/>
      <c r="IUT402" s="121"/>
      <c r="IUU402" s="119"/>
      <c r="IUV402" s="120"/>
      <c r="IUW402" s="120"/>
      <c r="IUX402" s="120"/>
      <c r="IUY402" s="120"/>
      <c r="IUZ402" s="120"/>
      <c r="IVA402" s="121"/>
      <c r="IVB402" s="119"/>
      <c r="IVC402" s="120"/>
      <c r="IVD402" s="120"/>
      <c r="IVE402" s="120"/>
      <c r="IVF402" s="120"/>
      <c r="IVG402" s="120"/>
      <c r="IVH402" s="121"/>
      <c r="IVI402" s="119"/>
      <c r="IVJ402" s="120"/>
      <c r="IVK402" s="120"/>
      <c r="IVL402" s="120"/>
      <c r="IVM402" s="120"/>
      <c r="IVN402" s="120"/>
      <c r="IVO402" s="121"/>
      <c r="IVP402" s="119"/>
      <c r="IVQ402" s="120"/>
      <c r="IVR402" s="120"/>
      <c r="IVS402" s="120"/>
      <c r="IVT402" s="120"/>
      <c r="IVU402" s="120"/>
      <c r="IVV402" s="121"/>
      <c r="IVW402" s="119"/>
      <c r="IVX402" s="120"/>
      <c r="IVY402" s="120"/>
      <c r="IVZ402" s="120"/>
      <c r="IWA402" s="120"/>
      <c r="IWB402" s="120"/>
      <c r="IWC402" s="121"/>
      <c r="IWD402" s="119"/>
      <c r="IWE402" s="120"/>
      <c r="IWF402" s="120"/>
      <c r="IWG402" s="120"/>
      <c r="IWH402" s="120"/>
      <c r="IWI402" s="120"/>
      <c r="IWJ402" s="121"/>
      <c r="IWK402" s="119"/>
      <c r="IWL402" s="120"/>
      <c r="IWM402" s="120"/>
      <c r="IWN402" s="120"/>
      <c r="IWO402" s="120"/>
      <c r="IWP402" s="120"/>
      <c r="IWQ402" s="121"/>
      <c r="IWR402" s="119"/>
      <c r="IWS402" s="120"/>
      <c r="IWT402" s="120"/>
      <c r="IWU402" s="120"/>
      <c r="IWV402" s="120"/>
      <c r="IWW402" s="120"/>
      <c r="IWX402" s="121"/>
      <c r="IWY402" s="119"/>
      <c r="IWZ402" s="120"/>
      <c r="IXA402" s="120"/>
      <c r="IXB402" s="120"/>
      <c r="IXC402" s="120"/>
      <c r="IXD402" s="120"/>
      <c r="IXE402" s="121"/>
      <c r="IXF402" s="119"/>
      <c r="IXG402" s="120"/>
      <c r="IXH402" s="120"/>
      <c r="IXI402" s="120"/>
      <c r="IXJ402" s="120"/>
      <c r="IXK402" s="120"/>
      <c r="IXL402" s="121"/>
      <c r="IXM402" s="119"/>
      <c r="IXN402" s="120"/>
      <c r="IXO402" s="120"/>
      <c r="IXP402" s="120"/>
      <c r="IXQ402" s="120"/>
      <c r="IXR402" s="120"/>
      <c r="IXS402" s="121"/>
      <c r="IXT402" s="119"/>
      <c r="IXU402" s="120"/>
      <c r="IXV402" s="120"/>
      <c r="IXW402" s="120"/>
      <c r="IXX402" s="120"/>
      <c r="IXY402" s="120"/>
      <c r="IXZ402" s="121"/>
      <c r="IYA402" s="119"/>
      <c r="IYB402" s="120"/>
      <c r="IYC402" s="120"/>
      <c r="IYD402" s="120"/>
      <c r="IYE402" s="120"/>
      <c r="IYF402" s="120"/>
      <c r="IYG402" s="121"/>
      <c r="IYH402" s="119"/>
      <c r="IYI402" s="120"/>
      <c r="IYJ402" s="120"/>
      <c r="IYK402" s="120"/>
      <c r="IYL402" s="120"/>
      <c r="IYM402" s="120"/>
      <c r="IYN402" s="121"/>
      <c r="IYO402" s="119"/>
      <c r="IYP402" s="120"/>
      <c r="IYQ402" s="120"/>
      <c r="IYR402" s="120"/>
      <c r="IYS402" s="120"/>
      <c r="IYT402" s="120"/>
      <c r="IYU402" s="121"/>
      <c r="IYV402" s="119"/>
      <c r="IYW402" s="120"/>
      <c r="IYX402" s="120"/>
      <c r="IYY402" s="120"/>
      <c r="IYZ402" s="120"/>
      <c r="IZA402" s="120"/>
      <c r="IZB402" s="121"/>
      <c r="IZC402" s="119"/>
      <c r="IZD402" s="120"/>
      <c r="IZE402" s="120"/>
      <c r="IZF402" s="120"/>
      <c r="IZG402" s="120"/>
      <c r="IZH402" s="120"/>
      <c r="IZI402" s="121"/>
      <c r="IZJ402" s="119"/>
      <c r="IZK402" s="120"/>
      <c r="IZL402" s="120"/>
      <c r="IZM402" s="120"/>
      <c r="IZN402" s="120"/>
      <c r="IZO402" s="120"/>
      <c r="IZP402" s="121"/>
      <c r="IZQ402" s="119"/>
      <c r="IZR402" s="120"/>
      <c r="IZS402" s="120"/>
      <c r="IZT402" s="120"/>
      <c r="IZU402" s="120"/>
      <c r="IZV402" s="120"/>
      <c r="IZW402" s="121"/>
      <c r="IZX402" s="119"/>
      <c r="IZY402" s="120"/>
      <c r="IZZ402" s="120"/>
      <c r="JAA402" s="120"/>
      <c r="JAB402" s="120"/>
      <c r="JAC402" s="120"/>
      <c r="JAD402" s="121"/>
      <c r="JAE402" s="119"/>
      <c r="JAF402" s="120"/>
      <c r="JAG402" s="120"/>
      <c r="JAH402" s="120"/>
      <c r="JAI402" s="120"/>
      <c r="JAJ402" s="120"/>
      <c r="JAK402" s="121"/>
      <c r="JAL402" s="119"/>
      <c r="JAM402" s="120"/>
      <c r="JAN402" s="120"/>
      <c r="JAO402" s="120"/>
      <c r="JAP402" s="120"/>
      <c r="JAQ402" s="120"/>
      <c r="JAR402" s="121"/>
      <c r="JAS402" s="119"/>
      <c r="JAT402" s="120"/>
      <c r="JAU402" s="120"/>
      <c r="JAV402" s="120"/>
      <c r="JAW402" s="120"/>
      <c r="JAX402" s="120"/>
      <c r="JAY402" s="121"/>
      <c r="JAZ402" s="119"/>
      <c r="JBA402" s="120"/>
      <c r="JBB402" s="120"/>
      <c r="JBC402" s="120"/>
      <c r="JBD402" s="120"/>
      <c r="JBE402" s="120"/>
      <c r="JBF402" s="121"/>
      <c r="JBG402" s="119"/>
      <c r="JBH402" s="120"/>
      <c r="JBI402" s="120"/>
      <c r="JBJ402" s="120"/>
      <c r="JBK402" s="120"/>
      <c r="JBL402" s="120"/>
      <c r="JBM402" s="121"/>
      <c r="JBN402" s="119"/>
      <c r="JBO402" s="120"/>
      <c r="JBP402" s="120"/>
      <c r="JBQ402" s="120"/>
      <c r="JBR402" s="120"/>
      <c r="JBS402" s="120"/>
      <c r="JBT402" s="121"/>
      <c r="JBU402" s="119"/>
      <c r="JBV402" s="120"/>
      <c r="JBW402" s="120"/>
      <c r="JBX402" s="120"/>
      <c r="JBY402" s="120"/>
      <c r="JBZ402" s="120"/>
      <c r="JCA402" s="121"/>
      <c r="JCB402" s="119"/>
      <c r="JCC402" s="120"/>
      <c r="JCD402" s="120"/>
      <c r="JCE402" s="120"/>
      <c r="JCF402" s="120"/>
      <c r="JCG402" s="120"/>
      <c r="JCH402" s="121"/>
      <c r="JCI402" s="119"/>
      <c r="JCJ402" s="120"/>
      <c r="JCK402" s="120"/>
      <c r="JCL402" s="120"/>
      <c r="JCM402" s="120"/>
      <c r="JCN402" s="120"/>
      <c r="JCO402" s="121"/>
      <c r="JCP402" s="119"/>
      <c r="JCQ402" s="120"/>
      <c r="JCR402" s="120"/>
      <c r="JCS402" s="120"/>
      <c r="JCT402" s="120"/>
      <c r="JCU402" s="120"/>
      <c r="JCV402" s="121"/>
      <c r="JCW402" s="119"/>
      <c r="JCX402" s="120"/>
      <c r="JCY402" s="120"/>
      <c r="JCZ402" s="120"/>
      <c r="JDA402" s="120"/>
      <c r="JDB402" s="120"/>
      <c r="JDC402" s="121"/>
      <c r="JDD402" s="119"/>
      <c r="JDE402" s="120"/>
      <c r="JDF402" s="120"/>
      <c r="JDG402" s="120"/>
      <c r="JDH402" s="120"/>
      <c r="JDI402" s="120"/>
      <c r="JDJ402" s="121"/>
      <c r="JDK402" s="119"/>
      <c r="JDL402" s="120"/>
      <c r="JDM402" s="120"/>
      <c r="JDN402" s="120"/>
      <c r="JDO402" s="120"/>
      <c r="JDP402" s="120"/>
      <c r="JDQ402" s="121"/>
      <c r="JDR402" s="119"/>
      <c r="JDS402" s="120"/>
      <c r="JDT402" s="120"/>
      <c r="JDU402" s="120"/>
      <c r="JDV402" s="120"/>
      <c r="JDW402" s="120"/>
      <c r="JDX402" s="121"/>
      <c r="JDY402" s="119"/>
      <c r="JDZ402" s="120"/>
      <c r="JEA402" s="120"/>
      <c r="JEB402" s="120"/>
      <c r="JEC402" s="120"/>
      <c r="JED402" s="120"/>
      <c r="JEE402" s="121"/>
      <c r="JEF402" s="119"/>
      <c r="JEG402" s="120"/>
      <c r="JEH402" s="120"/>
      <c r="JEI402" s="120"/>
      <c r="JEJ402" s="120"/>
      <c r="JEK402" s="120"/>
      <c r="JEL402" s="121"/>
      <c r="JEM402" s="119"/>
      <c r="JEN402" s="120"/>
      <c r="JEO402" s="120"/>
      <c r="JEP402" s="120"/>
      <c r="JEQ402" s="120"/>
      <c r="JER402" s="120"/>
      <c r="JES402" s="121"/>
      <c r="JET402" s="119"/>
      <c r="JEU402" s="120"/>
      <c r="JEV402" s="120"/>
      <c r="JEW402" s="120"/>
      <c r="JEX402" s="120"/>
      <c r="JEY402" s="120"/>
      <c r="JEZ402" s="121"/>
      <c r="JFA402" s="119"/>
      <c r="JFB402" s="120"/>
      <c r="JFC402" s="120"/>
      <c r="JFD402" s="120"/>
      <c r="JFE402" s="120"/>
      <c r="JFF402" s="120"/>
      <c r="JFG402" s="121"/>
      <c r="JFH402" s="119"/>
      <c r="JFI402" s="120"/>
      <c r="JFJ402" s="120"/>
      <c r="JFK402" s="120"/>
      <c r="JFL402" s="120"/>
      <c r="JFM402" s="120"/>
      <c r="JFN402" s="121"/>
      <c r="JFO402" s="119"/>
      <c r="JFP402" s="120"/>
      <c r="JFQ402" s="120"/>
      <c r="JFR402" s="120"/>
      <c r="JFS402" s="120"/>
      <c r="JFT402" s="120"/>
      <c r="JFU402" s="121"/>
      <c r="JFV402" s="119"/>
      <c r="JFW402" s="120"/>
      <c r="JFX402" s="120"/>
      <c r="JFY402" s="120"/>
      <c r="JFZ402" s="120"/>
      <c r="JGA402" s="120"/>
      <c r="JGB402" s="121"/>
      <c r="JGC402" s="119"/>
      <c r="JGD402" s="120"/>
      <c r="JGE402" s="120"/>
      <c r="JGF402" s="120"/>
      <c r="JGG402" s="120"/>
      <c r="JGH402" s="120"/>
      <c r="JGI402" s="121"/>
      <c r="JGJ402" s="119"/>
      <c r="JGK402" s="120"/>
      <c r="JGL402" s="120"/>
      <c r="JGM402" s="120"/>
      <c r="JGN402" s="120"/>
      <c r="JGO402" s="120"/>
      <c r="JGP402" s="121"/>
      <c r="JGQ402" s="119"/>
      <c r="JGR402" s="120"/>
      <c r="JGS402" s="120"/>
      <c r="JGT402" s="120"/>
      <c r="JGU402" s="120"/>
      <c r="JGV402" s="120"/>
      <c r="JGW402" s="121"/>
      <c r="JGX402" s="119"/>
      <c r="JGY402" s="120"/>
      <c r="JGZ402" s="120"/>
      <c r="JHA402" s="120"/>
      <c r="JHB402" s="120"/>
      <c r="JHC402" s="120"/>
      <c r="JHD402" s="121"/>
      <c r="JHE402" s="119"/>
      <c r="JHF402" s="120"/>
      <c r="JHG402" s="120"/>
      <c r="JHH402" s="120"/>
      <c r="JHI402" s="120"/>
      <c r="JHJ402" s="120"/>
      <c r="JHK402" s="121"/>
      <c r="JHL402" s="119"/>
      <c r="JHM402" s="120"/>
      <c r="JHN402" s="120"/>
      <c r="JHO402" s="120"/>
      <c r="JHP402" s="120"/>
      <c r="JHQ402" s="120"/>
      <c r="JHR402" s="121"/>
      <c r="JHS402" s="119"/>
      <c r="JHT402" s="120"/>
      <c r="JHU402" s="120"/>
      <c r="JHV402" s="120"/>
      <c r="JHW402" s="120"/>
      <c r="JHX402" s="120"/>
      <c r="JHY402" s="121"/>
      <c r="JHZ402" s="119"/>
      <c r="JIA402" s="120"/>
      <c r="JIB402" s="120"/>
      <c r="JIC402" s="120"/>
      <c r="JID402" s="120"/>
      <c r="JIE402" s="120"/>
      <c r="JIF402" s="121"/>
      <c r="JIG402" s="119"/>
      <c r="JIH402" s="120"/>
      <c r="JII402" s="120"/>
      <c r="JIJ402" s="120"/>
      <c r="JIK402" s="120"/>
      <c r="JIL402" s="120"/>
      <c r="JIM402" s="121"/>
      <c r="JIN402" s="119"/>
      <c r="JIO402" s="120"/>
      <c r="JIP402" s="120"/>
      <c r="JIQ402" s="120"/>
      <c r="JIR402" s="120"/>
      <c r="JIS402" s="120"/>
      <c r="JIT402" s="121"/>
      <c r="JIU402" s="119"/>
      <c r="JIV402" s="120"/>
      <c r="JIW402" s="120"/>
      <c r="JIX402" s="120"/>
      <c r="JIY402" s="120"/>
      <c r="JIZ402" s="120"/>
      <c r="JJA402" s="121"/>
      <c r="JJB402" s="119"/>
      <c r="JJC402" s="120"/>
      <c r="JJD402" s="120"/>
      <c r="JJE402" s="120"/>
      <c r="JJF402" s="120"/>
      <c r="JJG402" s="120"/>
      <c r="JJH402" s="121"/>
      <c r="JJI402" s="119"/>
      <c r="JJJ402" s="120"/>
      <c r="JJK402" s="120"/>
      <c r="JJL402" s="120"/>
      <c r="JJM402" s="120"/>
      <c r="JJN402" s="120"/>
      <c r="JJO402" s="121"/>
      <c r="JJP402" s="119"/>
      <c r="JJQ402" s="120"/>
      <c r="JJR402" s="120"/>
      <c r="JJS402" s="120"/>
      <c r="JJT402" s="120"/>
      <c r="JJU402" s="120"/>
      <c r="JJV402" s="121"/>
      <c r="JJW402" s="119"/>
      <c r="JJX402" s="120"/>
      <c r="JJY402" s="120"/>
      <c r="JJZ402" s="120"/>
      <c r="JKA402" s="120"/>
      <c r="JKB402" s="120"/>
      <c r="JKC402" s="121"/>
      <c r="JKD402" s="119"/>
      <c r="JKE402" s="120"/>
      <c r="JKF402" s="120"/>
      <c r="JKG402" s="120"/>
      <c r="JKH402" s="120"/>
      <c r="JKI402" s="120"/>
      <c r="JKJ402" s="121"/>
      <c r="JKK402" s="119"/>
      <c r="JKL402" s="120"/>
      <c r="JKM402" s="120"/>
      <c r="JKN402" s="120"/>
      <c r="JKO402" s="120"/>
      <c r="JKP402" s="120"/>
      <c r="JKQ402" s="121"/>
      <c r="JKR402" s="119"/>
      <c r="JKS402" s="120"/>
      <c r="JKT402" s="120"/>
      <c r="JKU402" s="120"/>
      <c r="JKV402" s="120"/>
      <c r="JKW402" s="120"/>
      <c r="JKX402" s="121"/>
      <c r="JKY402" s="119"/>
      <c r="JKZ402" s="120"/>
      <c r="JLA402" s="120"/>
      <c r="JLB402" s="120"/>
      <c r="JLC402" s="120"/>
      <c r="JLD402" s="120"/>
      <c r="JLE402" s="121"/>
      <c r="JLF402" s="119"/>
      <c r="JLG402" s="120"/>
      <c r="JLH402" s="120"/>
      <c r="JLI402" s="120"/>
      <c r="JLJ402" s="120"/>
      <c r="JLK402" s="120"/>
      <c r="JLL402" s="121"/>
      <c r="JLM402" s="119"/>
      <c r="JLN402" s="120"/>
      <c r="JLO402" s="120"/>
      <c r="JLP402" s="120"/>
      <c r="JLQ402" s="120"/>
      <c r="JLR402" s="120"/>
      <c r="JLS402" s="121"/>
      <c r="JLT402" s="119"/>
      <c r="JLU402" s="120"/>
      <c r="JLV402" s="120"/>
      <c r="JLW402" s="120"/>
      <c r="JLX402" s="120"/>
      <c r="JLY402" s="120"/>
      <c r="JLZ402" s="121"/>
      <c r="JMA402" s="119"/>
      <c r="JMB402" s="120"/>
      <c r="JMC402" s="120"/>
      <c r="JMD402" s="120"/>
      <c r="JME402" s="120"/>
      <c r="JMF402" s="120"/>
      <c r="JMG402" s="121"/>
      <c r="JMH402" s="119"/>
      <c r="JMI402" s="120"/>
      <c r="JMJ402" s="120"/>
      <c r="JMK402" s="120"/>
      <c r="JML402" s="120"/>
      <c r="JMM402" s="120"/>
      <c r="JMN402" s="121"/>
      <c r="JMO402" s="119"/>
      <c r="JMP402" s="120"/>
      <c r="JMQ402" s="120"/>
      <c r="JMR402" s="120"/>
      <c r="JMS402" s="120"/>
      <c r="JMT402" s="120"/>
      <c r="JMU402" s="121"/>
      <c r="JMV402" s="119"/>
      <c r="JMW402" s="120"/>
      <c r="JMX402" s="120"/>
      <c r="JMY402" s="120"/>
      <c r="JMZ402" s="120"/>
      <c r="JNA402" s="120"/>
      <c r="JNB402" s="121"/>
      <c r="JNC402" s="119"/>
      <c r="JND402" s="120"/>
      <c r="JNE402" s="120"/>
      <c r="JNF402" s="120"/>
      <c r="JNG402" s="120"/>
      <c r="JNH402" s="120"/>
      <c r="JNI402" s="121"/>
      <c r="JNJ402" s="119"/>
      <c r="JNK402" s="120"/>
      <c r="JNL402" s="120"/>
      <c r="JNM402" s="120"/>
      <c r="JNN402" s="120"/>
      <c r="JNO402" s="120"/>
      <c r="JNP402" s="121"/>
      <c r="JNQ402" s="119"/>
      <c r="JNR402" s="120"/>
      <c r="JNS402" s="120"/>
      <c r="JNT402" s="120"/>
      <c r="JNU402" s="120"/>
      <c r="JNV402" s="120"/>
      <c r="JNW402" s="121"/>
      <c r="JNX402" s="119"/>
      <c r="JNY402" s="120"/>
      <c r="JNZ402" s="120"/>
      <c r="JOA402" s="120"/>
      <c r="JOB402" s="120"/>
      <c r="JOC402" s="120"/>
      <c r="JOD402" s="121"/>
      <c r="JOE402" s="119"/>
      <c r="JOF402" s="120"/>
      <c r="JOG402" s="120"/>
      <c r="JOH402" s="120"/>
      <c r="JOI402" s="120"/>
      <c r="JOJ402" s="120"/>
      <c r="JOK402" s="121"/>
      <c r="JOL402" s="119"/>
      <c r="JOM402" s="120"/>
      <c r="JON402" s="120"/>
      <c r="JOO402" s="120"/>
      <c r="JOP402" s="120"/>
      <c r="JOQ402" s="120"/>
      <c r="JOR402" s="121"/>
      <c r="JOS402" s="119"/>
      <c r="JOT402" s="120"/>
      <c r="JOU402" s="120"/>
      <c r="JOV402" s="120"/>
      <c r="JOW402" s="120"/>
      <c r="JOX402" s="120"/>
      <c r="JOY402" s="121"/>
      <c r="JOZ402" s="119"/>
      <c r="JPA402" s="120"/>
      <c r="JPB402" s="120"/>
      <c r="JPC402" s="120"/>
      <c r="JPD402" s="120"/>
      <c r="JPE402" s="120"/>
      <c r="JPF402" s="121"/>
      <c r="JPG402" s="119"/>
      <c r="JPH402" s="120"/>
      <c r="JPI402" s="120"/>
      <c r="JPJ402" s="120"/>
      <c r="JPK402" s="120"/>
      <c r="JPL402" s="120"/>
      <c r="JPM402" s="121"/>
      <c r="JPN402" s="119"/>
      <c r="JPO402" s="120"/>
      <c r="JPP402" s="120"/>
      <c r="JPQ402" s="120"/>
      <c r="JPR402" s="120"/>
      <c r="JPS402" s="120"/>
      <c r="JPT402" s="121"/>
      <c r="JPU402" s="119"/>
      <c r="JPV402" s="120"/>
      <c r="JPW402" s="120"/>
      <c r="JPX402" s="120"/>
      <c r="JPY402" s="120"/>
      <c r="JPZ402" s="120"/>
      <c r="JQA402" s="121"/>
      <c r="JQB402" s="119"/>
      <c r="JQC402" s="120"/>
      <c r="JQD402" s="120"/>
      <c r="JQE402" s="120"/>
      <c r="JQF402" s="120"/>
      <c r="JQG402" s="120"/>
      <c r="JQH402" s="121"/>
      <c r="JQI402" s="119"/>
      <c r="JQJ402" s="120"/>
      <c r="JQK402" s="120"/>
      <c r="JQL402" s="120"/>
      <c r="JQM402" s="120"/>
      <c r="JQN402" s="120"/>
      <c r="JQO402" s="121"/>
      <c r="JQP402" s="119"/>
      <c r="JQQ402" s="120"/>
      <c r="JQR402" s="120"/>
      <c r="JQS402" s="120"/>
      <c r="JQT402" s="120"/>
      <c r="JQU402" s="120"/>
      <c r="JQV402" s="121"/>
      <c r="JQW402" s="119"/>
      <c r="JQX402" s="120"/>
      <c r="JQY402" s="120"/>
      <c r="JQZ402" s="120"/>
      <c r="JRA402" s="120"/>
      <c r="JRB402" s="120"/>
      <c r="JRC402" s="121"/>
      <c r="JRD402" s="119"/>
      <c r="JRE402" s="120"/>
      <c r="JRF402" s="120"/>
      <c r="JRG402" s="120"/>
      <c r="JRH402" s="120"/>
      <c r="JRI402" s="120"/>
      <c r="JRJ402" s="121"/>
      <c r="JRK402" s="119"/>
      <c r="JRL402" s="120"/>
      <c r="JRM402" s="120"/>
      <c r="JRN402" s="120"/>
      <c r="JRO402" s="120"/>
      <c r="JRP402" s="120"/>
      <c r="JRQ402" s="121"/>
      <c r="JRR402" s="119"/>
      <c r="JRS402" s="120"/>
      <c r="JRT402" s="120"/>
      <c r="JRU402" s="120"/>
      <c r="JRV402" s="120"/>
      <c r="JRW402" s="120"/>
      <c r="JRX402" s="121"/>
      <c r="JRY402" s="119"/>
      <c r="JRZ402" s="120"/>
      <c r="JSA402" s="120"/>
      <c r="JSB402" s="120"/>
      <c r="JSC402" s="120"/>
      <c r="JSD402" s="120"/>
      <c r="JSE402" s="121"/>
      <c r="JSF402" s="119"/>
      <c r="JSG402" s="120"/>
      <c r="JSH402" s="120"/>
      <c r="JSI402" s="120"/>
      <c r="JSJ402" s="120"/>
      <c r="JSK402" s="120"/>
      <c r="JSL402" s="121"/>
      <c r="JSM402" s="119"/>
      <c r="JSN402" s="120"/>
      <c r="JSO402" s="120"/>
      <c r="JSP402" s="120"/>
      <c r="JSQ402" s="120"/>
      <c r="JSR402" s="120"/>
      <c r="JSS402" s="121"/>
      <c r="JST402" s="119"/>
      <c r="JSU402" s="120"/>
      <c r="JSV402" s="120"/>
      <c r="JSW402" s="120"/>
      <c r="JSX402" s="120"/>
      <c r="JSY402" s="120"/>
      <c r="JSZ402" s="121"/>
      <c r="JTA402" s="119"/>
      <c r="JTB402" s="120"/>
      <c r="JTC402" s="120"/>
      <c r="JTD402" s="120"/>
      <c r="JTE402" s="120"/>
      <c r="JTF402" s="120"/>
      <c r="JTG402" s="121"/>
      <c r="JTH402" s="119"/>
      <c r="JTI402" s="120"/>
      <c r="JTJ402" s="120"/>
      <c r="JTK402" s="120"/>
      <c r="JTL402" s="120"/>
      <c r="JTM402" s="120"/>
      <c r="JTN402" s="121"/>
      <c r="JTO402" s="119"/>
      <c r="JTP402" s="120"/>
      <c r="JTQ402" s="120"/>
      <c r="JTR402" s="120"/>
      <c r="JTS402" s="120"/>
      <c r="JTT402" s="120"/>
      <c r="JTU402" s="121"/>
      <c r="JTV402" s="119"/>
      <c r="JTW402" s="120"/>
      <c r="JTX402" s="120"/>
      <c r="JTY402" s="120"/>
      <c r="JTZ402" s="120"/>
      <c r="JUA402" s="120"/>
      <c r="JUB402" s="121"/>
      <c r="JUC402" s="119"/>
      <c r="JUD402" s="120"/>
      <c r="JUE402" s="120"/>
      <c r="JUF402" s="120"/>
      <c r="JUG402" s="120"/>
      <c r="JUH402" s="120"/>
      <c r="JUI402" s="121"/>
      <c r="JUJ402" s="119"/>
      <c r="JUK402" s="120"/>
      <c r="JUL402" s="120"/>
      <c r="JUM402" s="120"/>
      <c r="JUN402" s="120"/>
      <c r="JUO402" s="120"/>
      <c r="JUP402" s="121"/>
      <c r="JUQ402" s="119"/>
      <c r="JUR402" s="120"/>
      <c r="JUS402" s="120"/>
      <c r="JUT402" s="120"/>
      <c r="JUU402" s="120"/>
      <c r="JUV402" s="120"/>
      <c r="JUW402" s="121"/>
      <c r="JUX402" s="119"/>
      <c r="JUY402" s="120"/>
      <c r="JUZ402" s="120"/>
      <c r="JVA402" s="120"/>
      <c r="JVB402" s="120"/>
      <c r="JVC402" s="120"/>
      <c r="JVD402" s="121"/>
      <c r="JVE402" s="119"/>
      <c r="JVF402" s="120"/>
      <c r="JVG402" s="120"/>
      <c r="JVH402" s="120"/>
      <c r="JVI402" s="120"/>
      <c r="JVJ402" s="120"/>
      <c r="JVK402" s="121"/>
      <c r="JVL402" s="119"/>
      <c r="JVM402" s="120"/>
      <c r="JVN402" s="120"/>
      <c r="JVO402" s="120"/>
      <c r="JVP402" s="120"/>
      <c r="JVQ402" s="120"/>
      <c r="JVR402" s="121"/>
      <c r="JVS402" s="119"/>
      <c r="JVT402" s="120"/>
      <c r="JVU402" s="120"/>
      <c r="JVV402" s="120"/>
      <c r="JVW402" s="120"/>
      <c r="JVX402" s="120"/>
      <c r="JVY402" s="121"/>
      <c r="JVZ402" s="119"/>
      <c r="JWA402" s="120"/>
      <c r="JWB402" s="120"/>
      <c r="JWC402" s="120"/>
      <c r="JWD402" s="120"/>
      <c r="JWE402" s="120"/>
      <c r="JWF402" s="121"/>
      <c r="JWG402" s="119"/>
      <c r="JWH402" s="120"/>
      <c r="JWI402" s="120"/>
      <c r="JWJ402" s="120"/>
      <c r="JWK402" s="120"/>
      <c r="JWL402" s="120"/>
      <c r="JWM402" s="121"/>
      <c r="JWN402" s="119"/>
      <c r="JWO402" s="120"/>
      <c r="JWP402" s="120"/>
      <c r="JWQ402" s="120"/>
      <c r="JWR402" s="120"/>
      <c r="JWS402" s="120"/>
      <c r="JWT402" s="121"/>
      <c r="JWU402" s="119"/>
      <c r="JWV402" s="120"/>
      <c r="JWW402" s="120"/>
      <c r="JWX402" s="120"/>
      <c r="JWY402" s="120"/>
      <c r="JWZ402" s="120"/>
      <c r="JXA402" s="121"/>
      <c r="JXB402" s="119"/>
      <c r="JXC402" s="120"/>
      <c r="JXD402" s="120"/>
      <c r="JXE402" s="120"/>
      <c r="JXF402" s="120"/>
      <c r="JXG402" s="120"/>
      <c r="JXH402" s="121"/>
      <c r="JXI402" s="119"/>
      <c r="JXJ402" s="120"/>
      <c r="JXK402" s="120"/>
      <c r="JXL402" s="120"/>
      <c r="JXM402" s="120"/>
      <c r="JXN402" s="120"/>
      <c r="JXO402" s="121"/>
      <c r="JXP402" s="119"/>
      <c r="JXQ402" s="120"/>
      <c r="JXR402" s="120"/>
      <c r="JXS402" s="120"/>
      <c r="JXT402" s="120"/>
      <c r="JXU402" s="120"/>
      <c r="JXV402" s="121"/>
      <c r="JXW402" s="119"/>
      <c r="JXX402" s="120"/>
      <c r="JXY402" s="120"/>
      <c r="JXZ402" s="120"/>
      <c r="JYA402" s="120"/>
      <c r="JYB402" s="120"/>
      <c r="JYC402" s="121"/>
      <c r="JYD402" s="119"/>
      <c r="JYE402" s="120"/>
      <c r="JYF402" s="120"/>
      <c r="JYG402" s="120"/>
      <c r="JYH402" s="120"/>
      <c r="JYI402" s="120"/>
      <c r="JYJ402" s="121"/>
      <c r="JYK402" s="119"/>
      <c r="JYL402" s="120"/>
      <c r="JYM402" s="120"/>
      <c r="JYN402" s="120"/>
      <c r="JYO402" s="120"/>
      <c r="JYP402" s="120"/>
      <c r="JYQ402" s="121"/>
      <c r="JYR402" s="119"/>
      <c r="JYS402" s="120"/>
      <c r="JYT402" s="120"/>
      <c r="JYU402" s="120"/>
      <c r="JYV402" s="120"/>
      <c r="JYW402" s="120"/>
      <c r="JYX402" s="121"/>
      <c r="JYY402" s="119"/>
      <c r="JYZ402" s="120"/>
      <c r="JZA402" s="120"/>
      <c r="JZB402" s="120"/>
      <c r="JZC402" s="120"/>
      <c r="JZD402" s="120"/>
      <c r="JZE402" s="121"/>
      <c r="JZF402" s="119"/>
      <c r="JZG402" s="120"/>
      <c r="JZH402" s="120"/>
      <c r="JZI402" s="120"/>
      <c r="JZJ402" s="120"/>
      <c r="JZK402" s="120"/>
      <c r="JZL402" s="121"/>
      <c r="JZM402" s="119"/>
      <c r="JZN402" s="120"/>
      <c r="JZO402" s="120"/>
      <c r="JZP402" s="120"/>
      <c r="JZQ402" s="120"/>
      <c r="JZR402" s="120"/>
      <c r="JZS402" s="121"/>
      <c r="JZT402" s="119"/>
      <c r="JZU402" s="120"/>
      <c r="JZV402" s="120"/>
      <c r="JZW402" s="120"/>
      <c r="JZX402" s="120"/>
      <c r="JZY402" s="120"/>
      <c r="JZZ402" s="121"/>
      <c r="KAA402" s="119"/>
      <c r="KAB402" s="120"/>
      <c r="KAC402" s="120"/>
      <c r="KAD402" s="120"/>
      <c r="KAE402" s="120"/>
      <c r="KAF402" s="120"/>
      <c r="KAG402" s="121"/>
      <c r="KAH402" s="119"/>
      <c r="KAI402" s="120"/>
      <c r="KAJ402" s="120"/>
      <c r="KAK402" s="120"/>
      <c r="KAL402" s="120"/>
      <c r="KAM402" s="120"/>
      <c r="KAN402" s="121"/>
      <c r="KAO402" s="119"/>
      <c r="KAP402" s="120"/>
      <c r="KAQ402" s="120"/>
      <c r="KAR402" s="120"/>
      <c r="KAS402" s="120"/>
      <c r="KAT402" s="120"/>
      <c r="KAU402" s="121"/>
      <c r="KAV402" s="119"/>
      <c r="KAW402" s="120"/>
      <c r="KAX402" s="120"/>
      <c r="KAY402" s="120"/>
      <c r="KAZ402" s="120"/>
      <c r="KBA402" s="120"/>
      <c r="KBB402" s="121"/>
      <c r="KBC402" s="119"/>
      <c r="KBD402" s="120"/>
      <c r="KBE402" s="120"/>
      <c r="KBF402" s="120"/>
      <c r="KBG402" s="120"/>
      <c r="KBH402" s="120"/>
      <c r="KBI402" s="121"/>
      <c r="KBJ402" s="119"/>
      <c r="KBK402" s="120"/>
      <c r="KBL402" s="120"/>
      <c r="KBM402" s="120"/>
      <c r="KBN402" s="120"/>
      <c r="KBO402" s="120"/>
      <c r="KBP402" s="121"/>
      <c r="KBQ402" s="119"/>
      <c r="KBR402" s="120"/>
      <c r="KBS402" s="120"/>
      <c r="KBT402" s="120"/>
      <c r="KBU402" s="120"/>
      <c r="KBV402" s="120"/>
      <c r="KBW402" s="121"/>
      <c r="KBX402" s="119"/>
      <c r="KBY402" s="120"/>
      <c r="KBZ402" s="120"/>
      <c r="KCA402" s="120"/>
      <c r="KCB402" s="120"/>
      <c r="KCC402" s="120"/>
      <c r="KCD402" s="121"/>
      <c r="KCE402" s="119"/>
      <c r="KCF402" s="120"/>
      <c r="KCG402" s="120"/>
      <c r="KCH402" s="120"/>
      <c r="KCI402" s="120"/>
      <c r="KCJ402" s="120"/>
      <c r="KCK402" s="121"/>
      <c r="KCL402" s="119"/>
      <c r="KCM402" s="120"/>
      <c r="KCN402" s="120"/>
      <c r="KCO402" s="120"/>
      <c r="KCP402" s="120"/>
      <c r="KCQ402" s="120"/>
      <c r="KCR402" s="121"/>
      <c r="KCS402" s="119"/>
      <c r="KCT402" s="120"/>
      <c r="KCU402" s="120"/>
      <c r="KCV402" s="120"/>
      <c r="KCW402" s="120"/>
      <c r="KCX402" s="120"/>
      <c r="KCY402" s="121"/>
      <c r="KCZ402" s="119"/>
      <c r="KDA402" s="120"/>
      <c r="KDB402" s="120"/>
      <c r="KDC402" s="120"/>
      <c r="KDD402" s="120"/>
      <c r="KDE402" s="120"/>
      <c r="KDF402" s="121"/>
      <c r="KDG402" s="119"/>
      <c r="KDH402" s="120"/>
      <c r="KDI402" s="120"/>
      <c r="KDJ402" s="120"/>
      <c r="KDK402" s="120"/>
      <c r="KDL402" s="120"/>
      <c r="KDM402" s="121"/>
      <c r="KDN402" s="119"/>
      <c r="KDO402" s="120"/>
      <c r="KDP402" s="120"/>
      <c r="KDQ402" s="120"/>
      <c r="KDR402" s="120"/>
      <c r="KDS402" s="120"/>
      <c r="KDT402" s="121"/>
      <c r="KDU402" s="119"/>
      <c r="KDV402" s="120"/>
      <c r="KDW402" s="120"/>
      <c r="KDX402" s="120"/>
      <c r="KDY402" s="120"/>
      <c r="KDZ402" s="120"/>
      <c r="KEA402" s="121"/>
      <c r="KEB402" s="119"/>
      <c r="KEC402" s="120"/>
      <c r="KED402" s="120"/>
      <c r="KEE402" s="120"/>
      <c r="KEF402" s="120"/>
      <c r="KEG402" s="120"/>
      <c r="KEH402" s="121"/>
      <c r="KEI402" s="119"/>
      <c r="KEJ402" s="120"/>
      <c r="KEK402" s="120"/>
      <c r="KEL402" s="120"/>
      <c r="KEM402" s="120"/>
      <c r="KEN402" s="120"/>
      <c r="KEO402" s="121"/>
      <c r="KEP402" s="119"/>
      <c r="KEQ402" s="120"/>
      <c r="KER402" s="120"/>
      <c r="KES402" s="120"/>
      <c r="KET402" s="120"/>
      <c r="KEU402" s="120"/>
      <c r="KEV402" s="121"/>
      <c r="KEW402" s="119"/>
      <c r="KEX402" s="120"/>
      <c r="KEY402" s="120"/>
      <c r="KEZ402" s="120"/>
      <c r="KFA402" s="120"/>
      <c r="KFB402" s="120"/>
      <c r="KFC402" s="121"/>
      <c r="KFD402" s="119"/>
      <c r="KFE402" s="120"/>
      <c r="KFF402" s="120"/>
      <c r="KFG402" s="120"/>
      <c r="KFH402" s="120"/>
      <c r="KFI402" s="120"/>
      <c r="KFJ402" s="121"/>
      <c r="KFK402" s="119"/>
      <c r="KFL402" s="120"/>
      <c r="KFM402" s="120"/>
      <c r="KFN402" s="120"/>
      <c r="KFO402" s="120"/>
      <c r="KFP402" s="120"/>
      <c r="KFQ402" s="121"/>
      <c r="KFR402" s="119"/>
      <c r="KFS402" s="120"/>
      <c r="KFT402" s="120"/>
      <c r="KFU402" s="120"/>
      <c r="KFV402" s="120"/>
      <c r="KFW402" s="120"/>
      <c r="KFX402" s="121"/>
      <c r="KFY402" s="119"/>
      <c r="KFZ402" s="120"/>
      <c r="KGA402" s="120"/>
      <c r="KGB402" s="120"/>
      <c r="KGC402" s="120"/>
      <c r="KGD402" s="120"/>
      <c r="KGE402" s="121"/>
      <c r="KGF402" s="119"/>
      <c r="KGG402" s="120"/>
      <c r="KGH402" s="120"/>
      <c r="KGI402" s="120"/>
      <c r="KGJ402" s="120"/>
      <c r="KGK402" s="120"/>
      <c r="KGL402" s="121"/>
      <c r="KGM402" s="119"/>
      <c r="KGN402" s="120"/>
      <c r="KGO402" s="120"/>
      <c r="KGP402" s="120"/>
      <c r="KGQ402" s="120"/>
      <c r="KGR402" s="120"/>
      <c r="KGS402" s="121"/>
      <c r="KGT402" s="119"/>
      <c r="KGU402" s="120"/>
      <c r="KGV402" s="120"/>
      <c r="KGW402" s="120"/>
      <c r="KGX402" s="120"/>
      <c r="KGY402" s="120"/>
      <c r="KGZ402" s="121"/>
      <c r="KHA402" s="119"/>
      <c r="KHB402" s="120"/>
      <c r="KHC402" s="120"/>
      <c r="KHD402" s="120"/>
      <c r="KHE402" s="120"/>
      <c r="KHF402" s="120"/>
      <c r="KHG402" s="121"/>
      <c r="KHH402" s="119"/>
      <c r="KHI402" s="120"/>
      <c r="KHJ402" s="120"/>
      <c r="KHK402" s="120"/>
      <c r="KHL402" s="120"/>
      <c r="KHM402" s="120"/>
      <c r="KHN402" s="121"/>
      <c r="KHO402" s="119"/>
      <c r="KHP402" s="120"/>
      <c r="KHQ402" s="120"/>
      <c r="KHR402" s="120"/>
      <c r="KHS402" s="120"/>
      <c r="KHT402" s="120"/>
      <c r="KHU402" s="121"/>
      <c r="KHV402" s="119"/>
      <c r="KHW402" s="120"/>
      <c r="KHX402" s="120"/>
      <c r="KHY402" s="120"/>
      <c r="KHZ402" s="120"/>
      <c r="KIA402" s="120"/>
      <c r="KIB402" s="121"/>
      <c r="KIC402" s="119"/>
      <c r="KID402" s="120"/>
      <c r="KIE402" s="120"/>
      <c r="KIF402" s="120"/>
      <c r="KIG402" s="120"/>
      <c r="KIH402" s="120"/>
      <c r="KII402" s="121"/>
      <c r="KIJ402" s="119"/>
      <c r="KIK402" s="120"/>
      <c r="KIL402" s="120"/>
      <c r="KIM402" s="120"/>
      <c r="KIN402" s="120"/>
      <c r="KIO402" s="120"/>
      <c r="KIP402" s="121"/>
      <c r="KIQ402" s="119"/>
      <c r="KIR402" s="120"/>
      <c r="KIS402" s="120"/>
      <c r="KIT402" s="120"/>
      <c r="KIU402" s="120"/>
      <c r="KIV402" s="120"/>
      <c r="KIW402" s="121"/>
      <c r="KIX402" s="119"/>
      <c r="KIY402" s="120"/>
      <c r="KIZ402" s="120"/>
      <c r="KJA402" s="120"/>
      <c r="KJB402" s="120"/>
      <c r="KJC402" s="120"/>
      <c r="KJD402" s="121"/>
      <c r="KJE402" s="119"/>
      <c r="KJF402" s="120"/>
      <c r="KJG402" s="120"/>
      <c r="KJH402" s="120"/>
      <c r="KJI402" s="120"/>
      <c r="KJJ402" s="120"/>
      <c r="KJK402" s="121"/>
      <c r="KJL402" s="119"/>
      <c r="KJM402" s="120"/>
      <c r="KJN402" s="120"/>
      <c r="KJO402" s="120"/>
      <c r="KJP402" s="120"/>
      <c r="KJQ402" s="120"/>
      <c r="KJR402" s="121"/>
      <c r="KJS402" s="119"/>
      <c r="KJT402" s="120"/>
      <c r="KJU402" s="120"/>
      <c r="KJV402" s="120"/>
      <c r="KJW402" s="120"/>
      <c r="KJX402" s="120"/>
      <c r="KJY402" s="121"/>
      <c r="KJZ402" s="119"/>
      <c r="KKA402" s="120"/>
      <c r="KKB402" s="120"/>
      <c r="KKC402" s="120"/>
      <c r="KKD402" s="120"/>
      <c r="KKE402" s="120"/>
      <c r="KKF402" s="121"/>
      <c r="KKG402" s="119"/>
      <c r="KKH402" s="120"/>
      <c r="KKI402" s="120"/>
      <c r="KKJ402" s="120"/>
      <c r="KKK402" s="120"/>
      <c r="KKL402" s="120"/>
      <c r="KKM402" s="121"/>
      <c r="KKN402" s="119"/>
      <c r="KKO402" s="120"/>
      <c r="KKP402" s="120"/>
      <c r="KKQ402" s="120"/>
      <c r="KKR402" s="120"/>
      <c r="KKS402" s="120"/>
      <c r="KKT402" s="121"/>
      <c r="KKU402" s="119"/>
      <c r="KKV402" s="120"/>
      <c r="KKW402" s="120"/>
      <c r="KKX402" s="120"/>
      <c r="KKY402" s="120"/>
      <c r="KKZ402" s="120"/>
      <c r="KLA402" s="121"/>
      <c r="KLB402" s="119"/>
      <c r="KLC402" s="120"/>
      <c r="KLD402" s="120"/>
      <c r="KLE402" s="120"/>
      <c r="KLF402" s="120"/>
      <c r="KLG402" s="120"/>
      <c r="KLH402" s="121"/>
      <c r="KLI402" s="119"/>
      <c r="KLJ402" s="120"/>
      <c r="KLK402" s="120"/>
      <c r="KLL402" s="120"/>
      <c r="KLM402" s="120"/>
      <c r="KLN402" s="120"/>
      <c r="KLO402" s="121"/>
      <c r="KLP402" s="119"/>
      <c r="KLQ402" s="120"/>
      <c r="KLR402" s="120"/>
      <c r="KLS402" s="120"/>
      <c r="KLT402" s="120"/>
      <c r="KLU402" s="120"/>
      <c r="KLV402" s="121"/>
      <c r="KLW402" s="119"/>
      <c r="KLX402" s="120"/>
      <c r="KLY402" s="120"/>
      <c r="KLZ402" s="120"/>
      <c r="KMA402" s="120"/>
      <c r="KMB402" s="120"/>
      <c r="KMC402" s="121"/>
      <c r="KMD402" s="119"/>
      <c r="KME402" s="120"/>
      <c r="KMF402" s="120"/>
      <c r="KMG402" s="120"/>
      <c r="KMH402" s="120"/>
      <c r="KMI402" s="120"/>
      <c r="KMJ402" s="121"/>
      <c r="KMK402" s="119"/>
      <c r="KML402" s="120"/>
      <c r="KMM402" s="120"/>
      <c r="KMN402" s="120"/>
      <c r="KMO402" s="120"/>
      <c r="KMP402" s="120"/>
      <c r="KMQ402" s="121"/>
      <c r="KMR402" s="119"/>
      <c r="KMS402" s="120"/>
      <c r="KMT402" s="120"/>
      <c r="KMU402" s="120"/>
      <c r="KMV402" s="120"/>
      <c r="KMW402" s="120"/>
      <c r="KMX402" s="121"/>
      <c r="KMY402" s="119"/>
      <c r="KMZ402" s="120"/>
      <c r="KNA402" s="120"/>
      <c r="KNB402" s="120"/>
      <c r="KNC402" s="120"/>
      <c r="KND402" s="120"/>
      <c r="KNE402" s="121"/>
      <c r="KNF402" s="119"/>
      <c r="KNG402" s="120"/>
      <c r="KNH402" s="120"/>
      <c r="KNI402" s="120"/>
      <c r="KNJ402" s="120"/>
      <c r="KNK402" s="120"/>
      <c r="KNL402" s="121"/>
      <c r="KNM402" s="119"/>
      <c r="KNN402" s="120"/>
      <c r="KNO402" s="120"/>
      <c r="KNP402" s="120"/>
      <c r="KNQ402" s="120"/>
      <c r="KNR402" s="120"/>
      <c r="KNS402" s="121"/>
      <c r="KNT402" s="119"/>
      <c r="KNU402" s="120"/>
      <c r="KNV402" s="120"/>
      <c r="KNW402" s="120"/>
      <c r="KNX402" s="120"/>
      <c r="KNY402" s="120"/>
      <c r="KNZ402" s="121"/>
      <c r="KOA402" s="119"/>
      <c r="KOB402" s="120"/>
      <c r="KOC402" s="120"/>
      <c r="KOD402" s="120"/>
      <c r="KOE402" s="120"/>
      <c r="KOF402" s="120"/>
      <c r="KOG402" s="121"/>
      <c r="KOH402" s="119"/>
      <c r="KOI402" s="120"/>
      <c r="KOJ402" s="120"/>
      <c r="KOK402" s="120"/>
      <c r="KOL402" s="120"/>
      <c r="KOM402" s="120"/>
      <c r="KON402" s="121"/>
      <c r="KOO402" s="119"/>
      <c r="KOP402" s="120"/>
      <c r="KOQ402" s="120"/>
      <c r="KOR402" s="120"/>
      <c r="KOS402" s="120"/>
      <c r="KOT402" s="120"/>
      <c r="KOU402" s="121"/>
      <c r="KOV402" s="119"/>
      <c r="KOW402" s="120"/>
      <c r="KOX402" s="120"/>
      <c r="KOY402" s="120"/>
      <c r="KOZ402" s="120"/>
      <c r="KPA402" s="120"/>
      <c r="KPB402" s="121"/>
      <c r="KPC402" s="119"/>
      <c r="KPD402" s="120"/>
      <c r="KPE402" s="120"/>
      <c r="KPF402" s="120"/>
      <c r="KPG402" s="120"/>
      <c r="KPH402" s="120"/>
      <c r="KPI402" s="121"/>
      <c r="KPJ402" s="119"/>
      <c r="KPK402" s="120"/>
      <c r="KPL402" s="120"/>
      <c r="KPM402" s="120"/>
      <c r="KPN402" s="120"/>
      <c r="KPO402" s="120"/>
      <c r="KPP402" s="121"/>
      <c r="KPQ402" s="119"/>
      <c r="KPR402" s="120"/>
      <c r="KPS402" s="120"/>
      <c r="KPT402" s="120"/>
      <c r="KPU402" s="120"/>
      <c r="KPV402" s="120"/>
      <c r="KPW402" s="121"/>
      <c r="KPX402" s="119"/>
      <c r="KPY402" s="120"/>
      <c r="KPZ402" s="120"/>
      <c r="KQA402" s="120"/>
      <c r="KQB402" s="120"/>
      <c r="KQC402" s="120"/>
      <c r="KQD402" s="121"/>
      <c r="KQE402" s="119"/>
      <c r="KQF402" s="120"/>
      <c r="KQG402" s="120"/>
      <c r="KQH402" s="120"/>
      <c r="KQI402" s="120"/>
      <c r="KQJ402" s="120"/>
      <c r="KQK402" s="121"/>
      <c r="KQL402" s="119"/>
      <c r="KQM402" s="120"/>
      <c r="KQN402" s="120"/>
      <c r="KQO402" s="120"/>
      <c r="KQP402" s="120"/>
      <c r="KQQ402" s="120"/>
      <c r="KQR402" s="121"/>
      <c r="KQS402" s="119"/>
      <c r="KQT402" s="120"/>
      <c r="KQU402" s="120"/>
      <c r="KQV402" s="120"/>
      <c r="KQW402" s="120"/>
      <c r="KQX402" s="120"/>
      <c r="KQY402" s="121"/>
      <c r="KQZ402" s="119"/>
      <c r="KRA402" s="120"/>
      <c r="KRB402" s="120"/>
      <c r="KRC402" s="120"/>
      <c r="KRD402" s="120"/>
      <c r="KRE402" s="120"/>
      <c r="KRF402" s="121"/>
      <c r="KRG402" s="119"/>
      <c r="KRH402" s="120"/>
      <c r="KRI402" s="120"/>
      <c r="KRJ402" s="120"/>
      <c r="KRK402" s="120"/>
      <c r="KRL402" s="120"/>
      <c r="KRM402" s="121"/>
      <c r="KRN402" s="119"/>
      <c r="KRO402" s="120"/>
      <c r="KRP402" s="120"/>
      <c r="KRQ402" s="120"/>
      <c r="KRR402" s="120"/>
      <c r="KRS402" s="120"/>
      <c r="KRT402" s="121"/>
      <c r="KRU402" s="119"/>
      <c r="KRV402" s="120"/>
      <c r="KRW402" s="120"/>
      <c r="KRX402" s="120"/>
      <c r="KRY402" s="120"/>
      <c r="KRZ402" s="120"/>
      <c r="KSA402" s="121"/>
      <c r="KSB402" s="119"/>
      <c r="KSC402" s="120"/>
      <c r="KSD402" s="120"/>
      <c r="KSE402" s="120"/>
      <c r="KSF402" s="120"/>
      <c r="KSG402" s="120"/>
      <c r="KSH402" s="121"/>
      <c r="KSI402" s="119"/>
      <c r="KSJ402" s="120"/>
      <c r="KSK402" s="120"/>
      <c r="KSL402" s="120"/>
      <c r="KSM402" s="120"/>
      <c r="KSN402" s="120"/>
      <c r="KSO402" s="121"/>
      <c r="KSP402" s="119"/>
      <c r="KSQ402" s="120"/>
      <c r="KSR402" s="120"/>
      <c r="KSS402" s="120"/>
      <c r="KST402" s="120"/>
      <c r="KSU402" s="120"/>
      <c r="KSV402" s="121"/>
      <c r="KSW402" s="119"/>
      <c r="KSX402" s="120"/>
      <c r="KSY402" s="120"/>
      <c r="KSZ402" s="120"/>
      <c r="KTA402" s="120"/>
      <c r="KTB402" s="120"/>
      <c r="KTC402" s="121"/>
      <c r="KTD402" s="119"/>
      <c r="KTE402" s="120"/>
      <c r="KTF402" s="120"/>
      <c r="KTG402" s="120"/>
      <c r="KTH402" s="120"/>
      <c r="KTI402" s="120"/>
      <c r="KTJ402" s="121"/>
      <c r="KTK402" s="119"/>
      <c r="KTL402" s="120"/>
      <c r="KTM402" s="120"/>
      <c r="KTN402" s="120"/>
      <c r="KTO402" s="120"/>
      <c r="KTP402" s="120"/>
      <c r="KTQ402" s="121"/>
      <c r="KTR402" s="119"/>
      <c r="KTS402" s="120"/>
      <c r="KTT402" s="120"/>
      <c r="KTU402" s="120"/>
      <c r="KTV402" s="120"/>
      <c r="KTW402" s="120"/>
      <c r="KTX402" s="121"/>
      <c r="KTY402" s="119"/>
      <c r="KTZ402" s="120"/>
      <c r="KUA402" s="120"/>
      <c r="KUB402" s="120"/>
      <c r="KUC402" s="120"/>
      <c r="KUD402" s="120"/>
      <c r="KUE402" s="121"/>
      <c r="KUF402" s="119"/>
      <c r="KUG402" s="120"/>
      <c r="KUH402" s="120"/>
      <c r="KUI402" s="120"/>
      <c r="KUJ402" s="120"/>
      <c r="KUK402" s="120"/>
      <c r="KUL402" s="121"/>
      <c r="KUM402" s="119"/>
      <c r="KUN402" s="120"/>
      <c r="KUO402" s="120"/>
      <c r="KUP402" s="120"/>
      <c r="KUQ402" s="120"/>
      <c r="KUR402" s="120"/>
      <c r="KUS402" s="121"/>
      <c r="KUT402" s="119"/>
      <c r="KUU402" s="120"/>
      <c r="KUV402" s="120"/>
      <c r="KUW402" s="120"/>
      <c r="KUX402" s="120"/>
      <c r="KUY402" s="120"/>
      <c r="KUZ402" s="121"/>
      <c r="KVA402" s="119"/>
      <c r="KVB402" s="120"/>
      <c r="KVC402" s="120"/>
      <c r="KVD402" s="120"/>
      <c r="KVE402" s="120"/>
      <c r="KVF402" s="120"/>
      <c r="KVG402" s="121"/>
      <c r="KVH402" s="119"/>
      <c r="KVI402" s="120"/>
      <c r="KVJ402" s="120"/>
      <c r="KVK402" s="120"/>
      <c r="KVL402" s="120"/>
      <c r="KVM402" s="120"/>
      <c r="KVN402" s="121"/>
      <c r="KVO402" s="119"/>
      <c r="KVP402" s="120"/>
      <c r="KVQ402" s="120"/>
      <c r="KVR402" s="120"/>
      <c r="KVS402" s="120"/>
      <c r="KVT402" s="120"/>
      <c r="KVU402" s="121"/>
      <c r="KVV402" s="119"/>
      <c r="KVW402" s="120"/>
      <c r="KVX402" s="120"/>
      <c r="KVY402" s="120"/>
      <c r="KVZ402" s="120"/>
      <c r="KWA402" s="120"/>
      <c r="KWB402" s="121"/>
      <c r="KWC402" s="119"/>
      <c r="KWD402" s="120"/>
      <c r="KWE402" s="120"/>
      <c r="KWF402" s="120"/>
      <c r="KWG402" s="120"/>
      <c r="KWH402" s="120"/>
      <c r="KWI402" s="121"/>
      <c r="KWJ402" s="119"/>
      <c r="KWK402" s="120"/>
      <c r="KWL402" s="120"/>
      <c r="KWM402" s="120"/>
      <c r="KWN402" s="120"/>
      <c r="KWO402" s="120"/>
      <c r="KWP402" s="121"/>
      <c r="KWQ402" s="119"/>
      <c r="KWR402" s="120"/>
      <c r="KWS402" s="120"/>
      <c r="KWT402" s="120"/>
      <c r="KWU402" s="120"/>
      <c r="KWV402" s="120"/>
      <c r="KWW402" s="121"/>
      <c r="KWX402" s="119"/>
      <c r="KWY402" s="120"/>
      <c r="KWZ402" s="120"/>
      <c r="KXA402" s="120"/>
      <c r="KXB402" s="120"/>
      <c r="KXC402" s="120"/>
      <c r="KXD402" s="121"/>
      <c r="KXE402" s="119"/>
      <c r="KXF402" s="120"/>
      <c r="KXG402" s="120"/>
      <c r="KXH402" s="120"/>
      <c r="KXI402" s="120"/>
      <c r="KXJ402" s="120"/>
      <c r="KXK402" s="121"/>
      <c r="KXL402" s="119"/>
      <c r="KXM402" s="120"/>
      <c r="KXN402" s="120"/>
      <c r="KXO402" s="120"/>
      <c r="KXP402" s="120"/>
      <c r="KXQ402" s="120"/>
      <c r="KXR402" s="121"/>
      <c r="KXS402" s="119"/>
      <c r="KXT402" s="120"/>
      <c r="KXU402" s="120"/>
      <c r="KXV402" s="120"/>
      <c r="KXW402" s="120"/>
      <c r="KXX402" s="120"/>
      <c r="KXY402" s="121"/>
      <c r="KXZ402" s="119"/>
      <c r="KYA402" s="120"/>
      <c r="KYB402" s="120"/>
      <c r="KYC402" s="120"/>
      <c r="KYD402" s="120"/>
      <c r="KYE402" s="120"/>
      <c r="KYF402" s="121"/>
      <c r="KYG402" s="119"/>
      <c r="KYH402" s="120"/>
      <c r="KYI402" s="120"/>
      <c r="KYJ402" s="120"/>
      <c r="KYK402" s="120"/>
      <c r="KYL402" s="120"/>
      <c r="KYM402" s="121"/>
      <c r="KYN402" s="119"/>
      <c r="KYO402" s="120"/>
      <c r="KYP402" s="120"/>
      <c r="KYQ402" s="120"/>
      <c r="KYR402" s="120"/>
      <c r="KYS402" s="120"/>
      <c r="KYT402" s="121"/>
      <c r="KYU402" s="119"/>
      <c r="KYV402" s="120"/>
      <c r="KYW402" s="120"/>
      <c r="KYX402" s="120"/>
      <c r="KYY402" s="120"/>
      <c r="KYZ402" s="120"/>
      <c r="KZA402" s="121"/>
      <c r="KZB402" s="119"/>
      <c r="KZC402" s="120"/>
      <c r="KZD402" s="120"/>
      <c r="KZE402" s="120"/>
      <c r="KZF402" s="120"/>
      <c r="KZG402" s="120"/>
      <c r="KZH402" s="121"/>
      <c r="KZI402" s="119"/>
      <c r="KZJ402" s="120"/>
      <c r="KZK402" s="120"/>
      <c r="KZL402" s="120"/>
      <c r="KZM402" s="120"/>
      <c r="KZN402" s="120"/>
      <c r="KZO402" s="121"/>
      <c r="KZP402" s="119"/>
      <c r="KZQ402" s="120"/>
      <c r="KZR402" s="120"/>
      <c r="KZS402" s="120"/>
      <c r="KZT402" s="120"/>
      <c r="KZU402" s="120"/>
      <c r="KZV402" s="121"/>
      <c r="KZW402" s="119"/>
      <c r="KZX402" s="120"/>
      <c r="KZY402" s="120"/>
      <c r="KZZ402" s="120"/>
      <c r="LAA402" s="120"/>
      <c r="LAB402" s="120"/>
      <c r="LAC402" s="121"/>
      <c r="LAD402" s="119"/>
      <c r="LAE402" s="120"/>
      <c r="LAF402" s="120"/>
      <c r="LAG402" s="120"/>
      <c r="LAH402" s="120"/>
      <c r="LAI402" s="120"/>
      <c r="LAJ402" s="121"/>
      <c r="LAK402" s="119"/>
      <c r="LAL402" s="120"/>
      <c r="LAM402" s="120"/>
      <c r="LAN402" s="120"/>
      <c r="LAO402" s="120"/>
      <c r="LAP402" s="120"/>
      <c r="LAQ402" s="121"/>
      <c r="LAR402" s="119"/>
      <c r="LAS402" s="120"/>
      <c r="LAT402" s="120"/>
      <c r="LAU402" s="120"/>
      <c r="LAV402" s="120"/>
      <c r="LAW402" s="120"/>
      <c r="LAX402" s="121"/>
      <c r="LAY402" s="119"/>
      <c r="LAZ402" s="120"/>
      <c r="LBA402" s="120"/>
      <c r="LBB402" s="120"/>
      <c r="LBC402" s="120"/>
      <c r="LBD402" s="120"/>
      <c r="LBE402" s="121"/>
      <c r="LBF402" s="119"/>
      <c r="LBG402" s="120"/>
      <c r="LBH402" s="120"/>
      <c r="LBI402" s="120"/>
      <c r="LBJ402" s="120"/>
      <c r="LBK402" s="120"/>
      <c r="LBL402" s="121"/>
      <c r="LBM402" s="119"/>
      <c r="LBN402" s="120"/>
      <c r="LBO402" s="120"/>
      <c r="LBP402" s="120"/>
      <c r="LBQ402" s="120"/>
      <c r="LBR402" s="120"/>
      <c r="LBS402" s="121"/>
      <c r="LBT402" s="119"/>
      <c r="LBU402" s="120"/>
      <c r="LBV402" s="120"/>
      <c r="LBW402" s="120"/>
      <c r="LBX402" s="120"/>
      <c r="LBY402" s="120"/>
      <c r="LBZ402" s="121"/>
      <c r="LCA402" s="119"/>
      <c r="LCB402" s="120"/>
      <c r="LCC402" s="120"/>
      <c r="LCD402" s="120"/>
      <c r="LCE402" s="120"/>
      <c r="LCF402" s="120"/>
      <c r="LCG402" s="121"/>
      <c r="LCH402" s="119"/>
      <c r="LCI402" s="120"/>
      <c r="LCJ402" s="120"/>
      <c r="LCK402" s="120"/>
      <c r="LCL402" s="120"/>
      <c r="LCM402" s="120"/>
      <c r="LCN402" s="121"/>
      <c r="LCO402" s="119"/>
      <c r="LCP402" s="120"/>
      <c r="LCQ402" s="120"/>
      <c r="LCR402" s="120"/>
      <c r="LCS402" s="120"/>
      <c r="LCT402" s="120"/>
      <c r="LCU402" s="121"/>
      <c r="LCV402" s="119"/>
      <c r="LCW402" s="120"/>
      <c r="LCX402" s="120"/>
      <c r="LCY402" s="120"/>
      <c r="LCZ402" s="120"/>
      <c r="LDA402" s="120"/>
      <c r="LDB402" s="121"/>
      <c r="LDC402" s="119"/>
      <c r="LDD402" s="120"/>
      <c r="LDE402" s="120"/>
      <c r="LDF402" s="120"/>
      <c r="LDG402" s="120"/>
      <c r="LDH402" s="120"/>
      <c r="LDI402" s="121"/>
      <c r="LDJ402" s="119"/>
      <c r="LDK402" s="120"/>
      <c r="LDL402" s="120"/>
      <c r="LDM402" s="120"/>
      <c r="LDN402" s="120"/>
      <c r="LDO402" s="120"/>
      <c r="LDP402" s="121"/>
      <c r="LDQ402" s="119"/>
      <c r="LDR402" s="120"/>
      <c r="LDS402" s="120"/>
      <c r="LDT402" s="120"/>
      <c r="LDU402" s="120"/>
      <c r="LDV402" s="120"/>
      <c r="LDW402" s="121"/>
      <c r="LDX402" s="119"/>
      <c r="LDY402" s="120"/>
      <c r="LDZ402" s="120"/>
      <c r="LEA402" s="120"/>
      <c r="LEB402" s="120"/>
      <c r="LEC402" s="120"/>
      <c r="LED402" s="121"/>
      <c r="LEE402" s="119"/>
      <c r="LEF402" s="120"/>
      <c r="LEG402" s="120"/>
      <c r="LEH402" s="120"/>
      <c r="LEI402" s="120"/>
      <c r="LEJ402" s="120"/>
      <c r="LEK402" s="121"/>
      <c r="LEL402" s="119"/>
      <c r="LEM402" s="120"/>
      <c r="LEN402" s="120"/>
      <c r="LEO402" s="120"/>
      <c r="LEP402" s="120"/>
      <c r="LEQ402" s="120"/>
      <c r="LER402" s="121"/>
      <c r="LES402" s="119"/>
      <c r="LET402" s="120"/>
      <c r="LEU402" s="120"/>
      <c r="LEV402" s="120"/>
      <c r="LEW402" s="120"/>
      <c r="LEX402" s="120"/>
      <c r="LEY402" s="121"/>
      <c r="LEZ402" s="119"/>
      <c r="LFA402" s="120"/>
      <c r="LFB402" s="120"/>
      <c r="LFC402" s="120"/>
      <c r="LFD402" s="120"/>
      <c r="LFE402" s="120"/>
      <c r="LFF402" s="121"/>
      <c r="LFG402" s="119"/>
      <c r="LFH402" s="120"/>
      <c r="LFI402" s="120"/>
      <c r="LFJ402" s="120"/>
      <c r="LFK402" s="120"/>
      <c r="LFL402" s="120"/>
      <c r="LFM402" s="121"/>
      <c r="LFN402" s="119"/>
      <c r="LFO402" s="120"/>
      <c r="LFP402" s="120"/>
      <c r="LFQ402" s="120"/>
      <c r="LFR402" s="120"/>
      <c r="LFS402" s="120"/>
      <c r="LFT402" s="121"/>
      <c r="LFU402" s="119"/>
      <c r="LFV402" s="120"/>
      <c r="LFW402" s="120"/>
      <c r="LFX402" s="120"/>
      <c r="LFY402" s="120"/>
      <c r="LFZ402" s="120"/>
      <c r="LGA402" s="121"/>
      <c r="LGB402" s="119"/>
      <c r="LGC402" s="120"/>
      <c r="LGD402" s="120"/>
      <c r="LGE402" s="120"/>
      <c r="LGF402" s="120"/>
      <c r="LGG402" s="120"/>
      <c r="LGH402" s="121"/>
      <c r="LGI402" s="119"/>
      <c r="LGJ402" s="120"/>
      <c r="LGK402" s="120"/>
      <c r="LGL402" s="120"/>
      <c r="LGM402" s="120"/>
      <c r="LGN402" s="120"/>
      <c r="LGO402" s="121"/>
      <c r="LGP402" s="119"/>
      <c r="LGQ402" s="120"/>
      <c r="LGR402" s="120"/>
      <c r="LGS402" s="120"/>
      <c r="LGT402" s="120"/>
      <c r="LGU402" s="120"/>
      <c r="LGV402" s="121"/>
      <c r="LGW402" s="119"/>
      <c r="LGX402" s="120"/>
      <c r="LGY402" s="120"/>
      <c r="LGZ402" s="120"/>
      <c r="LHA402" s="120"/>
      <c r="LHB402" s="120"/>
      <c r="LHC402" s="121"/>
      <c r="LHD402" s="119"/>
      <c r="LHE402" s="120"/>
      <c r="LHF402" s="120"/>
      <c r="LHG402" s="120"/>
      <c r="LHH402" s="120"/>
      <c r="LHI402" s="120"/>
      <c r="LHJ402" s="121"/>
      <c r="LHK402" s="119"/>
      <c r="LHL402" s="120"/>
      <c r="LHM402" s="120"/>
      <c r="LHN402" s="120"/>
      <c r="LHO402" s="120"/>
      <c r="LHP402" s="120"/>
      <c r="LHQ402" s="121"/>
      <c r="LHR402" s="119"/>
      <c r="LHS402" s="120"/>
      <c r="LHT402" s="120"/>
      <c r="LHU402" s="120"/>
      <c r="LHV402" s="120"/>
      <c r="LHW402" s="120"/>
      <c r="LHX402" s="121"/>
      <c r="LHY402" s="119"/>
      <c r="LHZ402" s="120"/>
      <c r="LIA402" s="120"/>
      <c r="LIB402" s="120"/>
      <c r="LIC402" s="120"/>
      <c r="LID402" s="120"/>
      <c r="LIE402" s="121"/>
      <c r="LIF402" s="119"/>
      <c r="LIG402" s="120"/>
      <c r="LIH402" s="120"/>
      <c r="LII402" s="120"/>
      <c r="LIJ402" s="120"/>
      <c r="LIK402" s="120"/>
      <c r="LIL402" s="121"/>
      <c r="LIM402" s="119"/>
      <c r="LIN402" s="120"/>
      <c r="LIO402" s="120"/>
      <c r="LIP402" s="120"/>
      <c r="LIQ402" s="120"/>
      <c r="LIR402" s="120"/>
      <c r="LIS402" s="121"/>
      <c r="LIT402" s="119"/>
      <c r="LIU402" s="120"/>
      <c r="LIV402" s="120"/>
      <c r="LIW402" s="120"/>
      <c r="LIX402" s="120"/>
      <c r="LIY402" s="120"/>
      <c r="LIZ402" s="121"/>
      <c r="LJA402" s="119"/>
      <c r="LJB402" s="120"/>
      <c r="LJC402" s="120"/>
      <c r="LJD402" s="120"/>
      <c r="LJE402" s="120"/>
      <c r="LJF402" s="120"/>
      <c r="LJG402" s="121"/>
      <c r="LJH402" s="119"/>
      <c r="LJI402" s="120"/>
      <c r="LJJ402" s="120"/>
      <c r="LJK402" s="120"/>
      <c r="LJL402" s="120"/>
      <c r="LJM402" s="120"/>
      <c r="LJN402" s="121"/>
      <c r="LJO402" s="119"/>
      <c r="LJP402" s="120"/>
      <c r="LJQ402" s="120"/>
      <c r="LJR402" s="120"/>
      <c r="LJS402" s="120"/>
      <c r="LJT402" s="120"/>
      <c r="LJU402" s="121"/>
      <c r="LJV402" s="119"/>
      <c r="LJW402" s="120"/>
      <c r="LJX402" s="120"/>
      <c r="LJY402" s="120"/>
      <c r="LJZ402" s="120"/>
      <c r="LKA402" s="120"/>
      <c r="LKB402" s="121"/>
      <c r="LKC402" s="119"/>
      <c r="LKD402" s="120"/>
      <c r="LKE402" s="120"/>
      <c r="LKF402" s="120"/>
      <c r="LKG402" s="120"/>
      <c r="LKH402" s="120"/>
      <c r="LKI402" s="121"/>
      <c r="LKJ402" s="119"/>
      <c r="LKK402" s="120"/>
      <c r="LKL402" s="120"/>
      <c r="LKM402" s="120"/>
      <c r="LKN402" s="120"/>
      <c r="LKO402" s="120"/>
      <c r="LKP402" s="121"/>
      <c r="LKQ402" s="119"/>
      <c r="LKR402" s="120"/>
      <c r="LKS402" s="120"/>
      <c r="LKT402" s="120"/>
      <c r="LKU402" s="120"/>
      <c r="LKV402" s="120"/>
      <c r="LKW402" s="121"/>
      <c r="LKX402" s="119"/>
      <c r="LKY402" s="120"/>
      <c r="LKZ402" s="120"/>
      <c r="LLA402" s="120"/>
      <c r="LLB402" s="120"/>
      <c r="LLC402" s="120"/>
      <c r="LLD402" s="121"/>
      <c r="LLE402" s="119"/>
      <c r="LLF402" s="120"/>
      <c r="LLG402" s="120"/>
      <c r="LLH402" s="120"/>
      <c r="LLI402" s="120"/>
      <c r="LLJ402" s="120"/>
      <c r="LLK402" s="121"/>
      <c r="LLL402" s="119"/>
      <c r="LLM402" s="120"/>
      <c r="LLN402" s="120"/>
      <c r="LLO402" s="120"/>
      <c r="LLP402" s="120"/>
      <c r="LLQ402" s="120"/>
      <c r="LLR402" s="121"/>
      <c r="LLS402" s="119"/>
      <c r="LLT402" s="120"/>
      <c r="LLU402" s="120"/>
      <c r="LLV402" s="120"/>
      <c r="LLW402" s="120"/>
      <c r="LLX402" s="120"/>
      <c r="LLY402" s="121"/>
      <c r="LLZ402" s="119"/>
      <c r="LMA402" s="120"/>
      <c r="LMB402" s="120"/>
      <c r="LMC402" s="120"/>
      <c r="LMD402" s="120"/>
      <c r="LME402" s="120"/>
      <c r="LMF402" s="121"/>
      <c r="LMG402" s="119"/>
      <c r="LMH402" s="120"/>
      <c r="LMI402" s="120"/>
      <c r="LMJ402" s="120"/>
      <c r="LMK402" s="120"/>
      <c r="LML402" s="120"/>
      <c r="LMM402" s="121"/>
      <c r="LMN402" s="119"/>
      <c r="LMO402" s="120"/>
      <c r="LMP402" s="120"/>
      <c r="LMQ402" s="120"/>
      <c r="LMR402" s="120"/>
      <c r="LMS402" s="120"/>
      <c r="LMT402" s="121"/>
      <c r="LMU402" s="119"/>
      <c r="LMV402" s="120"/>
      <c r="LMW402" s="120"/>
      <c r="LMX402" s="120"/>
      <c r="LMY402" s="120"/>
      <c r="LMZ402" s="120"/>
      <c r="LNA402" s="121"/>
      <c r="LNB402" s="119"/>
      <c r="LNC402" s="120"/>
      <c r="LND402" s="120"/>
      <c r="LNE402" s="120"/>
      <c r="LNF402" s="120"/>
      <c r="LNG402" s="120"/>
      <c r="LNH402" s="121"/>
      <c r="LNI402" s="119"/>
      <c r="LNJ402" s="120"/>
      <c r="LNK402" s="120"/>
      <c r="LNL402" s="120"/>
      <c r="LNM402" s="120"/>
      <c r="LNN402" s="120"/>
      <c r="LNO402" s="121"/>
      <c r="LNP402" s="119"/>
      <c r="LNQ402" s="120"/>
      <c r="LNR402" s="120"/>
      <c r="LNS402" s="120"/>
      <c r="LNT402" s="120"/>
      <c r="LNU402" s="120"/>
      <c r="LNV402" s="121"/>
      <c r="LNW402" s="119"/>
      <c r="LNX402" s="120"/>
      <c r="LNY402" s="120"/>
      <c r="LNZ402" s="120"/>
      <c r="LOA402" s="120"/>
      <c r="LOB402" s="120"/>
      <c r="LOC402" s="121"/>
      <c r="LOD402" s="119"/>
      <c r="LOE402" s="120"/>
      <c r="LOF402" s="120"/>
      <c r="LOG402" s="120"/>
      <c r="LOH402" s="120"/>
      <c r="LOI402" s="120"/>
      <c r="LOJ402" s="121"/>
      <c r="LOK402" s="119"/>
      <c r="LOL402" s="120"/>
      <c r="LOM402" s="120"/>
      <c r="LON402" s="120"/>
      <c r="LOO402" s="120"/>
      <c r="LOP402" s="120"/>
      <c r="LOQ402" s="121"/>
      <c r="LOR402" s="119"/>
      <c r="LOS402" s="120"/>
      <c r="LOT402" s="120"/>
      <c r="LOU402" s="120"/>
      <c r="LOV402" s="120"/>
      <c r="LOW402" s="120"/>
      <c r="LOX402" s="121"/>
      <c r="LOY402" s="119"/>
      <c r="LOZ402" s="120"/>
      <c r="LPA402" s="120"/>
      <c r="LPB402" s="120"/>
      <c r="LPC402" s="120"/>
      <c r="LPD402" s="120"/>
      <c r="LPE402" s="121"/>
      <c r="LPF402" s="119"/>
      <c r="LPG402" s="120"/>
      <c r="LPH402" s="120"/>
      <c r="LPI402" s="120"/>
      <c r="LPJ402" s="120"/>
      <c r="LPK402" s="120"/>
      <c r="LPL402" s="121"/>
      <c r="LPM402" s="119"/>
      <c r="LPN402" s="120"/>
      <c r="LPO402" s="120"/>
      <c r="LPP402" s="120"/>
      <c r="LPQ402" s="120"/>
      <c r="LPR402" s="120"/>
      <c r="LPS402" s="121"/>
      <c r="LPT402" s="119"/>
      <c r="LPU402" s="120"/>
      <c r="LPV402" s="120"/>
      <c r="LPW402" s="120"/>
      <c r="LPX402" s="120"/>
      <c r="LPY402" s="120"/>
      <c r="LPZ402" s="121"/>
      <c r="LQA402" s="119"/>
      <c r="LQB402" s="120"/>
      <c r="LQC402" s="120"/>
      <c r="LQD402" s="120"/>
      <c r="LQE402" s="120"/>
      <c r="LQF402" s="120"/>
      <c r="LQG402" s="121"/>
      <c r="LQH402" s="119"/>
      <c r="LQI402" s="120"/>
      <c r="LQJ402" s="120"/>
      <c r="LQK402" s="120"/>
      <c r="LQL402" s="120"/>
      <c r="LQM402" s="120"/>
      <c r="LQN402" s="121"/>
      <c r="LQO402" s="119"/>
      <c r="LQP402" s="120"/>
      <c r="LQQ402" s="120"/>
      <c r="LQR402" s="120"/>
      <c r="LQS402" s="120"/>
      <c r="LQT402" s="120"/>
      <c r="LQU402" s="121"/>
      <c r="LQV402" s="119"/>
      <c r="LQW402" s="120"/>
      <c r="LQX402" s="120"/>
      <c r="LQY402" s="120"/>
      <c r="LQZ402" s="120"/>
      <c r="LRA402" s="120"/>
      <c r="LRB402" s="121"/>
      <c r="LRC402" s="119"/>
      <c r="LRD402" s="120"/>
      <c r="LRE402" s="120"/>
      <c r="LRF402" s="120"/>
      <c r="LRG402" s="120"/>
      <c r="LRH402" s="120"/>
      <c r="LRI402" s="121"/>
      <c r="LRJ402" s="119"/>
      <c r="LRK402" s="120"/>
      <c r="LRL402" s="120"/>
      <c r="LRM402" s="120"/>
      <c r="LRN402" s="120"/>
      <c r="LRO402" s="120"/>
      <c r="LRP402" s="121"/>
      <c r="LRQ402" s="119"/>
      <c r="LRR402" s="120"/>
      <c r="LRS402" s="120"/>
      <c r="LRT402" s="120"/>
      <c r="LRU402" s="120"/>
      <c r="LRV402" s="120"/>
      <c r="LRW402" s="121"/>
      <c r="LRX402" s="119"/>
      <c r="LRY402" s="120"/>
      <c r="LRZ402" s="120"/>
      <c r="LSA402" s="120"/>
      <c r="LSB402" s="120"/>
      <c r="LSC402" s="120"/>
      <c r="LSD402" s="121"/>
      <c r="LSE402" s="119"/>
      <c r="LSF402" s="120"/>
      <c r="LSG402" s="120"/>
      <c r="LSH402" s="120"/>
      <c r="LSI402" s="120"/>
      <c r="LSJ402" s="120"/>
      <c r="LSK402" s="121"/>
      <c r="LSL402" s="119"/>
      <c r="LSM402" s="120"/>
      <c r="LSN402" s="120"/>
      <c r="LSO402" s="120"/>
      <c r="LSP402" s="120"/>
      <c r="LSQ402" s="120"/>
      <c r="LSR402" s="121"/>
      <c r="LSS402" s="119"/>
      <c r="LST402" s="120"/>
      <c r="LSU402" s="120"/>
      <c r="LSV402" s="120"/>
      <c r="LSW402" s="120"/>
      <c r="LSX402" s="120"/>
      <c r="LSY402" s="121"/>
      <c r="LSZ402" s="119"/>
      <c r="LTA402" s="120"/>
      <c r="LTB402" s="120"/>
      <c r="LTC402" s="120"/>
      <c r="LTD402" s="120"/>
      <c r="LTE402" s="120"/>
      <c r="LTF402" s="121"/>
      <c r="LTG402" s="119"/>
      <c r="LTH402" s="120"/>
      <c r="LTI402" s="120"/>
      <c r="LTJ402" s="120"/>
      <c r="LTK402" s="120"/>
      <c r="LTL402" s="120"/>
      <c r="LTM402" s="121"/>
      <c r="LTN402" s="119"/>
      <c r="LTO402" s="120"/>
      <c r="LTP402" s="120"/>
      <c r="LTQ402" s="120"/>
      <c r="LTR402" s="120"/>
      <c r="LTS402" s="120"/>
      <c r="LTT402" s="121"/>
      <c r="LTU402" s="119"/>
      <c r="LTV402" s="120"/>
      <c r="LTW402" s="120"/>
      <c r="LTX402" s="120"/>
      <c r="LTY402" s="120"/>
      <c r="LTZ402" s="120"/>
      <c r="LUA402" s="121"/>
      <c r="LUB402" s="119"/>
      <c r="LUC402" s="120"/>
      <c r="LUD402" s="120"/>
      <c r="LUE402" s="120"/>
      <c r="LUF402" s="120"/>
      <c r="LUG402" s="120"/>
      <c r="LUH402" s="121"/>
      <c r="LUI402" s="119"/>
      <c r="LUJ402" s="120"/>
      <c r="LUK402" s="120"/>
      <c r="LUL402" s="120"/>
      <c r="LUM402" s="120"/>
      <c r="LUN402" s="120"/>
      <c r="LUO402" s="121"/>
      <c r="LUP402" s="119"/>
      <c r="LUQ402" s="120"/>
      <c r="LUR402" s="120"/>
      <c r="LUS402" s="120"/>
      <c r="LUT402" s="120"/>
      <c r="LUU402" s="120"/>
      <c r="LUV402" s="121"/>
      <c r="LUW402" s="119"/>
      <c r="LUX402" s="120"/>
      <c r="LUY402" s="120"/>
      <c r="LUZ402" s="120"/>
      <c r="LVA402" s="120"/>
      <c r="LVB402" s="120"/>
      <c r="LVC402" s="121"/>
      <c r="LVD402" s="119"/>
      <c r="LVE402" s="120"/>
      <c r="LVF402" s="120"/>
      <c r="LVG402" s="120"/>
      <c r="LVH402" s="120"/>
      <c r="LVI402" s="120"/>
      <c r="LVJ402" s="121"/>
      <c r="LVK402" s="119"/>
      <c r="LVL402" s="120"/>
      <c r="LVM402" s="120"/>
      <c r="LVN402" s="120"/>
      <c r="LVO402" s="120"/>
      <c r="LVP402" s="120"/>
      <c r="LVQ402" s="121"/>
      <c r="LVR402" s="119"/>
      <c r="LVS402" s="120"/>
      <c r="LVT402" s="120"/>
      <c r="LVU402" s="120"/>
      <c r="LVV402" s="120"/>
      <c r="LVW402" s="120"/>
      <c r="LVX402" s="121"/>
      <c r="LVY402" s="119"/>
      <c r="LVZ402" s="120"/>
      <c r="LWA402" s="120"/>
      <c r="LWB402" s="120"/>
      <c r="LWC402" s="120"/>
      <c r="LWD402" s="120"/>
      <c r="LWE402" s="121"/>
      <c r="LWF402" s="119"/>
      <c r="LWG402" s="120"/>
      <c r="LWH402" s="120"/>
      <c r="LWI402" s="120"/>
      <c r="LWJ402" s="120"/>
      <c r="LWK402" s="120"/>
      <c r="LWL402" s="121"/>
      <c r="LWM402" s="119"/>
      <c r="LWN402" s="120"/>
      <c r="LWO402" s="120"/>
      <c r="LWP402" s="120"/>
      <c r="LWQ402" s="120"/>
      <c r="LWR402" s="120"/>
      <c r="LWS402" s="121"/>
      <c r="LWT402" s="119"/>
      <c r="LWU402" s="120"/>
      <c r="LWV402" s="120"/>
      <c r="LWW402" s="120"/>
      <c r="LWX402" s="120"/>
      <c r="LWY402" s="120"/>
      <c r="LWZ402" s="121"/>
      <c r="LXA402" s="119"/>
      <c r="LXB402" s="120"/>
      <c r="LXC402" s="120"/>
      <c r="LXD402" s="120"/>
      <c r="LXE402" s="120"/>
      <c r="LXF402" s="120"/>
      <c r="LXG402" s="121"/>
      <c r="LXH402" s="119"/>
      <c r="LXI402" s="120"/>
      <c r="LXJ402" s="120"/>
      <c r="LXK402" s="120"/>
      <c r="LXL402" s="120"/>
      <c r="LXM402" s="120"/>
      <c r="LXN402" s="121"/>
      <c r="LXO402" s="119"/>
      <c r="LXP402" s="120"/>
      <c r="LXQ402" s="120"/>
      <c r="LXR402" s="120"/>
      <c r="LXS402" s="120"/>
      <c r="LXT402" s="120"/>
      <c r="LXU402" s="121"/>
      <c r="LXV402" s="119"/>
      <c r="LXW402" s="120"/>
      <c r="LXX402" s="120"/>
      <c r="LXY402" s="120"/>
      <c r="LXZ402" s="120"/>
      <c r="LYA402" s="120"/>
      <c r="LYB402" s="121"/>
      <c r="LYC402" s="119"/>
      <c r="LYD402" s="120"/>
      <c r="LYE402" s="120"/>
      <c r="LYF402" s="120"/>
      <c r="LYG402" s="120"/>
      <c r="LYH402" s="120"/>
      <c r="LYI402" s="121"/>
      <c r="LYJ402" s="119"/>
      <c r="LYK402" s="120"/>
      <c r="LYL402" s="120"/>
      <c r="LYM402" s="120"/>
      <c r="LYN402" s="120"/>
      <c r="LYO402" s="120"/>
      <c r="LYP402" s="121"/>
      <c r="LYQ402" s="119"/>
      <c r="LYR402" s="120"/>
      <c r="LYS402" s="120"/>
      <c r="LYT402" s="120"/>
      <c r="LYU402" s="120"/>
      <c r="LYV402" s="120"/>
      <c r="LYW402" s="121"/>
      <c r="LYX402" s="119"/>
      <c r="LYY402" s="120"/>
      <c r="LYZ402" s="120"/>
      <c r="LZA402" s="120"/>
      <c r="LZB402" s="120"/>
      <c r="LZC402" s="120"/>
      <c r="LZD402" s="121"/>
      <c r="LZE402" s="119"/>
      <c r="LZF402" s="120"/>
      <c r="LZG402" s="120"/>
      <c r="LZH402" s="120"/>
      <c r="LZI402" s="120"/>
      <c r="LZJ402" s="120"/>
      <c r="LZK402" s="121"/>
      <c r="LZL402" s="119"/>
      <c r="LZM402" s="120"/>
      <c r="LZN402" s="120"/>
      <c r="LZO402" s="120"/>
      <c r="LZP402" s="120"/>
      <c r="LZQ402" s="120"/>
      <c r="LZR402" s="121"/>
      <c r="LZS402" s="119"/>
      <c r="LZT402" s="120"/>
      <c r="LZU402" s="120"/>
      <c r="LZV402" s="120"/>
      <c r="LZW402" s="120"/>
      <c r="LZX402" s="120"/>
      <c r="LZY402" s="121"/>
      <c r="LZZ402" s="119"/>
      <c r="MAA402" s="120"/>
      <c r="MAB402" s="120"/>
      <c r="MAC402" s="120"/>
      <c r="MAD402" s="120"/>
      <c r="MAE402" s="120"/>
      <c r="MAF402" s="121"/>
      <c r="MAG402" s="119"/>
      <c r="MAH402" s="120"/>
      <c r="MAI402" s="120"/>
      <c r="MAJ402" s="120"/>
      <c r="MAK402" s="120"/>
      <c r="MAL402" s="120"/>
      <c r="MAM402" s="121"/>
      <c r="MAN402" s="119"/>
      <c r="MAO402" s="120"/>
      <c r="MAP402" s="120"/>
      <c r="MAQ402" s="120"/>
      <c r="MAR402" s="120"/>
      <c r="MAS402" s="120"/>
      <c r="MAT402" s="121"/>
      <c r="MAU402" s="119"/>
      <c r="MAV402" s="120"/>
      <c r="MAW402" s="120"/>
      <c r="MAX402" s="120"/>
      <c r="MAY402" s="120"/>
      <c r="MAZ402" s="120"/>
      <c r="MBA402" s="121"/>
      <c r="MBB402" s="119"/>
      <c r="MBC402" s="120"/>
      <c r="MBD402" s="120"/>
      <c r="MBE402" s="120"/>
      <c r="MBF402" s="120"/>
      <c r="MBG402" s="120"/>
      <c r="MBH402" s="121"/>
      <c r="MBI402" s="119"/>
      <c r="MBJ402" s="120"/>
      <c r="MBK402" s="120"/>
      <c r="MBL402" s="120"/>
      <c r="MBM402" s="120"/>
      <c r="MBN402" s="120"/>
      <c r="MBO402" s="121"/>
      <c r="MBP402" s="119"/>
      <c r="MBQ402" s="120"/>
      <c r="MBR402" s="120"/>
      <c r="MBS402" s="120"/>
      <c r="MBT402" s="120"/>
      <c r="MBU402" s="120"/>
      <c r="MBV402" s="121"/>
      <c r="MBW402" s="119"/>
      <c r="MBX402" s="120"/>
      <c r="MBY402" s="120"/>
      <c r="MBZ402" s="120"/>
      <c r="MCA402" s="120"/>
      <c r="MCB402" s="120"/>
      <c r="MCC402" s="121"/>
      <c r="MCD402" s="119"/>
      <c r="MCE402" s="120"/>
      <c r="MCF402" s="120"/>
      <c r="MCG402" s="120"/>
      <c r="MCH402" s="120"/>
      <c r="MCI402" s="120"/>
      <c r="MCJ402" s="121"/>
      <c r="MCK402" s="119"/>
      <c r="MCL402" s="120"/>
      <c r="MCM402" s="120"/>
      <c r="MCN402" s="120"/>
      <c r="MCO402" s="120"/>
      <c r="MCP402" s="120"/>
      <c r="MCQ402" s="121"/>
      <c r="MCR402" s="119"/>
      <c r="MCS402" s="120"/>
      <c r="MCT402" s="120"/>
      <c r="MCU402" s="120"/>
      <c r="MCV402" s="120"/>
      <c r="MCW402" s="120"/>
      <c r="MCX402" s="121"/>
      <c r="MCY402" s="119"/>
      <c r="MCZ402" s="120"/>
      <c r="MDA402" s="120"/>
      <c r="MDB402" s="120"/>
      <c r="MDC402" s="120"/>
      <c r="MDD402" s="120"/>
      <c r="MDE402" s="121"/>
      <c r="MDF402" s="119"/>
      <c r="MDG402" s="120"/>
      <c r="MDH402" s="120"/>
      <c r="MDI402" s="120"/>
      <c r="MDJ402" s="120"/>
      <c r="MDK402" s="120"/>
      <c r="MDL402" s="121"/>
      <c r="MDM402" s="119"/>
      <c r="MDN402" s="120"/>
      <c r="MDO402" s="120"/>
      <c r="MDP402" s="120"/>
      <c r="MDQ402" s="120"/>
      <c r="MDR402" s="120"/>
      <c r="MDS402" s="121"/>
      <c r="MDT402" s="119"/>
      <c r="MDU402" s="120"/>
      <c r="MDV402" s="120"/>
      <c r="MDW402" s="120"/>
      <c r="MDX402" s="120"/>
      <c r="MDY402" s="120"/>
      <c r="MDZ402" s="121"/>
      <c r="MEA402" s="119"/>
      <c r="MEB402" s="120"/>
      <c r="MEC402" s="120"/>
      <c r="MED402" s="120"/>
      <c r="MEE402" s="120"/>
      <c r="MEF402" s="120"/>
      <c r="MEG402" s="121"/>
      <c r="MEH402" s="119"/>
      <c r="MEI402" s="120"/>
      <c r="MEJ402" s="120"/>
      <c r="MEK402" s="120"/>
      <c r="MEL402" s="120"/>
      <c r="MEM402" s="120"/>
      <c r="MEN402" s="121"/>
      <c r="MEO402" s="119"/>
      <c r="MEP402" s="120"/>
      <c r="MEQ402" s="120"/>
      <c r="MER402" s="120"/>
      <c r="MES402" s="120"/>
      <c r="MET402" s="120"/>
      <c r="MEU402" s="121"/>
      <c r="MEV402" s="119"/>
      <c r="MEW402" s="120"/>
      <c r="MEX402" s="120"/>
      <c r="MEY402" s="120"/>
      <c r="MEZ402" s="120"/>
      <c r="MFA402" s="120"/>
      <c r="MFB402" s="121"/>
      <c r="MFC402" s="119"/>
      <c r="MFD402" s="120"/>
      <c r="MFE402" s="120"/>
      <c r="MFF402" s="120"/>
      <c r="MFG402" s="120"/>
      <c r="MFH402" s="120"/>
      <c r="MFI402" s="121"/>
      <c r="MFJ402" s="119"/>
      <c r="MFK402" s="120"/>
      <c r="MFL402" s="120"/>
      <c r="MFM402" s="120"/>
      <c r="MFN402" s="120"/>
      <c r="MFO402" s="120"/>
      <c r="MFP402" s="121"/>
      <c r="MFQ402" s="119"/>
      <c r="MFR402" s="120"/>
      <c r="MFS402" s="120"/>
      <c r="MFT402" s="120"/>
      <c r="MFU402" s="120"/>
      <c r="MFV402" s="120"/>
      <c r="MFW402" s="121"/>
      <c r="MFX402" s="119"/>
      <c r="MFY402" s="120"/>
      <c r="MFZ402" s="120"/>
      <c r="MGA402" s="120"/>
      <c r="MGB402" s="120"/>
      <c r="MGC402" s="120"/>
      <c r="MGD402" s="121"/>
      <c r="MGE402" s="119"/>
      <c r="MGF402" s="120"/>
      <c r="MGG402" s="120"/>
      <c r="MGH402" s="120"/>
      <c r="MGI402" s="120"/>
      <c r="MGJ402" s="120"/>
      <c r="MGK402" s="121"/>
      <c r="MGL402" s="119"/>
      <c r="MGM402" s="120"/>
      <c r="MGN402" s="120"/>
      <c r="MGO402" s="120"/>
      <c r="MGP402" s="120"/>
      <c r="MGQ402" s="120"/>
      <c r="MGR402" s="121"/>
      <c r="MGS402" s="119"/>
      <c r="MGT402" s="120"/>
      <c r="MGU402" s="120"/>
      <c r="MGV402" s="120"/>
      <c r="MGW402" s="120"/>
      <c r="MGX402" s="120"/>
      <c r="MGY402" s="121"/>
      <c r="MGZ402" s="119"/>
      <c r="MHA402" s="120"/>
      <c r="MHB402" s="120"/>
      <c r="MHC402" s="120"/>
      <c r="MHD402" s="120"/>
      <c r="MHE402" s="120"/>
      <c r="MHF402" s="121"/>
      <c r="MHG402" s="119"/>
      <c r="MHH402" s="120"/>
      <c r="MHI402" s="120"/>
      <c r="MHJ402" s="120"/>
      <c r="MHK402" s="120"/>
      <c r="MHL402" s="120"/>
      <c r="MHM402" s="121"/>
      <c r="MHN402" s="119"/>
      <c r="MHO402" s="120"/>
      <c r="MHP402" s="120"/>
      <c r="MHQ402" s="120"/>
      <c r="MHR402" s="120"/>
      <c r="MHS402" s="120"/>
      <c r="MHT402" s="121"/>
      <c r="MHU402" s="119"/>
      <c r="MHV402" s="120"/>
      <c r="MHW402" s="120"/>
      <c r="MHX402" s="120"/>
      <c r="MHY402" s="120"/>
      <c r="MHZ402" s="120"/>
      <c r="MIA402" s="121"/>
      <c r="MIB402" s="119"/>
      <c r="MIC402" s="120"/>
      <c r="MID402" s="120"/>
      <c r="MIE402" s="120"/>
      <c r="MIF402" s="120"/>
      <c r="MIG402" s="120"/>
      <c r="MIH402" s="121"/>
      <c r="MII402" s="119"/>
      <c r="MIJ402" s="120"/>
      <c r="MIK402" s="120"/>
      <c r="MIL402" s="120"/>
      <c r="MIM402" s="120"/>
      <c r="MIN402" s="120"/>
      <c r="MIO402" s="121"/>
      <c r="MIP402" s="119"/>
      <c r="MIQ402" s="120"/>
      <c r="MIR402" s="120"/>
      <c r="MIS402" s="120"/>
      <c r="MIT402" s="120"/>
      <c r="MIU402" s="120"/>
      <c r="MIV402" s="121"/>
      <c r="MIW402" s="119"/>
      <c r="MIX402" s="120"/>
      <c r="MIY402" s="120"/>
      <c r="MIZ402" s="120"/>
      <c r="MJA402" s="120"/>
      <c r="MJB402" s="120"/>
      <c r="MJC402" s="121"/>
      <c r="MJD402" s="119"/>
      <c r="MJE402" s="120"/>
      <c r="MJF402" s="120"/>
      <c r="MJG402" s="120"/>
      <c r="MJH402" s="120"/>
      <c r="MJI402" s="120"/>
      <c r="MJJ402" s="121"/>
      <c r="MJK402" s="119"/>
      <c r="MJL402" s="120"/>
      <c r="MJM402" s="120"/>
      <c r="MJN402" s="120"/>
      <c r="MJO402" s="120"/>
      <c r="MJP402" s="120"/>
      <c r="MJQ402" s="121"/>
      <c r="MJR402" s="119"/>
      <c r="MJS402" s="120"/>
      <c r="MJT402" s="120"/>
      <c r="MJU402" s="120"/>
      <c r="MJV402" s="120"/>
      <c r="MJW402" s="120"/>
      <c r="MJX402" s="121"/>
      <c r="MJY402" s="119"/>
      <c r="MJZ402" s="120"/>
      <c r="MKA402" s="120"/>
      <c r="MKB402" s="120"/>
      <c r="MKC402" s="120"/>
      <c r="MKD402" s="120"/>
      <c r="MKE402" s="121"/>
      <c r="MKF402" s="119"/>
      <c r="MKG402" s="120"/>
      <c r="MKH402" s="120"/>
      <c r="MKI402" s="120"/>
      <c r="MKJ402" s="120"/>
      <c r="MKK402" s="120"/>
      <c r="MKL402" s="121"/>
      <c r="MKM402" s="119"/>
      <c r="MKN402" s="120"/>
      <c r="MKO402" s="120"/>
      <c r="MKP402" s="120"/>
      <c r="MKQ402" s="120"/>
      <c r="MKR402" s="120"/>
      <c r="MKS402" s="121"/>
      <c r="MKT402" s="119"/>
      <c r="MKU402" s="120"/>
      <c r="MKV402" s="120"/>
      <c r="MKW402" s="120"/>
      <c r="MKX402" s="120"/>
      <c r="MKY402" s="120"/>
      <c r="MKZ402" s="121"/>
      <c r="MLA402" s="119"/>
      <c r="MLB402" s="120"/>
      <c r="MLC402" s="120"/>
      <c r="MLD402" s="120"/>
      <c r="MLE402" s="120"/>
      <c r="MLF402" s="120"/>
      <c r="MLG402" s="121"/>
      <c r="MLH402" s="119"/>
      <c r="MLI402" s="120"/>
      <c r="MLJ402" s="120"/>
      <c r="MLK402" s="120"/>
      <c r="MLL402" s="120"/>
      <c r="MLM402" s="120"/>
      <c r="MLN402" s="121"/>
      <c r="MLO402" s="119"/>
      <c r="MLP402" s="120"/>
      <c r="MLQ402" s="120"/>
      <c r="MLR402" s="120"/>
      <c r="MLS402" s="120"/>
      <c r="MLT402" s="120"/>
      <c r="MLU402" s="121"/>
      <c r="MLV402" s="119"/>
      <c r="MLW402" s="120"/>
      <c r="MLX402" s="120"/>
      <c r="MLY402" s="120"/>
      <c r="MLZ402" s="120"/>
      <c r="MMA402" s="120"/>
      <c r="MMB402" s="121"/>
      <c r="MMC402" s="119"/>
      <c r="MMD402" s="120"/>
      <c r="MME402" s="120"/>
      <c r="MMF402" s="120"/>
      <c r="MMG402" s="120"/>
      <c r="MMH402" s="120"/>
      <c r="MMI402" s="121"/>
      <c r="MMJ402" s="119"/>
      <c r="MMK402" s="120"/>
      <c r="MML402" s="120"/>
      <c r="MMM402" s="120"/>
      <c r="MMN402" s="120"/>
      <c r="MMO402" s="120"/>
      <c r="MMP402" s="121"/>
      <c r="MMQ402" s="119"/>
      <c r="MMR402" s="120"/>
      <c r="MMS402" s="120"/>
      <c r="MMT402" s="120"/>
      <c r="MMU402" s="120"/>
      <c r="MMV402" s="120"/>
      <c r="MMW402" s="121"/>
      <c r="MMX402" s="119"/>
      <c r="MMY402" s="120"/>
      <c r="MMZ402" s="120"/>
      <c r="MNA402" s="120"/>
      <c r="MNB402" s="120"/>
      <c r="MNC402" s="120"/>
      <c r="MND402" s="121"/>
      <c r="MNE402" s="119"/>
      <c r="MNF402" s="120"/>
      <c r="MNG402" s="120"/>
      <c r="MNH402" s="120"/>
      <c r="MNI402" s="120"/>
      <c r="MNJ402" s="120"/>
      <c r="MNK402" s="121"/>
      <c r="MNL402" s="119"/>
      <c r="MNM402" s="120"/>
      <c r="MNN402" s="120"/>
      <c r="MNO402" s="120"/>
      <c r="MNP402" s="120"/>
      <c r="MNQ402" s="120"/>
      <c r="MNR402" s="121"/>
      <c r="MNS402" s="119"/>
      <c r="MNT402" s="120"/>
      <c r="MNU402" s="120"/>
      <c r="MNV402" s="120"/>
      <c r="MNW402" s="120"/>
      <c r="MNX402" s="120"/>
      <c r="MNY402" s="121"/>
      <c r="MNZ402" s="119"/>
      <c r="MOA402" s="120"/>
      <c r="MOB402" s="120"/>
      <c r="MOC402" s="120"/>
      <c r="MOD402" s="120"/>
      <c r="MOE402" s="120"/>
      <c r="MOF402" s="121"/>
      <c r="MOG402" s="119"/>
      <c r="MOH402" s="120"/>
      <c r="MOI402" s="120"/>
      <c r="MOJ402" s="120"/>
      <c r="MOK402" s="120"/>
      <c r="MOL402" s="120"/>
      <c r="MOM402" s="121"/>
      <c r="MON402" s="119"/>
      <c r="MOO402" s="120"/>
      <c r="MOP402" s="120"/>
      <c r="MOQ402" s="120"/>
      <c r="MOR402" s="120"/>
      <c r="MOS402" s="120"/>
      <c r="MOT402" s="121"/>
      <c r="MOU402" s="119"/>
      <c r="MOV402" s="120"/>
      <c r="MOW402" s="120"/>
      <c r="MOX402" s="120"/>
      <c r="MOY402" s="120"/>
      <c r="MOZ402" s="120"/>
      <c r="MPA402" s="121"/>
      <c r="MPB402" s="119"/>
      <c r="MPC402" s="120"/>
      <c r="MPD402" s="120"/>
      <c r="MPE402" s="120"/>
      <c r="MPF402" s="120"/>
      <c r="MPG402" s="120"/>
      <c r="MPH402" s="121"/>
      <c r="MPI402" s="119"/>
      <c r="MPJ402" s="120"/>
      <c r="MPK402" s="120"/>
      <c r="MPL402" s="120"/>
      <c r="MPM402" s="120"/>
      <c r="MPN402" s="120"/>
      <c r="MPO402" s="121"/>
      <c r="MPP402" s="119"/>
      <c r="MPQ402" s="120"/>
      <c r="MPR402" s="120"/>
      <c r="MPS402" s="120"/>
      <c r="MPT402" s="120"/>
      <c r="MPU402" s="120"/>
      <c r="MPV402" s="121"/>
      <c r="MPW402" s="119"/>
      <c r="MPX402" s="120"/>
      <c r="MPY402" s="120"/>
      <c r="MPZ402" s="120"/>
      <c r="MQA402" s="120"/>
      <c r="MQB402" s="120"/>
      <c r="MQC402" s="121"/>
      <c r="MQD402" s="119"/>
      <c r="MQE402" s="120"/>
      <c r="MQF402" s="120"/>
      <c r="MQG402" s="120"/>
      <c r="MQH402" s="120"/>
      <c r="MQI402" s="120"/>
      <c r="MQJ402" s="121"/>
      <c r="MQK402" s="119"/>
      <c r="MQL402" s="120"/>
      <c r="MQM402" s="120"/>
      <c r="MQN402" s="120"/>
      <c r="MQO402" s="120"/>
      <c r="MQP402" s="120"/>
      <c r="MQQ402" s="121"/>
      <c r="MQR402" s="119"/>
      <c r="MQS402" s="120"/>
      <c r="MQT402" s="120"/>
      <c r="MQU402" s="120"/>
      <c r="MQV402" s="120"/>
      <c r="MQW402" s="120"/>
      <c r="MQX402" s="121"/>
      <c r="MQY402" s="119"/>
      <c r="MQZ402" s="120"/>
      <c r="MRA402" s="120"/>
      <c r="MRB402" s="120"/>
      <c r="MRC402" s="120"/>
      <c r="MRD402" s="120"/>
      <c r="MRE402" s="121"/>
      <c r="MRF402" s="119"/>
      <c r="MRG402" s="120"/>
      <c r="MRH402" s="120"/>
      <c r="MRI402" s="120"/>
      <c r="MRJ402" s="120"/>
      <c r="MRK402" s="120"/>
      <c r="MRL402" s="121"/>
      <c r="MRM402" s="119"/>
      <c r="MRN402" s="120"/>
      <c r="MRO402" s="120"/>
      <c r="MRP402" s="120"/>
      <c r="MRQ402" s="120"/>
      <c r="MRR402" s="120"/>
      <c r="MRS402" s="121"/>
      <c r="MRT402" s="119"/>
      <c r="MRU402" s="120"/>
      <c r="MRV402" s="120"/>
      <c r="MRW402" s="120"/>
      <c r="MRX402" s="120"/>
      <c r="MRY402" s="120"/>
      <c r="MRZ402" s="121"/>
      <c r="MSA402" s="119"/>
      <c r="MSB402" s="120"/>
      <c r="MSC402" s="120"/>
      <c r="MSD402" s="120"/>
      <c r="MSE402" s="120"/>
      <c r="MSF402" s="120"/>
      <c r="MSG402" s="121"/>
      <c r="MSH402" s="119"/>
      <c r="MSI402" s="120"/>
      <c r="MSJ402" s="120"/>
      <c r="MSK402" s="120"/>
      <c r="MSL402" s="120"/>
      <c r="MSM402" s="120"/>
      <c r="MSN402" s="121"/>
      <c r="MSO402" s="119"/>
      <c r="MSP402" s="120"/>
      <c r="MSQ402" s="120"/>
      <c r="MSR402" s="120"/>
      <c r="MSS402" s="120"/>
      <c r="MST402" s="120"/>
      <c r="MSU402" s="121"/>
      <c r="MSV402" s="119"/>
      <c r="MSW402" s="120"/>
      <c r="MSX402" s="120"/>
      <c r="MSY402" s="120"/>
      <c r="MSZ402" s="120"/>
      <c r="MTA402" s="120"/>
      <c r="MTB402" s="121"/>
      <c r="MTC402" s="119"/>
      <c r="MTD402" s="120"/>
      <c r="MTE402" s="120"/>
      <c r="MTF402" s="120"/>
      <c r="MTG402" s="120"/>
      <c r="MTH402" s="120"/>
      <c r="MTI402" s="121"/>
      <c r="MTJ402" s="119"/>
      <c r="MTK402" s="120"/>
      <c r="MTL402" s="120"/>
      <c r="MTM402" s="120"/>
      <c r="MTN402" s="120"/>
      <c r="MTO402" s="120"/>
      <c r="MTP402" s="121"/>
      <c r="MTQ402" s="119"/>
      <c r="MTR402" s="120"/>
      <c r="MTS402" s="120"/>
      <c r="MTT402" s="120"/>
      <c r="MTU402" s="120"/>
      <c r="MTV402" s="120"/>
      <c r="MTW402" s="121"/>
      <c r="MTX402" s="119"/>
      <c r="MTY402" s="120"/>
      <c r="MTZ402" s="120"/>
      <c r="MUA402" s="120"/>
      <c r="MUB402" s="120"/>
      <c r="MUC402" s="120"/>
      <c r="MUD402" s="121"/>
      <c r="MUE402" s="119"/>
      <c r="MUF402" s="120"/>
      <c r="MUG402" s="120"/>
      <c r="MUH402" s="120"/>
      <c r="MUI402" s="120"/>
      <c r="MUJ402" s="120"/>
      <c r="MUK402" s="121"/>
      <c r="MUL402" s="119"/>
      <c r="MUM402" s="120"/>
      <c r="MUN402" s="120"/>
      <c r="MUO402" s="120"/>
      <c r="MUP402" s="120"/>
      <c r="MUQ402" s="120"/>
      <c r="MUR402" s="121"/>
      <c r="MUS402" s="119"/>
      <c r="MUT402" s="120"/>
      <c r="MUU402" s="120"/>
      <c r="MUV402" s="120"/>
      <c r="MUW402" s="120"/>
      <c r="MUX402" s="120"/>
      <c r="MUY402" s="121"/>
      <c r="MUZ402" s="119"/>
      <c r="MVA402" s="120"/>
      <c r="MVB402" s="120"/>
      <c r="MVC402" s="120"/>
      <c r="MVD402" s="120"/>
      <c r="MVE402" s="120"/>
      <c r="MVF402" s="121"/>
      <c r="MVG402" s="119"/>
      <c r="MVH402" s="120"/>
      <c r="MVI402" s="120"/>
      <c r="MVJ402" s="120"/>
      <c r="MVK402" s="120"/>
      <c r="MVL402" s="120"/>
      <c r="MVM402" s="121"/>
      <c r="MVN402" s="119"/>
      <c r="MVO402" s="120"/>
      <c r="MVP402" s="120"/>
      <c r="MVQ402" s="120"/>
      <c r="MVR402" s="120"/>
      <c r="MVS402" s="120"/>
      <c r="MVT402" s="121"/>
      <c r="MVU402" s="119"/>
      <c r="MVV402" s="120"/>
      <c r="MVW402" s="120"/>
      <c r="MVX402" s="120"/>
      <c r="MVY402" s="120"/>
      <c r="MVZ402" s="120"/>
      <c r="MWA402" s="121"/>
      <c r="MWB402" s="119"/>
      <c r="MWC402" s="120"/>
      <c r="MWD402" s="120"/>
      <c r="MWE402" s="120"/>
      <c r="MWF402" s="120"/>
      <c r="MWG402" s="120"/>
      <c r="MWH402" s="121"/>
      <c r="MWI402" s="119"/>
      <c r="MWJ402" s="120"/>
      <c r="MWK402" s="120"/>
      <c r="MWL402" s="120"/>
      <c r="MWM402" s="120"/>
      <c r="MWN402" s="120"/>
      <c r="MWO402" s="121"/>
      <c r="MWP402" s="119"/>
      <c r="MWQ402" s="120"/>
      <c r="MWR402" s="120"/>
      <c r="MWS402" s="120"/>
      <c r="MWT402" s="120"/>
      <c r="MWU402" s="120"/>
      <c r="MWV402" s="121"/>
      <c r="MWW402" s="119"/>
      <c r="MWX402" s="120"/>
      <c r="MWY402" s="120"/>
      <c r="MWZ402" s="120"/>
      <c r="MXA402" s="120"/>
      <c r="MXB402" s="120"/>
      <c r="MXC402" s="121"/>
      <c r="MXD402" s="119"/>
      <c r="MXE402" s="120"/>
      <c r="MXF402" s="120"/>
      <c r="MXG402" s="120"/>
      <c r="MXH402" s="120"/>
      <c r="MXI402" s="120"/>
      <c r="MXJ402" s="121"/>
      <c r="MXK402" s="119"/>
      <c r="MXL402" s="120"/>
      <c r="MXM402" s="120"/>
      <c r="MXN402" s="120"/>
      <c r="MXO402" s="120"/>
      <c r="MXP402" s="120"/>
      <c r="MXQ402" s="121"/>
      <c r="MXR402" s="119"/>
      <c r="MXS402" s="120"/>
      <c r="MXT402" s="120"/>
      <c r="MXU402" s="120"/>
      <c r="MXV402" s="120"/>
      <c r="MXW402" s="120"/>
      <c r="MXX402" s="121"/>
      <c r="MXY402" s="119"/>
      <c r="MXZ402" s="120"/>
      <c r="MYA402" s="120"/>
      <c r="MYB402" s="120"/>
      <c r="MYC402" s="120"/>
      <c r="MYD402" s="120"/>
      <c r="MYE402" s="121"/>
      <c r="MYF402" s="119"/>
      <c r="MYG402" s="120"/>
      <c r="MYH402" s="120"/>
      <c r="MYI402" s="120"/>
      <c r="MYJ402" s="120"/>
      <c r="MYK402" s="120"/>
      <c r="MYL402" s="121"/>
      <c r="MYM402" s="119"/>
      <c r="MYN402" s="120"/>
      <c r="MYO402" s="120"/>
      <c r="MYP402" s="120"/>
      <c r="MYQ402" s="120"/>
      <c r="MYR402" s="120"/>
      <c r="MYS402" s="121"/>
      <c r="MYT402" s="119"/>
      <c r="MYU402" s="120"/>
      <c r="MYV402" s="120"/>
      <c r="MYW402" s="120"/>
      <c r="MYX402" s="120"/>
      <c r="MYY402" s="120"/>
      <c r="MYZ402" s="121"/>
      <c r="MZA402" s="119"/>
      <c r="MZB402" s="120"/>
      <c r="MZC402" s="120"/>
      <c r="MZD402" s="120"/>
      <c r="MZE402" s="120"/>
      <c r="MZF402" s="120"/>
      <c r="MZG402" s="121"/>
      <c r="MZH402" s="119"/>
      <c r="MZI402" s="120"/>
      <c r="MZJ402" s="120"/>
      <c r="MZK402" s="120"/>
      <c r="MZL402" s="120"/>
      <c r="MZM402" s="120"/>
      <c r="MZN402" s="121"/>
      <c r="MZO402" s="119"/>
      <c r="MZP402" s="120"/>
      <c r="MZQ402" s="120"/>
      <c r="MZR402" s="120"/>
      <c r="MZS402" s="120"/>
      <c r="MZT402" s="120"/>
      <c r="MZU402" s="121"/>
      <c r="MZV402" s="119"/>
      <c r="MZW402" s="120"/>
      <c r="MZX402" s="120"/>
      <c r="MZY402" s="120"/>
      <c r="MZZ402" s="120"/>
      <c r="NAA402" s="120"/>
      <c r="NAB402" s="121"/>
      <c r="NAC402" s="119"/>
      <c r="NAD402" s="120"/>
      <c r="NAE402" s="120"/>
      <c r="NAF402" s="120"/>
      <c r="NAG402" s="120"/>
      <c r="NAH402" s="120"/>
      <c r="NAI402" s="121"/>
      <c r="NAJ402" s="119"/>
      <c r="NAK402" s="120"/>
      <c r="NAL402" s="120"/>
      <c r="NAM402" s="120"/>
      <c r="NAN402" s="120"/>
      <c r="NAO402" s="120"/>
      <c r="NAP402" s="121"/>
      <c r="NAQ402" s="119"/>
      <c r="NAR402" s="120"/>
      <c r="NAS402" s="120"/>
      <c r="NAT402" s="120"/>
      <c r="NAU402" s="120"/>
      <c r="NAV402" s="120"/>
      <c r="NAW402" s="121"/>
      <c r="NAX402" s="119"/>
      <c r="NAY402" s="120"/>
      <c r="NAZ402" s="120"/>
      <c r="NBA402" s="120"/>
      <c r="NBB402" s="120"/>
      <c r="NBC402" s="120"/>
      <c r="NBD402" s="121"/>
      <c r="NBE402" s="119"/>
      <c r="NBF402" s="120"/>
      <c r="NBG402" s="120"/>
      <c r="NBH402" s="120"/>
      <c r="NBI402" s="120"/>
      <c r="NBJ402" s="120"/>
      <c r="NBK402" s="121"/>
      <c r="NBL402" s="119"/>
      <c r="NBM402" s="120"/>
      <c r="NBN402" s="120"/>
      <c r="NBO402" s="120"/>
      <c r="NBP402" s="120"/>
      <c r="NBQ402" s="120"/>
      <c r="NBR402" s="121"/>
      <c r="NBS402" s="119"/>
      <c r="NBT402" s="120"/>
      <c r="NBU402" s="120"/>
      <c r="NBV402" s="120"/>
      <c r="NBW402" s="120"/>
      <c r="NBX402" s="120"/>
      <c r="NBY402" s="121"/>
      <c r="NBZ402" s="119"/>
      <c r="NCA402" s="120"/>
      <c r="NCB402" s="120"/>
      <c r="NCC402" s="120"/>
      <c r="NCD402" s="120"/>
      <c r="NCE402" s="120"/>
      <c r="NCF402" s="121"/>
      <c r="NCG402" s="119"/>
      <c r="NCH402" s="120"/>
      <c r="NCI402" s="120"/>
      <c r="NCJ402" s="120"/>
      <c r="NCK402" s="120"/>
      <c r="NCL402" s="120"/>
      <c r="NCM402" s="121"/>
      <c r="NCN402" s="119"/>
      <c r="NCO402" s="120"/>
      <c r="NCP402" s="120"/>
      <c r="NCQ402" s="120"/>
      <c r="NCR402" s="120"/>
      <c r="NCS402" s="120"/>
      <c r="NCT402" s="121"/>
      <c r="NCU402" s="119"/>
      <c r="NCV402" s="120"/>
      <c r="NCW402" s="120"/>
      <c r="NCX402" s="120"/>
      <c r="NCY402" s="120"/>
      <c r="NCZ402" s="120"/>
      <c r="NDA402" s="121"/>
      <c r="NDB402" s="119"/>
      <c r="NDC402" s="120"/>
      <c r="NDD402" s="120"/>
      <c r="NDE402" s="120"/>
      <c r="NDF402" s="120"/>
      <c r="NDG402" s="120"/>
      <c r="NDH402" s="121"/>
      <c r="NDI402" s="119"/>
      <c r="NDJ402" s="120"/>
      <c r="NDK402" s="120"/>
      <c r="NDL402" s="120"/>
      <c r="NDM402" s="120"/>
      <c r="NDN402" s="120"/>
      <c r="NDO402" s="121"/>
      <c r="NDP402" s="119"/>
      <c r="NDQ402" s="120"/>
      <c r="NDR402" s="120"/>
      <c r="NDS402" s="120"/>
      <c r="NDT402" s="120"/>
      <c r="NDU402" s="120"/>
      <c r="NDV402" s="121"/>
      <c r="NDW402" s="119"/>
      <c r="NDX402" s="120"/>
      <c r="NDY402" s="120"/>
      <c r="NDZ402" s="120"/>
      <c r="NEA402" s="120"/>
      <c r="NEB402" s="120"/>
      <c r="NEC402" s="121"/>
      <c r="NED402" s="119"/>
      <c r="NEE402" s="120"/>
      <c r="NEF402" s="120"/>
      <c r="NEG402" s="120"/>
      <c r="NEH402" s="120"/>
      <c r="NEI402" s="120"/>
      <c r="NEJ402" s="121"/>
      <c r="NEK402" s="119"/>
      <c r="NEL402" s="120"/>
      <c r="NEM402" s="120"/>
      <c r="NEN402" s="120"/>
      <c r="NEO402" s="120"/>
      <c r="NEP402" s="120"/>
      <c r="NEQ402" s="121"/>
      <c r="NER402" s="119"/>
      <c r="NES402" s="120"/>
      <c r="NET402" s="120"/>
      <c r="NEU402" s="120"/>
      <c r="NEV402" s="120"/>
      <c r="NEW402" s="120"/>
      <c r="NEX402" s="121"/>
      <c r="NEY402" s="119"/>
      <c r="NEZ402" s="120"/>
      <c r="NFA402" s="120"/>
      <c r="NFB402" s="120"/>
      <c r="NFC402" s="120"/>
      <c r="NFD402" s="120"/>
      <c r="NFE402" s="121"/>
      <c r="NFF402" s="119"/>
      <c r="NFG402" s="120"/>
      <c r="NFH402" s="120"/>
      <c r="NFI402" s="120"/>
      <c r="NFJ402" s="120"/>
      <c r="NFK402" s="120"/>
      <c r="NFL402" s="121"/>
      <c r="NFM402" s="119"/>
      <c r="NFN402" s="120"/>
      <c r="NFO402" s="120"/>
      <c r="NFP402" s="120"/>
      <c r="NFQ402" s="120"/>
      <c r="NFR402" s="120"/>
      <c r="NFS402" s="121"/>
      <c r="NFT402" s="119"/>
      <c r="NFU402" s="120"/>
      <c r="NFV402" s="120"/>
      <c r="NFW402" s="120"/>
      <c r="NFX402" s="120"/>
      <c r="NFY402" s="120"/>
      <c r="NFZ402" s="121"/>
      <c r="NGA402" s="119"/>
      <c r="NGB402" s="120"/>
      <c r="NGC402" s="120"/>
      <c r="NGD402" s="120"/>
      <c r="NGE402" s="120"/>
      <c r="NGF402" s="120"/>
      <c r="NGG402" s="121"/>
      <c r="NGH402" s="119"/>
      <c r="NGI402" s="120"/>
      <c r="NGJ402" s="120"/>
      <c r="NGK402" s="120"/>
      <c r="NGL402" s="120"/>
      <c r="NGM402" s="120"/>
      <c r="NGN402" s="121"/>
      <c r="NGO402" s="119"/>
      <c r="NGP402" s="120"/>
      <c r="NGQ402" s="120"/>
      <c r="NGR402" s="120"/>
      <c r="NGS402" s="120"/>
      <c r="NGT402" s="120"/>
      <c r="NGU402" s="121"/>
      <c r="NGV402" s="119"/>
      <c r="NGW402" s="120"/>
      <c r="NGX402" s="120"/>
      <c r="NGY402" s="120"/>
      <c r="NGZ402" s="120"/>
      <c r="NHA402" s="120"/>
      <c r="NHB402" s="121"/>
      <c r="NHC402" s="119"/>
      <c r="NHD402" s="120"/>
      <c r="NHE402" s="120"/>
      <c r="NHF402" s="120"/>
      <c r="NHG402" s="120"/>
      <c r="NHH402" s="120"/>
      <c r="NHI402" s="121"/>
      <c r="NHJ402" s="119"/>
      <c r="NHK402" s="120"/>
      <c r="NHL402" s="120"/>
      <c r="NHM402" s="120"/>
      <c r="NHN402" s="120"/>
      <c r="NHO402" s="120"/>
      <c r="NHP402" s="121"/>
      <c r="NHQ402" s="119"/>
      <c r="NHR402" s="120"/>
      <c r="NHS402" s="120"/>
      <c r="NHT402" s="120"/>
      <c r="NHU402" s="120"/>
      <c r="NHV402" s="120"/>
      <c r="NHW402" s="121"/>
      <c r="NHX402" s="119"/>
      <c r="NHY402" s="120"/>
      <c r="NHZ402" s="120"/>
      <c r="NIA402" s="120"/>
      <c r="NIB402" s="120"/>
      <c r="NIC402" s="120"/>
      <c r="NID402" s="121"/>
      <c r="NIE402" s="119"/>
      <c r="NIF402" s="120"/>
      <c r="NIG402" s="120"/>
      <c r="NIH402" s="120"/>
      <c r="NII402" s="120"/>
      <c r="NIJ402" s="120"/>
      <c r="NIK402" s="121"/>
      <c r="NIL402" s="119"/>
      <c r="NIM402" s="120"/>
      <c r="NIN402" s="120"/>
      <c r="NIO402" s="120"/>
      <c r="NIP402" s="120"/>
      <c r="NIQ402" s="120"/>
      <c r="NIR402" s="121"/>
      <c r="NIS402" s="119"/>
      <c r="NIT402" s="120"/>
      <c r="NIU402" s="120"/>
      <c r="NIV402" s="120"/>
      <c r="NIW402" s="120"/>
      <c r="NIX402" s="120"/>
      <c r="NIY402" s="121"/>
      <c r="NIZ402" s="119"/>
      <c r="NJA402" s="120"/>
      <c r="NJB402" s="120"/>
      <c r="NJC402" s="120"/>
      <c r="NJD402" s="120"/>
      <c r="NJE402" s="120"/>
      <c r="NJF402" s="121"/>
      <c r="NJG402" s="119"/>
      <c r="NJH402" s="120"/>
      <c r="NJI402" s="120"/>
      <c r="NJJ402" s="120"/>
      <c r="NJK402" s="120"/>
      <c r="NJL402" s="120"/>
      <c r="NJM402" s="121"/>
      <c r="NJN402" s="119"/>
      <c r="NJO402" s="120"/>
      <c r="NJP402" s="120"/>
      <c r="NJQ402" s="120"/>
      <c r="NJR402" s="120"/>
      <c r="NJS402" s="120"/>
      <c r="NJT402" s="121"/>
      <c r="NJU402" s="119"/>
      <c r="NJV402" s="120"/>
      <c r="NJW402" s="120"/>
      <c r="NJX402" s="120"/>
      <c r="NJY402" s="120"/>
      <c r="NJZ402" s="120"/>
      <c r="NKA402" s="121"/>
      <c r="NKB402" s="119"/>
      <c r="NKC402" s="120"/>
      <c r="NKD402" s="120"/>
      <c r="NKE402" s="120"/>
      <c r="NKF402" s="120"/>
      <c r="NKG402" s="120"/>
      <c r="NKH402" s="121"/>
      <c r="NKI402" s="119"/>
      <c r="NKJ402" s="120"/>
      <c r="NKK402" s="120"/>
      <c r="NKL402" s="120"/>
      <c r="NKM402" s="120"/>
      <c r="NKN402" s="120"/>
      <c r="NKO402" s="121"/>
      <c r="NKP402" s="119"/>
      <c r="NKQ402" s="120"/>
      <c r="NKR402" s="120"/>
      <c r="NKS402" s="120"/>
      <c r="NKT402" s="120"/>
      <c r="NKU402" s="120"/>
      <c r="NKV402" s="121"/>
      <c r="NKW402" s="119"/>
      <c r="NKX402" s="120"/>
      <c r="NKY402" s="120"/>
      <c r="NKZ402" s="120"/>
      <c r="NLA402" s="120"/>
      <c r="NLB402" s="120"/>
      <c r="NLC402" s="121"/>
      <c r="NLD402" s="119"/>
      <c r="NLE402" s="120"/>
      <c r="NLF402" s="120"/>
      <c r="NLG402" s="120"/>
      <c r="NLH402" s="120"/>
      <c r="NLI402" s="120"/>
      <c r="NLJ402" s="121"/>
      <c r="NLK402" s="119"/>
      <c r="NLL402" s="120"/>
      <c r="NLM402" s="120"/>
      <c r="NLN402" s="120"/>
      <c r="NLO402" s="120"/>
      <c r="NLP402" s="120"/>
      <c r="NLQ402" s="121"/>
      <c r="NLR402" s="119"/>
      <c r="NLS402" s="120"/>
      <c r="NLT402" s="120"/>
      <c r="NLU402" s="120"/>
      <c r="NLV402" s="120"/>
      <c r="NLW402" s="120"/>
      <c r="NLX402" s="121"/>
      <c r="NLY402" s="119"/>
      <c r="NLZ402" s="120"/>
      <c r="NMA402" s="120"/>
      <c r="NMB402" s="120"/>
      <c r="NMC402" s="120"/>
      <c r="NMD402" s="120"/>
      <c r="NME402" s="121"/>
      <c r="NMF402" s="119"/>
      <c r="NMG402" s="120"/>
      <c r="NMH402" s="120"/>
      <c r="NMI402" s="120"/>
      <c r="NMJ402" s="120"/>
      <c r="NMK402" s="120"/>
      <c r="NML402" s="121"/>
      <c r="NMM402" s="119"/>
      <c r="NMN402" s="120"/>
      <c r="NMO402" s="120"/>
      <c r="NMP402" s="120"/>
      <c r="NMQ402" s="120"/>
      <c r="NMR402" s="120"/>
      <c r="NMS402" s="121"/>
      <c r="NMT402" s="119"/>
      <c r="NMU402" s="120"/>
      <c r="NMV402" s="120"/>
      <c r="NMW402" s="120"/>
      <c r="NMX402" s="120"/>
      <c r="NMY402" s="120"/>
      <c r="NMZ402" s="121"/>
      <c r="NNA402" s="119"/>
      <c r="NNB402" s="120"/>
      <c r="NNC402" s="120"/>
      <c r="NND402" s="120"/>
      <c r="NNE402" s="120"/>
      <c r="NNF402" s="120"/>
      <c r="NNG402" s="121"/>
      <c r="NNH402" s="119"/>
      <c r="NNI402" s="120"/>
      <c r="NNJ402" s="120"/>
      <c r="NNK402" s="120"/>
      <c r="NNL402" s="120"/>
      <c r="NNM402" s="120"/>
      <c r="NNN402" s="121"/>
      <c r="NNO402" s="119"/>
      <c r="NNP402" s="120"/>
      <c r="NNQ402" s="120"/>
      <c r="NNR402" s="120"/>
      <c r="NNS402" s="120"/>
      <c r="NNT402" s="120"/>
      <c r="NNU402" s="121"/>
      <c r="NNV402" s="119"/>
      <c r="NNW402" s="120"/>
      <c r="NNX402" s="120"/>
      <c r="NNY402" s="120"/>
      <c r="NNZ402" s="120"/>
      <c r="NOA402" s="120"/>
      <c r="NOB402" s="121"/>
      <c r="NOC402" s="119"/>
      <c r="NOD402" s="120"/>
      <c r="NOE402" s="120"/>
      <c r="NOF402" s="120"/>
      <c r="NOG402" s="120"/>
      <c r="NOH402" s="120"/>
      <c r="NOI402" s="121"/>
      <c r="NOJ402" s="119"/>
      <c r="NOK402" s="120"/>
      <c r="NOL402" s="120"/>
      <c r="NOM402" s="120"/>
      <c r="NON402" s="120"/>
      <c r="NOO402" s="120"/>
      <c r="NOP402" s="121"/>
      <c r="NOQ402" s="119"/>
      <c r="NOR402" s="120"/>
      <c r="NOS402" s="120"/>
      <c r="NOT402" s="120"/>
      <c r="NOU402" s="120"/>
      <c r="NOV402" s="120"/>
      <c r="NOW402" s="121"/>
      <c r="NOX402" s="119"/>
      <c r="NOY402" s="120"/>
      <c r="NOZ402" s="120"/>
      <c r="NPA402" s="120"/>
      <c r="NPB402" s="120"/>
      <c r="NPC402" s="120"/>
      <c r="NPD402" s="121"/>
      <c r="NPE402" s="119"/>
      <c r="NPF402" s="120"/>
      <c r="NPG402" s="120"/>
      <c r="NPH402" s="120"/>
      <c r="NPI402" s="120"/>
      <c r="NPJ402" s="120"/>
      <c r="NPK402" s="121"/>
      <c r="NPL402" s="119"/>
      <c r="NPM402" s="120"/>
      <c r="NPN402" s="120"/>
      <c r="NPO402" s="120"/>
      <c r="NPP402" s="120"/>
      <c r="NPQ402" s="120"/>
      <c r="NPR402" s="121"/>
      <c r="NPS402" s="119"/>
      <c r="NPT402" s="120"/>
      <c r="NPU402" s="120"/>
      <c r="NPV402" s="120"/>
      <c r="NPW402" s="120"/>
      <c r="NPX402" s="120"/>
      <c r="NPY402" s="121"/>
      <c r="NPZ402" s="119"/>
      <c r="NQA402" s="120"/>
      <c r="NQB402" s="120"/>
      <c r="NQC402" s="120"/>
      <c r="NQD402" s="120"/>
      <c r="NQE402" s="120"/>
      <c r="NQF402" s="121"/>
      <c r="NQG402" s="119"/>
      <c r="NQH402" s="120"/>
      <c r="NQI402" s="120"/>
      <c r="NQJ402" s="120"/>
      <c r="NQK402" s="120"/>
      <c r="NQL402" s="120"/>
      <c r="NQM402" s="121"/>
      <c r="NQN402" s="119"/>
      <c r="NQO402" s="120"/>
      <c r="NQP402" s="120"/>
      <c r="NQQ402" s="120"/>
      <c r="NQR402" s="120"/>
      <c r="NQS402" s="120"/>
      <c r="NQT402" s="121"/>
      <c r="NQU402" s="119"/>
      <c r="NQV402" s="120"/>
      <c r="NQW402" s="120"/>
      <c r="NQX402" s="120"/>
      <c r="NQY402" s="120"/>
      <c r="NQZ402" s="120"/>
      <c r="NRA402" s="121"/>
      <c r="NRB402" s="119"/>
      <c r="NRC402" s="120"/>
      <c r="NRD402" s="120"/>
      <c r="NRE402" s="120"/>
      <c r="NRF402" s="120"/>
      <c r="NRG402" s="120"/>
      <c r="NRH402" s="121"/>
      <c r="NRI402" s="119"/>
      <c r="NRJ402" s="120"/>
      <c r="NRK402" s="120"/>
      <c r="NRL402" s="120"/>
      <c r="NRM402" s="120"/>
      <c r="NRN402" s="120"/>
      <c r="NRO402" s="121"/>
      <c r="NRP402" s="119"/>
      <c r="NRQ402" s="120"/>
      <c r="NRR402" s="120"/>
      <c r="NRS402" s="120"/>
      <c r="NRT402" s="120"/>
      <c r="NRU402" s="120"/>
      <c r="NRV402" s="121"/>
      <c r="NRW402" s="119"/>
      <c r="NRX402" s="120"/>
      <c r="NRY402" s="120"/>
      <c r="NRZ402" s="120"/>
      <c r="NSA402" s="120"/>
      <c r="NSB402" s="120"/>
      <c r="NSC402" s="121"/>
      <c r="NSD402" s="119"/>
      <c r="NSE402" s="120"/>
      <c r="NSF402" s="120"/>
      <c r="NSG402" s="120"/>
      <c r="NSH402" s="120"/>
      <c r="NSI402" s="120"/>
      <c r="NSJ402" s="121"/>
      <c r="NSK402" s="119"/>
      <c r="NSL402" s="120"/>
      <c r="NSM402" s="120"/>
      <c r="NSN402" s="120"/>
      <c r="NSO402" s="120"/>
      <c r="NSP402" s="120"/>
      <c r="NSQ402" s="121"/>
      <c r="NSR402" s="119"/>
      <c r="NSS402" s="120"/>
      <c r="NST402" s="120"/>
      <c r="NSU402" s="120"/>
      <c r="NSV402" s="120"/>
      <c r="NSW402" s="120"/>
      <c r="NSX402" s="121"/>
      <c r="NSY402" s="119"/>
      <c r="NSZ402" s="120"/>
      <c r="NTA402" s="120"/>
      <c r="NTB402" s="120"/>
      <c r="NTC402" s="120"/>
      <c r="NTD402" s="120"/>
      <c r="NTE402" s="121"/>
      <c r="NTF402" s="119"/>
      <c r="NTG402" s="120"/>
      <c r="NTH402" s="120"/>
      <c r="NTI402" s="120"/>
      <c r="NTJ402" s="120"/>
      <c r="NTK402" s="120"/>
      <c r="NTL402" s="121"/>
      <c r="NTM402" s="119"/>
      <c r="NTN402" s="120"/>
      <c r="NTO402" s="120"/>
      <c r="NTP402" s="120"/>
      <c r="NTQ402" s="120"/>
      <c r="NTR402" s="120"/>
      <c r="NTS402" s="121"/>
      <c r="NTT402" s="119"/>
      <c r="NTU402" s="120"/>
      <c r="NTV402" s="120"/>
      <c r="NTW402" s="120"/>
      <c r="NTX402" s="120"/>
      <c r="NTY402" s="120"/>
      <c r="NTZ402" s="121"/>
      <c r="NUA402" s="119"/>
      <c r="NUB402" s="120"/>
      <c r="NUC402" s="120"/>
      <c r="NUD402" s="120"/>
      <c r="NUE402" s="120"/>
      <c r="NUF402" s="120"/>
      <c r="NUG402" s="121"/>
      <c r="NUH402" s="119"/>
      <c r="NUI402" s="120"/>
      <c r="NUJ402" s="120"/>
      <c r="NUK402" s="120"/>
      <c r="NUL402" s="120"/>
      <c r="NUM402" s="120"/>
      <c r="NUN402" s="121"/>
      <c r="NUO402" s="119"/>
      <c r="NUP402" s="120"/>
      <c r="NUQ402" s="120"/>
      <c r="NUR402" s="120"/>
      <c r="NUS402" s="120"/>
      <c r="NUT402" s="120"/>
      <c r="NUU402" s="121"/>
      <c r="NUV402" s="119"/>
      <c r="NUW402" s="120"/>
      <c r="NUX402" s="120"/>
      <c r="NUY402" s="120"/>
      <c r="NUZ402" s="120"/>
      <c r="NVA402" s="120"/>
      <c r="NVB402" s="121"/>
      <c r="NVC402" s="119"/>
      <c r="NVD402" s="120"/>
      <c r="NVE402" s="120"/>
      <c r="NVF402" s="120"/>
      <c r="NVG402" s="120"/>
      <c r="NVH402" s="120"/>
      <c r="NVI402" s="121"/>
      <c r="NVJ402" s="119"/>
      <c r="NVK402" s="120"/>
      <c r="NVL402" s="120"/>
      <c r="NVM402" s="120"/>
      <c r="NVN402" s="120"/>
      <c r="NVO402" s="120"/>
      <c r="NVP402" s="121"/>
      <c r="NVQ402" s="119"/>
      <c r="NVR402" s="120"/>
      <c r="NVS402" s="120"/>
      <c r="NVT402" s="120"/>
      <c r="NVU402" s="120"/>
      <c r="NVV402" s="120"/>
      <c r="NVW402" s="121"/>
      <c r="NVX402" s="119"/>
      <c r="NVY402" s="120"/>
      <c r="NVZ402" s="120"/>
      <c r="NWA402" s="120"/>
      <c r="NWB402" s="120"/>
      <c r="NWC402" s="120"/>
      <c r="NWD402" s="121"/>
      <c r="NWE402" s="119"/>
      <c r="NWF402" s="120"/>
      <c r="NWG402" s="120"/>
      <c r="NWH402" s="120"/>
      <c r="NWI402" s="120"/>
      <c r="NWJ402" s="120"/>
      <c r="NWK402" s="121"/>
      <c r="NWL402" s="119"/>
      <c r="NWM402" s="120"/>
      <c r="NWN402" s="120"/>
      <c r="NWO402" s="120"/>
      <c r="NWP402" s="120"/>
      <c r="NWQ402" s="120"/>
      <c r="NWR402" s="121"/>
      <c r="NWS402" s="119"/>
      <c r="NWT402" s="120"/>
      <c r="NWU402" s="120"/>
      <c r="NWV402" s="120"/>
      <c r="NWW402" s="120"/>
      <c r="NWX402" s="120"/>
      <c r="NWY402" s="121"/>
      <c r="NWZ402" s="119"/>
      <c r="NXA402" s="120"/>
      <c r="NXB402" s="120"/>
      <c r="NXC402" s="120"/>
      <c r="NXD402" s="120"/>
      <c r="NXE402" s="120"/>
      <c r="NXF402" s="121"/>
      <c r="NXG402" s="119"/>
      <c r="NXH402" s="120"/>
      <c r="NXI402" s="120"/>
      <c r="NXJ402" s="120"/>
      <c r="NXK402" s="120"/>
      <c r="NXL402" s="120"/>
      <c r="NXM402" s="121"/>
      <c r="NXN402" s="119"/>
      <c r="NXO402" s="120"/>
      <c r="NXP402" s="120"/>
      <c r="NXQ402" s="120"/>
      <c r="NXR402" s="120"/>
      <c r="NXS402" s="120"/>
      <c r="NXT402" s="121"/>
      <c r="NXU402" s="119"/>
      <c r="NXV402" s="120"/>
      <c r="NXW402" s="120"/>
      <c r="NXX402" s="120"/>
      <c r="NXY402" s="120"/>
      <c r="NXZ402" s="120"/>
      <c r="NYA402" s="121"/>
      <c r="NYB402" s="119"/>
      <c r="NYC402" s="120"/>
      <c r="NYD402" s="120"/>
      <c r="NYE402" s="120"/>
      <c r="NYF402" s="120"/>
      <c r="NYG402" s="120"/>
      <c r="NYH402" s="121"/>
      <c r="NYI402" s="119"/>
      <c r="NYJ402" s="120"/>
      <c r="NYK402" s="120"/>
      <c r="NYL402" s="120"/>
      <c r="NYM402" s="120"/>
      <c r="NYN402" s="120"/>
      <c r="NYO402" s="121"/>
      <c r="NYP402" s="119"/>
      <c r="NYQ402" s="120"/>
      <c r="NYR402" s="120"/>
      <c r="NYS402" s="120"/>
      <c r="NYT402" s="120"/>
      <c r="NYU402" s="120"/>
      <c r="NYV402" s="121"/>
      <c r="NYW402" s="119"/>
      <c r="NYX402" s="120"/>
      <c r="NYY402" s="120"/>
      <c r="NYZ402" s="120"/>
      <c r="NZA402" s="120"/>
      <c r="NZB402" s="120"/>
      <c r="NZC402" s="121"/>
      <c r="NZD402" s="119"/>
      <c r="NZE402" s="120"/>
      <c r="NZF402" s="120"/>
      <c r="NZG402" s="120"/>
      <c r="NZH402" s="120"/>
      <c r="NZI402" s="120"/>
      <c r="NZJ402" s="121"/>
      <c r="NZK402" s="119"/>
      <c r="NZL402" s="120"/>
      <c r="NZM402" s="120"/>
      <c r="NZN402" s="120"/>
      <c r="NZO402" s="120"/>
      <c r="NZP402" s="120"/>
      <c r="NZQ402" s="121"/>
      <c r="NZR402" s="119"/>
      <c r="NZS402" s="120"/>
      <c r="NZT402" s="120"/>
      <c r="NZU402" s="120"/>
      <c r="NZV402" s="120"/>
      <c r="NZW402" s="120"/>
      <c r="NZX402" s="121"/>
      <c r="NZY402" s="119"/>
      <c r="NZZ402" s="120"/>
      <c r="OAA402" s="120"/>
      <c r="OAB402" s="120"/>
      <c r="OAC402" s="120"/>
      <c r="OAD402" s="120"/>
      <c r="OAE402" s="121"/>
      <c r="OAF402" s="119"/>
      <c r="OAG402" s="120"/>
      <c r="OAH402" s="120"/>
      <c r="OAI402" s="120"/>
      <c r="OAJ402" s="120"/>
      <c r="OAK402" s="120"/>
      <c r="OAL402" s="121"/>
      <c r="OAM402" s="119"/>
      <c r="OAN402" s="120"/>
      <c r="OAO402" s="120"/>
      <c r="OAP402" s="120"/>
      <c r="OAQ402" s="120"/>
      <c r="OAR402" s="120"/>
      <c r="OAS402" s="121"/>
      <c r="OAT402" s="119"/>
      <c r="OAU402" s="120"/>
      <c r="OAV402" s="120"/>
      <c r="OAW402" s="120"/>
      <c r="OAX402" s="120"/>
      <c r="OAY402" s="120"/>
      <c r="OAZ402" s="121"/>
      <c r="OBA402" s="119"/>
      <c r="OBB402" s="120"/>
      <c r="OBC402" s="120"/>
      <c r="OBD402" s="120"/>
      <c r="OBE402" s="120"/>
      <c r="OBF402" s="120"/>
      <c r="OBG402" s="121"/>
      <c r="OBH402" s="119"/>
      <c r="OBI402" s="120"/>
      <c r="OBJ402" s="120"/>
      <c r="OBK402" s="120"/>
      <c r="OBL402" s="120"/>
      <c r="OBM402" s="120"/>
      <c r="OBN402" s="121"/>
      <c r="OBO402" s="119"/>
      <c r="OBP402" s="120"/>
      <c r="OBQ402" s="120"/>
      <c r="OBR402" s="120"/>
      <c r="OBS402" s="120"/>
      <c r="OBT402" s="120"/>
      <c r="OBU402" s="121"/>
      <c r="OBV402" s="119"/>
      <c r="OBW402" s="120"/>
      <c r="OBX402" s="120"/>
      <c r="OBY402" s="120"/>
      <c r="OBZ402" s="120"/>
      <c r="OCA402" s="120"/>
      <c r="OCB402" s="121"/>
      <c r="OCC402" s="119"/>
      <c r="OCD402" s="120"/>
      <c r="OCE402" s="120"/>
      <c r="OCF402" s="120"/>
      <c r="OCG402" s="120"/>
      <c r="OCH402" s="120"/>
      <c r="OCI402" s="121"/>
      <c r="OCJ402" s="119"/>
      <c r="OCK402" s="120"/>
      <c r="OCL402" s="120"/>
      <c r="OCM402" s="120"/>
      <c r="OCN402" s="120"/>
      <c r="OCO402" s="120"/>
      <c r="OCP402" s="121"/>
      <c r="OCQ402" s="119"/>
      <c r="OCR402" s="120"/>
      <c r="OCS402" s="120"/>
      <c r="OCT402" s="120"/>
      <c r="OCU402" s="120"/>
      <c r="OCV402" s="120"/>
      <c r="OCW402" s="121"/>
      <c r="OCX402" s="119"/>
      <c r="OCY402" s="120"/>
      <c r="OCZ402" s="120"/>
      <c r="ODA402" s="120"/>
      <c r="ODB402" s="120"/>
      <c r="ODC402" s="120"/>
      <c r="ODD402" s="121"/>
      <c r="ODE402" s="119"/>
      <c r="ODF402" s="120"/>
      <c r="ODG402" s="120"/>
      <c r="ODH402" s="120"/>
      <c r="ODI402" s="120"/>
      <c r="ODJ402" s="120"/>
      <c r="ODK402" s="121"/>
      <c r="ODL402" s="119"/>
      <c r="ODM402" s="120"/>
      <c r="ODN402" s="120"/>
      <c r="ODO402" s="120"/>
      <c r="ODP402" s="120"/>
      <c r="ODQ402" s="120"/>
      <c r="ODR402" s="121"/>
      <c r="ODS402" s="119"/>
      <c r="ODT402" s="120"/>
      <c r="ODU402" s="120"/>
      <c r="ODV402" s="120"/>
      <c r="ODW402" s="120"/>
      <c r="ODX402" s="120"/>
      <c r="ODY402" s="121"/>
      <c r="ODZ402" s="119"/>
      <c r="OEA402" s="120"/>
      <c r="OEB402" s="120"/>
      <c r="OEC402" s="120"/>
      <c r="OED402" s="120"/>
      <c r="OEE402" s="120"/>
      <c r="OEF402" s="121"/>
      <c r="OEG402" s="119"/>
      <c r="OEH402" s="120"/>
      <c r="OEI402" s="120"/>
      <c r="OEJ402" s="120"/>
      <c r="OEK402" s="120"/>
      <c r="OEL402" s="120"/>
      <c r="OEM402" s="121"/>
      <c r="OEN402" s="119"/>
      <c r="OEO402" s="120"/>
      <c r="OEP402" s="120"/>
      <c r="OEQ402" s="120"/>
      <c r="OER402" s="120"/>
      <c r="OES402" s="120"/>
      <c r="OET402" s="121"/>
      <c r="OEU402" s="119"/>
      <c r="OEV402" s="120"/>
      <c r="OEW402" s="120"/>
      <c r="OEX402" s="120"/>
      <c r="OEY402" s="120"/>
      <c r="OEZ402" s="120"/>
      <c r="OFA402" s="121"/>
      <c r="OFB402" s="119"/>
      <c r="OFC402" s="120"/>
      <c r="OFD402" s="120"/>
      <c r="OFE402" s="120"/>
      <c r="OFF402" s="120"/>
      <c r="OFG402" s="120"/>
      <c r="OFH402" s="121"/>
      <c r="OFI402" s="119"/>
      <c r="OFJ402" s="120"/>
      <c r="OFK402" s="120"/>
      <c r="OFL402" s="120"/>
      <c r="OFM402" s="120"/>
      <c r="OFN402" s="120"/>
      <c r="OFO402" s="121"/>
      <c r="OFP402" s="119"/>
      <c r="OFQ402" s="120"/>
      <c r="OFR402" s="120"/>
      <c r="OFS402" s="120"/>
      <c r="OFT402" s="120"/>
      <c r="OFU402" s="120"/>
      <c r="OFV402" s="121"/>
      <c r="OFW402" s="119"/>
      <c r="OFX402" s="120"/>
      <c r="OFY402" s="120"/>
      <c r="OFZ402" s="120"/>
      <c r="OGA402" s="120"/>
      <c r="OGB402" s="120"/>
      <c r="OGC402" s="121"/>
      <c r="OGD402" s="119"/>
      <c r="OGE402" s="120"/>
      <c r="OGF402" s="120"/>
      <c r="OGG402" s="120"/>
      <c r="OGH402" s="120"/>
      <c r="OGI402" s="120"/>
      <c r="OGJ402" s="121"/>
      <c r="OGK402" s="119"/>
      <c r="OGL402" s="120"/>
      <c r="OGM402" s="120"/>
      <c r="OGN402" s="120"/>
      <c r="OGO402" s="120"/>
      <c r="OGP402" s="120"/>
      <c r="OGQ402" s="121"/>
      <c r="OGR402" s="119"/>
      <c r="OGS402" s="120"/>
      <c r="OGT402" s="120"/>
      <c r="OGU402" s="120"/>
      <c r="OGV402" s="120"/>
      <c r="OGW402" s="120"/>
      <c r="OGX402" s="121"/>
      <c r="OGY402" s="119"/>
      <c r="OGZ402" s="120"/>
      <c r="OHA402" s="120"/>
      <c r="OHB402" s="120"/>
      <c r="OHC402" s="120"/>
      <c r="OHD402" s="120"/>
      <c r="OHE402" s="121"/>
      <c r="OHF402" s="119"/>
      <c r="OHG402" s="120"/>
      <c r="OHH402" s="120"/>
      <c r="OHI402" s="120"/>
      <c r="OHJ402" s="120"/>
      <c r="OHK402" s="120"/>
      <c r="OHL402" s="121"/>
      <c r="OHM402" s="119"/>
      <c r="OHN402" s="120"/>
      <c r="OHO402" s="120"/>
      <c r="OHP402" s="120"/>
      <c r="OHQ402" s="120"/>
      <c r="OHR402" s="120"/>
      <c r="OHS402" s="121"/>
      <c r="OHT402" s="119"/>
      <c r="OHU402" s="120"/>
      <c r="OHV402" s="120"/>
      <c r="OHW402" s="120"/>
      <c r="OHX402" s="120"/>
      <c r="OHY402" s="120"/>
      <c r="OHZ402" s="121"/>
      <c r="OIA402" s="119"/>
      <c r="OIB402" s="120"/>
      <c r="OIC402" s="120"/>
      <c r="OID402" s="120"/>
      <c r="OIE402" s="120"/>
      <c r="OIF402" s="120"/>
      <c r="OIG402" s="121"/>
      <c r="OIH402" s="119"/>
      <c r="OII402" s="120"/>
      <c r="OIJ402" s="120"/>
      <c r="OIK402" s="120"/>
      <c r="OIL402" s="120"/>
      <c r="OIM402" s="120"/>
      <c r="OIN402" s="121"/>
      <c r="OIO402" s="119"/>
      <c r="OIP402" s="120"/>
      <c r="OIQ402" s="120"/>
      <c r="OIR402" s="120"/>
      <c r="OIS402" s="120"/>
      <c r="OIT402" s="120"/>
      <c r="OIU402" s="121"/>
      <c r="OIV402" s="119"/>
      <c r="OIW402" s="120"/>
      <c r="OIX402" s="120"/>
      <c r="OIY402" s="120"/>
      <c r="OIZ402" s="120"/>
      <c r="OJA402" s="120"/>
      <c r="OJB402" s="121"/>
      <c r="OJC402" s="119"/>
      <c r="OJD402" s="120"/>
      <c r="OJE402" s="120"/>
      <c r="OJF402" s="120"/>
      <c r="OJG402" s="120"/>
      <c r="OJH402" s="120"/>
      <c r="OJI402" s="121"/>
      <c r="OJJ402" s="119"/>
      <c r="OJK402" s="120"/>
      <c r="OJL402" s="120"/>
      <c r="OJM402" s="120"/>
      <c r="OJN402" s="120"/>
      <c r="OJO402" s="120"/>
      <c r="OJP402" s="121"/>
      <c r="OJQ402" s="119"/>
      <c r="OJR402" s="120"/>
      <c r="OJS402" s="120"/>
      <c r="OJT402" s="120"/>
      <c r="OJU402" s="120"/>
      <c r="OJV402" s="120"/>
      <c r="OJW402" s="121"/>
      <c r="OJX402" s="119"/>
      <c r="OJY402" s="120"/>
      <c r="OJZ402" s="120"/>
      <c r="OKA402" s="120"/>
      <c r="OKB402" s="120"/>
      <c r="OKC402" s="120"/>
      <c r="OKD402" s="121"/>
      <c r="OKE402" s="119"/>
      <c r="OKF402" s="120"/>
      <c r="OKG402" s="120"/>
      <c r="OKH402" s="120"/>
      <c r="OKI402" s="120"/>
      <c r="OKJ402" s="120"/>
      <c r="OKK402" s="121"/>
      <c r="OKL402" s="119"/>
      <c r="OKM402" s="120"/>
      <c r="OKN402" s="120"/>
      <c r="OKO402" s="120"/>
      <c r="OKP402" s="120"/>
      <c r="OKQ402" s="120"/>
      <c r="OKR402" s="121"/>
      <c r="OKS402" s="119"/>
      <c r="OKT402" s="120"/>
      <c r="OKU402" s="120"/>
      <c r="OKV402" s="120"/>
      <c r="OKW402" s="120"/>
      <c r="OKX402" s="120"/>
      <c r="OKY402" s="121"/>
      <c r="OKZ402" s="119"/>
      <c r="OLA402" s="120"/>
      <c r="OLB402" s="120"/>
      <c r="OLC402" s="120"/>
      <c r="OLD402" s="120"/>
      <c r="OLE402" s="120"/>
      <c r="OLF402" s="121"/>
      <c r="OLG402" s="119"/>
      <c r="OLH402" s="120"/>
      <c r="OLI402" s="120"/>
      <c r="OLJ402" s="120"/>
      <c r="OLK402" s="120"/>
      <c r="OLL402" s="120"/>
      <c r="OLM402" s="121"/>
      <c r="OLN402" s="119"/>
      <c r="OLO402" s="120"/>
      <c r="OLP402" s="120"/>
      <c r="OLQ402" s="120"/>
      <c r="OLR402" s="120"/>
      <c r="OLS402" s="120"/>
      <c r="OLT402" s="121"/>
      <c r="OLU402" s="119"/>
      <c r="OLV402" s="120"/>
      <c r="OLW402" s="120"/>
      <c r="OLX402" s="120"/>
      <c r="OLY402" s="120"/>
      <c r="OLZ402" s="120"/>
      <c r="OMA402" s="121"/>
      <c r="OMB402" s="119"/>
      <c r="OMC402" s="120"/>
      <c r="OMD402" s="120"/>
      <c r="OME402" s="120"/>
      <c r="OMF402" s="120"/>
      <c r="OMG402" s="120"/>
      <c r="OMH402" s="121"/>
      <c r="OMI402" s="119"/>
      <c r="OMJ402" s="120"/>
      <c r="OMK402" s="120"/>
      <c r="OML402" s="120"/>
      <c r="OMM402" s="120"/>
      <c r="OMN402" s="120"/>
      <c r="OMO402" s="121"/>
      <c r="OMP402" s="119"/>
      <c r="OMQ402" s="120"/>
      <c r="OMR402" s="120"/>
      <c r="OMS402" s="120"/>
      <c r="OMT402" s="120"/>
      <c r="OMU402" s="120"/>
      <c r="OMV402" s="121"/>
      <c r="OMW402" s="119"/>
      <c r="OMX402" s="120"/>
      <c r="OMY402" s="120"/>
      <c r="OMZ402" s="120"/>
      <c r="ONA402" s="120"/>
      <c r="ONB402" s="120"/>
      <c r="ONC402" s="121"/>
      <c r="OND402" s="119"/>
      <c r="ONE402" s="120"/>
      <c r="ONF402" s="120"/>
      <c r="ONG402" s="120"/>
      <c r="ONH402" s="120"/>
      <c r="ONI402" s="120"/>
      <c r="ONJ402" s="121"/>
      <c r="ONK402" s="119"/>
      <c r="ONL402" s="120"/>
      <c r="ONM402" s="120"/>
      <c r="ONN402" s="120"/>
      <c r="ONO402" s="120"/>
      <c r="ONP402" s="120"/>
      <c r="ONQ402" s="121"/>
      <c r="ONR402" s="119"/>
      <c r="ONS402" s="120"/>
      <c r="ONT402" s="120"/>
      <c r="ONU402" s="120"/>
      <c r="ONV402" s="120"/>
      <c r="ONW402" s="120"/>
      <c r="ONX402" s="121"/>
      <c r="ONY402" s="119"/>
      <c r="ONZ402" s="120"/>
      <c r="OOA402" s="120"/>
      <c r="OOB402" s="120"/>
      <c r="OOC402" s="120"/>
      <c r="OOD402" s="120"/>
      <c r="OOE402" s="121"/>
      <c r="OOF402" s="119"/>
      <c r="OOG402" s="120"/>
      <c r="OOH402" s="120"/>
      <c r="OOI402" s="120"/>
      <c r="OOJ402" s="120"/>
      <c r="OOK402" s="120"/>
      <c r="OOL402" s="121"/>
      <c r="OOM402" s="119"/>
      <c r="OON402" s="120"/>
      <c r="OOO402" s="120"/>
      <c r="OOP402" s="120"/>
      <c r="OOQ402" s="120"/>
      <c r="OOR402" s="120"/>
      <c r="OOS402" s="121"/>
      <c r="OOT402" s="119"/>
      <c r="OOU402" s="120"/>
      <c r="OOV402" s="120"/>
      <c r="OOW402" s="120"/>
      <c r="OOX402" s="120"/>
      <c r="OOY402" s="120"/>
      <c r="OOZ402" s="121"/>
      <c r="OPA402" s="119"/>
      <c r="OPB402" s="120"/>
      <c r="OPC402" s="120"/>
      <c r="OPD402" s="120"/>
      <c r="OPE402" s="120"/>
      <c r="OPF402" s="120"/>
      <c r="OPG402" s="121"/>
      <c r="OPH402" s="119"/>
      <c r="OPI402" s="120"/>
      <c r="OPJ402" s="120"/>
      <c r="OPK402" s="120"/>
      <c r="OPL402" s="120"/>
      <c r="OPM402" s="120"/>
      <c r="OPN402" s="121"/>
      <c r="OPO402" s="119"/>
      <c r="OPP402" s="120"/>
      <c r="OPQ402" s="120"/>
      <c r="OPR402" s="120"/>
      <c r="OPS402" s="120"/>
      <c r="OPT402" s="120"/>
      <c r="OPU402" s="121"/>
      <c r="OPV402" s="119"/>
      <c r="OPW402" s="120"/>
      <c r="OPX402" s="120"/>
      <c r="OPY402" s="120"/>
      <c r="OPZ402" s="120"/>
      <c r="OQA402" s="120"/>
      <c r="OQB402" s="121"/>
      <c r="OQC402" s="119"/>
      <c r="OQD402" s="120"/>
      <c r="OQE402" s="120"/>
      <c r="OQF402" s="120"/>
      <c r="OQG402" s="120"/>
      <c r="OQH402" s="120"/>
      <c r="OQI402" s="121"/>
      <c r="OQJ402" s="119"/>
      <c r="OQK402" s="120"/>
      <c r="OQL402" s="120"/>
      <c r="OQM402" s="120"/>
      <c r="OQN402" s="120"/>
      <c r="OQO402" s="120"/>
      <c r="OQP402" s="121"/>
      <c r="OQQ402" s="119"/>
      <c r="OQR402" s="120"/>
      <c r="OQS402" s="120"/>
      <c r="OQT402" s="120"/>
      <c r="OQU402" s="120"/>
      <c r="OQV402" s="120"/>
      <c r="OQW402" s="121"/>
      <c r="OQX402" s="119"/>
      <c r="OQY402" s="120"/>
      <c r="OQZ402" s="120"/>
      <c r="ORA402" s="120"/>
      <c r="ORB402" s="120"/>
      <c r="ORC402" s="120"/>
      <c r="ORD402" s="121"/>
      <c r="ORE402" s="119"/>
      <c r="ORF402" s="120"/>
      <c r="ORG402" s="120"/>
      <c r="ORH402" s="120"/>
      <c r="ORI402" s="120"/>
      <c r="ORJ402" s="120"/>
      <c r="ORK402" s="121"/>
      <c r="ORL402" s="119"/>
      <c r="ORM402" s="120"/>
      <c r="ORN402" s="120"/>
      <c r="ORO402" s="120"/>
      <c r="ORP402" s="120"/>
      <c r="ORQ402" s="120"/>
      <c r="ORR402" s="121"/>
      <c r="ORS402" s="119"/>
      <c r="ORT402" s="120"/>
      <c r="ORU402" s="120"/>
      <c r="ORV402" s="120"/>
      <c r="ORW402" s="120"/>
      <c r="ORX402" s="120"/>
      <c r="ORY402" s="121"/>
      <c r="ORZ402" s="119"/>
      <c r="OSA402" s="120"/>
      <c r="OSB402" s="120"/>
      <c r="OSC402" s="120"/>
      <c r="OSD402" s="120"/>
      <c r="OSE402" s="120"/>
      <c r="OSF402" s="121"/>
      <c r="OSG402" s="119"/>
      <c r="OSH402" s="120"/>
      <c r="OSI402" s="120"/>
      <c r="OSJ402" s="120"/>
      <c r="OSK402" s="120"/>
      <c r="OSL402" s="120"/>
      <c r="OSM402" s="121"/>
      <c r="OSN402" s="119"/>
      <c r="OSO402" s="120"/>
      <c r="OSP402" s="120"/>
      <c r="OSQ402" s="120"/>
      <c r="OSR402" s="120"/>
      <c r="OSS402" s="120"/>
      <c r="OST402" s="121"/>
      <c r="OSU402" s="119"/>
      <c r="OSV402" s="120"/>
      <c r="OSW402" s="120"/>
      <c r="OSX402" s="120"/>
      <c r="OSY402" s="120"/>
      <c r="OSZ402" s="120"/>
      <c r="OTA402" s="121"/>
      <c r="OTB402" s="119"/>
      <c r="OTC402" s="120"/>
      <c r="OTD402" s="120"/>
      <c r="OTE402" s="120"/>
      <c r="OTF402" s="120"/>
      <c r="OTG402" s="120"/>
      <c r="OTH402" s="121"/>
      <c r="OTI402" s="119"/>
      <c r="OTJ402" s="120"/>
      <c r="OTK402" s="120"/>
      <c r="OTL402" s="120"/>
      <c r="OTM402" s="120"/>
      <c r="OTN402" s="120"/>
      <c r="OTO402" s="121"/>
      <c r="OTP402" s="119"/>
      <c r="OTQ402" s="120"/>
      <c r="OTR402" s="120"/>
      <c r="OTS402" s="120"/>
      <c r="OTT402" s="120"/>
      <c r="OTU402" s="120"/>
      <c r="OTV402" s="121"/>
      <c r="OTW402" s="119"/>
      <c r="OTX402" s="120"/>
      <c r="OTY402" s="120"/>
      <c r="OTZ402" s="120"/>
      <c r="OUA402" s="120"/>
      <c r="OUB402" s="120"/>
      <c r="OUC402" s="121"/>
      <c r="OUD402" s="119"/>
      <c r="OUE402" s="120"/>
      <c r="OUF402" s="120"/>
      <c r="OUG402" s="120"/>
      <c r="OUH402" s="120"/>
      <c r="OUI402" s="120"/>
      <c r="OUJ402" s="121"/>
      <c r="OUK402" s="119"/>
      <c r="OUL402" s="120"/>
      <c r="OUM402" s="120"/>
      <c r="OUN402" s="120"/>
      <c r="OUO402" s="120"/>
      <c r="OUP402" s="120"/>
      <c r="OUQ402" s="121"/>
      <c r="OUR402" s="119"/>
      <c r="OUS402" s="120"/>
      <c r="OUT402" s="120"/>
      <c r="OUU402" s="120"/>
      <c r="OUV402" s="120"/>
      <c r="OUW402" s="120"/>
      <c r="OUX402" s="121"/>
      <c r="OUY402" s="119"/>
      <c r="OUZ402" s="120"/>
      <c r="OVA402" s="120"/>
      <c r="OVB402" s="120"/>
      <c r="OVC402" s="120"/>
      <c r="OVD402" s="120"/>
      <c r="OVE402" s="121"/>
      <c r="OVF402" s="119"/>
      <c r="OVG402" s="120"/>
      <c r="OVH402" s="120"/>
      <c r="OVI402" s="120"/>
      <c r="OVJ402" s="120"/>
      <c r="OVK402" s="120"/>
      <c r="OVL402" s="121"/>
      <c r="OVM402" s="119"/>
      <c r="OVN402" s="120"/>
      <c r="OVO402" s="120"/>
      <c r="OVP402" s="120"/>
      <c r="OVQ402" s="120"/>
      <c r="OVR402" s="120"/>
      <c r="OVS402" s="121"/>
      <c r="OVT402" s="119"/>
      <c r="OVU402" s="120"/>
      <c r="OVV402" s="120"/>
      <c r="OVW402" s="120"/>
      <c r="OVX402" s="120"/>
      <c r="OVY402" s="120"/>
      <c r="OVZ402" s="121"/>
      <c r="OWA402" s="119"/>
      <c r="OWB402" s="120"/>
      <c r="OWC402" s="120"/>
      <c r="OWD402" s="120"/>
      <c r="OWE402" s="120"/>
      <c r="OWF402" s="120"/>
      <c r="OWG402" s="121"/>
      <c r="OWH402" s="119"/>
      <c r="OWI402" s="120"/>
      <c r="OWJ402" s="120"/>
      <c r="OWK402" s="120"/>
      <c r="OWL402" s="120"/>
      <c r="OWM402" s="120"/>
      <c r="OWN402" s="121"/>
      <c r="OWO402" s="119"/>
      <c r="OWP402" s="120"/>
      <c r="OWQ402" s="120"/>
      <c r="OWR402" s="120"/>
      <c r="OWS402" s="120"/>
      <c r="OWT402" s="120"/>
      <c r="OWU402" s="121"/>
      <c r="OWV402" s="119"/>
      <c r="OWW402" s="120"/>
      <c r="OWX402" s="120"/>
      <c r="OWY402" s="120"/>
      <c r="OWZ402" s="120"/>
      <c r="OXA402" s="120"/>
      <c r="OXB402" s="121"/>
      <c r="OXC402" s="119"/>
      <c r="OXD402" s="120"/>
      <c r="OXE402" s="120"/>
      <c r="OXF402" s="120"/>
      <c r="OXG402" s="120"/>
      <c r="OXH402" s="120"/>
      <c r="OXI402" s="121"/>
      <c r="OXJ402" s="119"/>
      <c r="OXK402" s="120"/>
      <c r="OXL402" s="120"/>
      <c r="OXM402" s="120"/>
      <c r="OXN402" s="120"/>
      <c r="OXO402" s="120"/>
      <c r="OXP402" s="121"/>
      <c r="OXQ402" s="119"/>
      <c r="OXR402" s="120"/>
      <c r="OXS402" s="120"/>
      <c r="OXT402" s="120"/>
      <c r="OXU402" s="120"/>
      <c r="OXV402" s="120"/>
      <c r="OXW402" s="121"/>
      <c r="OXX402" s="119"/>
      <c r="OXY402" s="120"/>
      <c r="OXZ402" s="120"/>
      <c r="OYA402" s="120"/>
      <c r="OYB402" s="120"/>
      <c r="OYC402" s="120"/>
      <c r="OYD402" s="121"/>
      <c r="OYE402" s="119"/>
      <c r="OYF402" s="120"/>
      <c r="OYG402" s="120"/>
      <c r="OYH402" s="120"/>
      <c r="OYI402" s="120"/>
      <c r="OYJ402" s="120"/>
      <c r="OYK402" s="121"/>
      <c r="OYL402" s="119"/>
      <c r="OYM402" s="120"/>
      <c r="OYN402" s="120"/>
      <c r="OYO402" s="120"/>
      <c r="OYP402" s="120"/>
      <c r="OYQ402" s="120"/>
      <c r="OYR402" s="121"/>
      <c r="OYS402" s="119"/>
      <c r="OYT402" s="120"/>
      <c r="OYU402" s="120"/>
      <c r="OYV402" s="120"/>
      <c r="OYW402" s="120"/>
      <c r="OYX402" s="120"/>
      <c r="OYY402" s="121"/>
      <c r="OYZ402" s="119"/>
      <c r="OZA402" s="120"/>
      <c r="OZB402" s="120"/>
      <c r="OZC402" s="120"/>
      <c r="OZD402" s="120"/>
      <c r="OZE402" s="120"/>
      <c r="OZF402" s="121"/>
      <c r="OZG402" s="119"/>
      <c r="OZH402" s="120"/>
      <c r="OZI402" s="120"/>
      <c r="OZJ402" s="120"/>
      <c r="OZK402" s="120"/>
      <c r="OZL402" s="120"/>
      <c r="OZM402" s="121"/>
      <c r="OZN402" s="119"/>
      <c r="OZO402" s="120"/>
      <c r="OZP402" s="120"/>
      <c r="OZQ402" s="120"/>
      <c r="OZR402" s="120"/>
      <c r="OZS402" s="120"/>
      <c r="OZT402" s="121"/>
      <c r="OZU402" s="119"/>
      <c r="OZV402" s="120"/>
      <c r="OZW402" s="120"/>
      <c r="OZX402" s="120"/>
      <c r="OZY402" s="120"/>
      <c r="OZZ402" s="120"/>
      <c r="PAA402" s="121"/>
      <c r="PAB402" s="119"/>
      <c r="PAC402" s="120"/>
      <c r="PAD402" s="120"/>
      <c r="PAE402" s="120"/>
      <c r="PAF402" s="120"/>
      <c r="PAG402" s="120"/>
      <c r="PAH402" s="121"/>
      <c r="PAI402" s="119"/>
      <c r="PAJ402" s="120"/>
      <c r="PAK402" s="120"/>
      <c r="PAL402" s="120"/>
      <c r="PAM402" s="120"/>
      <c r="PAN402" s="120"/>
      <c r="PAO402" s="121"/>
      <c r="PAP402" s="119"/>
      <c r="PAQ402" s="120"/>
      <c r="PAR402" s="120"/>
      <c r="PAS402" s="120"/>
      <c r="PAT402" s="120"/>
      <c r="PAU402" s="120"/>
      <c r="PAV402" s="121"/>
      <c r="PAW402" s="119"/>
      <c r="PAX402" s="120"/>
      <c r="PAY402" s="120"/>
      <c r="PAZ402" s="120"/>
      <c r="PBA402" s="120"/>
      <c r="PBB402" s="120"/>
      <c r="PBC402" s="121"/>
      <c r="PBD402" s="119"/>
      <c r="PBE402" s="120"/>
      <c r="PBF402" s="120"/>
      <c r="PBG402" s="120"/>
      <c r="PBH402" s="120"/>
      <c r="PBI402" s="120"/>
      <c r="PBJ402" s="121"/>
      <c r="PBK402" s="119"/>
      <c r="PBL402" s="120"/>
      <c r="PBM402" s="120"/>
      <c r="PBN402" s="120"/>
      <c r="PBO402" s="120"/>
      <c r="PBP402" s="120"/>
      <c r="PBQ402" s="121"/>
      <c r="PBR402" s="119"/>
      <c r="PBS402" s="120"/>
      <c r="PBT402" s="120"/>
      <c r="PBU402" s="120"/>
      <c r="PBV402" s="120"/>
      <c r="PBW402" s="120"/>
      <c r="PBX402" s="121"/>
      <c r="PBY402" s="119"/>
      <c r="PBZ402" s="120"/>
      <c r="PCA402" s="120"/>
      <c r="PCB402" s="120"/>
      <c r="PCC402" s="120"/>
      <c r="PCD402" s="120"/>
      <c r="PCE402" s="121"/>
      <c r="PCF402" s="119"/>
      <c r="PCG402" s="120"/>
      <c r="PCH402" s="120"/>
      <c r="PCI402" s="120"/>
      <c r="PCJ402" s="120"/>
      <c r="PCK402" s="120"/>
      <c r="PCL402" s="121"/>
      <c r="PCM402" s="119"/>
      <c r="PCN402" s="120"/>
      <c r="PCO402" s="120"/>
      <c r="PCP402" s="120"/>
      <c r="PCQ402" s="120"/>
      <c r="PCR402" s="120"/>
      <c r="PCS402" s="121"/>
      <c r="PCT402" s="119"/>
      <c r="PCU402" s="120"/>
      <c r="PCV402" s="120"/>
      <c r="PCW402" s="120"/>
      <c r="PCX402" s="120"/>
      <c r="PCY402" s="120"/>
      <c r="PCZ402" s="121"/>
      <c r="PDA402" s="119"/>
      <c r="PDB402" s="120"/>
      <c r="PDC402" s="120"/>
      <c r="PDD402" s="120"/>
      <c r="PDE402" s="120"/>
      <c r="PDF402" s="120"/>
      <c r="PDG402" s="121"/>
      <c r="PDH402" s="119"/>
      <c r="PDI402" s="120"/>
      <c r="PDJ402" s="120"/>
      <c r="PDK402" s="120"/>
      <c r="PDL402" s="120"/>
      <c r="PDM402" s="120"/>
      <c r="PDN402" s="121"/>
      <c r="PDO402" s="119"/>
      <c r="PDP402" s="120"/>
      <c r="PDQ402" s="120"/>
      <c r="PDR402" s="120"/>
      <c r="PDS402" s="120"/>
      <c r="PDT402" s="120"/>
      <c r="PDU402" s="121"/>
      <c r="PDV402" s="119"/>
      <c r="PDW402" s="120"/>
      <c r="PDX402" s="120"/>
      <c r="PDY402" s="120"/>
      <c r="PDZ402" s="120"/>
      <c r="PEA402" s="120"/>
      <c r="PEB402" s="121"/>
      <c r="PEC402" s="119"/>
      <c r="PED402" s="120"/>
      <c r="PEE402" s="120"/>
      <c r="PEF402" s="120"/>
      <c r="PEG402" s="120"/>
      <c r="PEH402" s="120"/>
      <c r="PEI402" s="121"/>
      <c r="PEJ402" s="119"/>
      <c r="PEK402" s="120"/>
      <c r="PEL402" s="120"/>
      <c r="PEM402" s="120"/>
      <c r="PEN402" s="120"/>
      <c r="PEO402" s="120"/>
      <c r="PEP402" s="121"/>
      <c r="PEQ402" s="119"/>
      <c r="PER402" s="120"/>
      <c r="PES402" s="120"/>
      <c r="PET402" s="120"/>
      <c r="PEU402" s="120"/>
      <c r="PEV402" s="120"/>
      <c r="PEW402" s="121"/>
      <c r="PEX402" s="119"/>
      <c r="PEY402" s="120"/>
      <c r="PEZ402" s="120"/>
      <c r="PFA402" s="120"/>
      <c r="PFB402" s="120"/>
      <c r="PFC402" s="120"/>
      <c r="PFD402" s="121"/>
      <c r="PFE402" s="119"/>
      <c r="PFF402" s="120"/>
      <c r="PFG402" s="120"/>
      <c r="PFH402" s="120"/>
      <c r="PFI402" s="120"/>
      <c r="PFJ402" s="120"/>
      <c r="PFK402" s="121"/>
      <c r="PFL402" s="119"/>
      <c r="PFM402" s="120"/>
      <c r="PFN402" s="120"/>
      <c r="PFO402" s="120"/>
      <c r="PFP402" s="120"/>
      <c r="PFQ402" s="120"/>
      <c r="PFR402" s="121"/>
      <c r="PFS402" s="119"/>
      <c r="PFT402" s="120"/>
      <c r="PFU402" s="120"/>
      <c r="PFV402" s="120"/>
      <c r="PFW402" s="120"/>
      <c r="PFX402" s="120"/>
      <c r="PFY402" s="121"/>
      <c r="PFZ402" s="119"/>
      <c r="PGA402" s="120"/>
      <c r="PGB402" s="120"/>
      <c r="PGC402" s="120"/>
      <c r="PGD402" s="120"/>
      <c r="PGE402" s="120"/>
      <c r="PGF402" s="121"/>
      <c r="PGG402" s="119"/>
      <c r="PGH402" s="120"/>
      <c r="PGI402" s="120"/>
      <c r="PGJ402" s="120"/>
      <c r="PGK402" s="120"/>
      <c r="PGL402" s="120"/>
      <c r="PGM402" s="121"/>
      <c r="PGN402" s="119"/>
      <c r="PGO402" s="120"/>
      <c r="PGP402" s="120"/>
      <c r="PGQ402" s="120"/>
      <c r="PGR402" s="120"/>
      <c r="PGS402" s="120"/>
      <c r="PGT402" s="121"/>
      <c r="PGU402" s="119"/>
      <c r="PGV402" s="120"/>
      <c r="PGW402" s="120"/>
      <c r="PGX402" s="120"/>
      <c r="PGY402" s="120"/>
      <c r="PGZ402" s="120"/>
      <c r="PHA402" s="121"/>
      <c r="PHB402" s="119"/>
      <c r="PHC402" s="120"/>
      <c r="PHD402" s="120"/>
      <c r="PHE402" s="120"/>
      <c r="PHF402" s="120"/>
      <c r="PHG402" s="120"/>
      <c r="PHH402" s="121"/>
      <c r="PHI402" s="119"/>
      <c r="PHJ402" s="120"/>
      <c r="PHK402" s="120"/>
      <c r="PHL402" s="120"/>
      <c r="PHM402" s="120"/>
      <c r="PHN402" s="120"/>
      <c r="PHO402" s="121"/>
      <c r="PHP402" s="119"/>
      <c r="PHQ402" s="120"/>
      <c r="PHR402" s="120"/>
      <c r="PHS402" s="120"/>
      <c r="PHT402" s="120"/>
      <c r="PHU402" s="120"/>
      <c r="PHV402" s="121"/>
      <c r="PHW402" s="119"/>
      <c r="PHX402" s="120"/>
      <c r="PHY402" s="120"/>
      <c r="PHZ402" s="120"/>
      <c r="PIA402" s="120"/>
      <c r="PIB402" s="120"/>
      <c r="PIC402" s="121"/>
      <c r="PID402" s="119"/>
      <c r="PIE402" s="120"/>
      <c r="PIF402" s="120"/>
      <c r="PIG402" s="120"/>
      <c r="PIH402" s="120"/>
      <c r="PII402" s="120"/>
      <c r="PIJ402" s="121"/>
      <c r="PIK402" s="119"/>
      <c r="PIL402" s="120"/>
      <c r="PIM402" s="120"/>
      <c r="PIN402" s="120"/>
      <c r="PIO402" s="120"/>
      <c r="PIP402" s="120"/>
      <c r="PIQ402" s="121"/>
      <c r="PIR402" s="119"/>
      <c r="PIS402" s="120"/>
      <c r="PIT402" s="120"/>
      <c r="PIU402" s="120"/>
      <c r="PIV402" s="120"/>
      <c r="PIW402" s="120"/>
      <c r="PIX402" s="121"/>
      <c r="PIY402" s="119"/>
      <c r="PIZ402" s="120"/>
      <c r="PJA402" s="120"/>
      <c r="PJB402" s="120"/>
      <c r="PJC402" s="120"/>
      <c r="PJD402" s="120"/>
      <c r="PJE402" s="121"/>
      <c r="PJF402" s="119"/>
      <c r="PJG402" s="120"/>
      <c r="PJH402" s="120"/>
      <c r="PJI402" s="120"/>
      <c r="PJJ402" s="120"/>
      <c r="PJK402" s="120"/>
      <c r="PJL402" s="121"/>
      <c r="PJM402" s="119"/>
      <c r="PJN402" s="120"/>
      <c r="PJO402" s="120"/>
      <c r="PJP402" s="120"/>
      <c r="PJQ402" s="120"/>
      <c r="PJR402" s="120"/>
      <c r="PJS402" s="121"/>
      <c r="PJT402" s="119"/>
      <c r="PJU402" s="120"/>
      <c r="PJV402" s="120"/>
      <c r="PJW402" s="120"/>
      <c r="PJX402" s="120"/>
      <c r="PJY402" s="120"/>
      <c r="PJZ402" s="121"/>
      <c r="PKA402" s="119"/>
      <c r="PKB402" s="120"/>
      <c r="PKC402" s="120"/>
      <c r="PKD402" s="120"/>
      <c r="PKE402" s="120"/>
      <c r="PKF402" s="120"/>
      <c r="PKG402" s="121"/>
      <c r="PKH402" s="119"/>
      <c r="PKI402" s="120"/>
      <c r="PKJ402" s="120"/>
      <c r="PKK402" s="120"/>
      <c r="PKL402" s="120"/>
      <c r="PKM402" s="120"/>
      <c r="PKN402" s="121"/>
      <c r="PKO402" s="119"/>
      <c r="PKP402" s="120"/>
      <c r="PKQ402" s="120"/>
      <c r="PKR402" s="120"/>
      <c r="PKS402" s="120"/>
      <c r="PKT402" s="120"/>
      <c r="PKU402" s="121"/>
      <c r="PKV402" s="119"/>
      <c r="PKW402" s="120"/>
      <c r="PKX402" s="120"/>
      <c r="PKY402" s="120"/>
      <c r="PKZ402" s="120"/>
      <c r="PLA402" s="120"/>
      <c r="PLB402" s="121"/>
      <c r="PLC402" s="119"/>
      <c r="PLD402" s="120"/>
      <c r="PLE402" s="120"/>
      <c r="PLF402" s="120"/>
      <c r="PLG402" s="120"/>
      <c r="PLH402" s="120"/>
      <c r="PLI402" s="121"/>
      <c r="PLJ402" s="119"/>
      <c r="PLK402" s="120"/>
      <c r="PLL402" s="120"/>
      <c r="PLM402" s="120"/>
      <c r="PLN402" s="120"/>
      <c r="PLO402" s="120"/>
      <c r="PLP402" s="121"/>
      <c r="PLQ402" s="119"/>
      <c r="PLR402" s="120"/>
      <c r="PLS402" s="120"/>
      <c r="PLT402" s="120"/>
      <c r="PLU402" s="120"/>
      <c r="PLV402" s="120"/>
      <c r="PLW402" s="121"/>
      <c r="PLX402" s="119"/>
      <c r="PLY402" s="120"/>
      <c r="PLZ402" s="120"/>
      <c r="PMA402" s="120"/>
      <c r="PMB402" s="120"/>
      <c r="PMC402" s="120"/>
      <c r="PMD402" s="121"/>
      <c r="PME402" s="119"/>
      <c r="PMF402" s="120"/>
      <c r="PMG402" s="120"/>
      <c r="PMH402" s="120"/>
      <c r="PMI402" s="120"/>
      <c r="PMJ402" s="120"/>
      <c r="PMK402" s="121"/>
      <c r="PML402" s="119"/>
      <c r="PMM402" s="120"/>
      <c r="PMN402" s="120"/>
      <c r="PMO402" s="120"/>
      <c r="PMP402" s="120"/>
      <c r="PMQ402" s="120"/>
      <c r="PMR402" s="121"/>
      <c r="PMS402" s="119"/>
      <c r="PMT402" s="120"/>
      <c r="PMU402" s="120"/>
      <c r="PMV402" s="120"/>
      <c r="PMW402" s="120"/>
      <c r="PMX402" s="120"/>
      <c r="PMY402" s="121"/>
      <c r="PMZ402" s="119"/>
      <c r="PNA402" s="120"/>
      <c r="PNB402" s="120"/>
      <c r="PNC402" s="120"/>
      <c r="PND402" s="120"/>
      <c r="PNE402" s="120"/>
      <c r="PNF402" s="121"/>
      <c r="PNG402" s="119"/>
      <c r="PNH402" s="120"/>
      <c r="PNI402" s="120"/>
      <c r="PNJ402" s="120"/>
      <c r="PNK402" s="120"/>
      <c r="PNL402" s="120"/>
      <c r="PNM402" s="121"/>
      <c r="PNN402" s="119"/>
      <c r="PNO402" s="120"/>
      <c r="PNP402" s="120"/>
      <c r="PNQ402" s="120"/>
      <c r="PNR402" s="120"/>
      <c r="PNS402" s="120"/>
      <c r="PNT402" s="121"/>
      <c r="PNU402" s="119"/>
      <c r="PNV402" s="120"/>
      <c r="PNW402" s="120"/>
      <c r="PNX402" s="120"/>
      <c r="PNY402" s="120"/>
      <c r="PNZ402" s="120"/>
      <c r="POA402" s="121"/>
      <c r="POB402" s="119"/>
      <c r="POC402" s="120"/>
      <c r="POD402" s="120"/>
      <c r="POE402" s="120"/>
      <c r="POF402" s="120"/>
      <c r="POG402" s="120"/>
      <c r="POH402" s="121"/>
      <c r="POI402" s="119"/>
      <c r="POJ402" s="120"/>
      <c r="POK402" s="120"/>
      <c r="POL402" s="120"/>
      <c r="POM402" s="120"/>
      <c r="PON402" s="120"/>
      <c r="POO402" s="121"/>
      <c r="POP402" s="119"/>
      <c r="POQ402" s="120"/>
      <c r="POR402" s="120"/>
      <c r="POS402" s="120"/>
      <c r="POT402" s="120"/>
      <c r="POU402" s="120"/>
      <c r="POV402" s="121"/>
      <c r="POW402" s="119"/>
      <c r="POX402" s="120"/>
      <c r="POY402" s="120"/>
      <c r="POZ402" s="120"/>
      <c r="PPA402" s="120"/>
      <c r="PPB402" s="120"/>
      <c r="PPC402" s="121"/>
      <c r="PPD402" s="119"/>
      <c r="PPE402" s="120"/>
      <c r="PPF402" s="120"/>
      <c r="PPG402" s="120"/>
      <c r="PPH402" s="120"/>
      <c r="PPI402" s="120"/>
      <c r="PPJ402" s="121"/>
      <c r="PPK402" s="119"/>
      <c r="PPL402" s="120"/>
      <c r="PPM402" s="120"/>
      <c r="PPN402" s="120"/>
      <c r="PPO402" s="120"/>
      <c r="PPP402" s="120"/>
      <c r="PPQ402" s="121"/>
      <c r="PPR402" s="119"/>
      <c r="PPS402" s="120"/>
      <c r="PPT402" s="120"/>
      <c r="PPU402" s="120"/>
      <c r="PPV402" s="120"/>
      <c r="PPW402" s="120"/>
      <c r="PPX402" s="121"/>
      <c r="PPY402" s="119"/>
      <c r="PPZ402" s="120"/>
      <c r="PQA402" s="120"/>
      <c r="PQB402" s="120"/>
      <c r="PQC402" s="120"/>
      <c r="PQD402" s="120"/>
      <c r="PQE402" s="121"/>
      <c r="PQF402" s="119"/>
      <c r="PQG402" s="120"/>
      <c r="PQH402" s="120"/>
      <c r="PQI402" s="120"/>
      <c r="PQJ402" s="120"/>
      <c r="PQK402" s="120"/>
      <c r="PQL402" s="121"/>
      <c r="PQM402" s="119"/>
      <c r="PQN402" s="120"/>
      <c r="PQO402" s="120"/>
      <c r="PQP402" s="120"/>
      <c r="PQQ402" s="120"/>
      <c r="PQR402" s="120"/>
      <c r="PQS402" s="121"/>
      <c r="PQT402" s="119"/>
      <c r="PQU402" s="120"/>
      <c r="PQV402" s="120"/>
      <c r="PQW402" s="120"/>
      <c r="PQX402" s="120"/>
      <c r="PQY402" s="120"/>
      <c r="PQZ402" s="121"/>
      <c r="PRA402" s="119"/>
      <c r="PRB402" s="120"/>
      <c r="PRC402" s="120"/>
      <c r="PRD402" s="120"/>
      <c r="PRE402" s="120"/>
      <c r="PRF402" s="120"/>
      <c r="PRG402" s="121"/>
      <c r="PRH402" s="119"/>
      <c r="PRI402" s="120"/>
      <c r="PRJ402" s="120"/>
      <c r="PRK402" s="120"/>
      <c r="PRL402" s="120"/>
      <c r="PRM402" s="120"/>
      <c r="PRN402" s="121"/>
      <c r="PRO402" s="119"/>
      <c r="PRP402" s="120"/>
      <c r="PRQ402" s="120"/>
      <c r="PRR402" s="120"/>
      <c r="PRS402" s="120"/>
      <c r="PRT402" s="120"/>
      <c r="PRU402" s="121"/>
      <c r="PRV402" s="119"/>
      <c r="PRW402" s="120"/>
      <c r="PRX402" s="120"/>
      <c r="PRY402" s="120"/>
      <c r="PRZ402" s="120"/>
      <c r="PSA402" s="120"/>
      <c r="PSB402" s="121"/>
      <c r="PSC402" s="119"/>
      <c r="PSD402" s="120"/>
      <c r="PSE402" s="120"/>
      <c r="PSF402" s="120"/>
      <c r="PSG402" s="120"/>
      <c r="PSH402" s="120"/>
      <c r="PSI402" s="121"/>
      <c r="PSJ402" s="119"/>
      <c r="PSK402" s="120"/>
      <c r="PSL402" s="120"/>
      <c r="PSM402" s="120"/>
      <c r="PSN402" s="120"/>
      <c r="PSO402" s="120"/>
      <c r="PSP402" s="121"/>
      <c r="PSQ402" s="119"/>
      <c r="PSR402" s="120"/>
      <c r="PSS402" s="120"/>
      <c r="PST402" s="120"/>
      <c r="PSU402" s="120"/>
      <c r="PSV402" s="120"/>
      <c r="PSW402" s="121"/>
      <c r="PSX402" s="119"/>
      <c r="PSY402" s="120"/>
      <c r="PSZ402" s="120"/>
      <c r="PTA402" s="120"/>
      <c r="PTB402" s="120"/>
      <c r="PTC402" s="120"/>
      <c r="PTD402" s="121"/>
      <c r="PTE402" s="119"/>
      <c r="PTF402" s="120"/>
      <c r="PTG402" s="120"/>
      <c r="PTH402" s="120"/>
      <c r="PTI402" s="120"/>
      <c r="PTJ402" s="120"/>
      <c r="PTK402" s="121"/>
      <c r="PTL402" s="119"/>
      <c r="PTM402" s="120"/>
      <c r="PTN402" s="120"/>
      <c r="PTO402" s="120"/>
      <c r="PTP402" s="120"/>
      <c r="PTQ402" s="120"/>
      <c r="PTR402" s="121"/>
      <c r="PTS402" s="119"/>
      <c r="PTT402" s="120"/>
      <c r="PTU402" s="120"/>
      <c r="PTV402" s="120"/>
      <c r="PTW402" s="120"/>
      <c r="PTX402" s="120"/>
      <c r="PTY402" s="121"/>
      <c r="PTZ402" s="119"/>
      <c r="PUA402" s="120"/>
      <c r="PUB402" s="120"/>
      <c r="PUC402" s="120"/>
      <c r="PUD402" s="120"/>
      <c r="PUE402" s="120"/>
      <c r="PUF402" s="121"/>
      <c r="PUG402" s="119"/>
      <c r="PUH402" s="120"/>
      <c r="PUI402" s="120"/>
      <c r="PUJ402" s="120"/>
      <c r="PUK402" s="120"/>
      <c r="PUL402" s="120"/>
      <c r="PUM402" s="121"/>
      <c r="PUN402" s="119"/>
      <c r="PUO402" s="120"/>
      <c r="PUP402" s="120"/>
      <c r="PUQ402" s="120"/>
      <c r="PUR402" s="120"/>
      <c r="PUS402" s="120"/>
      <c r="PUT402" s="121"/>
      <c r="PUU402" s="119"/>
      <c r="PUV402" s="120"/>
      <c r="PUW402" s="120"/>
      <c r="PUX402" s="120"/>
      <c r="PUY402" s="120"/>
      <c r="PUZ402" s="120"/>
      <c r="PVA402" s="121"/>
      <c r="PVB402" s="119"/>
      <c r="PVC402" s="120"/>
      <c r="PVD402" s="120"/>
      <c r="PVE402" s="120"/>
      <c r="PVF402" s="120"/>
      <c r="PVG402" s="120"/>
      <c r="PVH402" s="121"/>
      <c r="PVI402" s="119"/>
      <c r="PVJ402" s="120"/>
      <c r="PVK402" s="120"/>
      <c r="PVL402" s="120"/>
      <c r="PVM402" s="120"/>
      <c r="PVN402" s="120"/>
      <c r="PVO402" s="121"/>
      <c r="PVP402" s="119"/>
      <c r="PVQ402" s="120"/>
      <c r="PVR402" s="120"/>
      <c r="PVS402" s="120"/>
      <c r="PVT402" s="120"/>
      <c r="PVU402" s="120"/>
      <c r="PVV402" s="121"/>
      <c r="PVW402" s="119"/>
      <c r="PVX402" s="120"/>
      <c r="PVY402" s="120"/>
      <c r="PVZ402" s="120"/>
      <c r="PWA402" s="120"/>
      <c r="PWB402" s="120"/>
      <c r="PWC402" s="121"/>
      <c r="PWD402" s="119"/>
      <c r="PWE402" s="120"/>
      <c r="PWF402" s="120"/>
      <c r="PWG402" s="120"/>
      <c r="PWH402" s="120"/>
      <c r="PWI402" s="120"/>
      <c r="PWJ402" s="121"/>
      <c r="PWK402" s="119"/>
      <c r="PWL402" s="120"/>
      <c r="PWM402" s="120"/>
      <c r="PWN402" s="120"/>
      <c r="PWO402" s="120"/>
      <c r="PWP402" s="120"/>
      <c r="PWQ402" s="121"/>
      <c r="PWR402" s="119"/>
      <c r="PWS402" s="120"/>
      <c r="PWT402" s="120"/>
      <c r="PWU402" s="120"/>
      <c r="PWV402" s="120"/>
      <c r="PWW402" s="120"/>
      <c r="PWX402" s="121"/>
      <c r="PWY402" s="119"/>
      <c r="PWZ402" s="120"/>
      <c r="PXA402" s="120"/>
      <c r="PXB402" s="120"/>
      <c r="PXC402" s="120"/>
      <c r="PXD402" s="120"/>
      <c r="PXE402" s="121"/>
      <c r="PXF402" s="119"/>
      <c r="PXG402" s="120"/>
      <c r="PXH402" s="120"/>
      <c r="PXI402" s="120"/>
      <c r="PXJ402" s="120"/>
      <c r="PXK402" s="120"/>
      <c r="PXL402" s="121"/>
      <c r="PXM402" s="119"/>
      <c r="PXN402" s="120"/>
      <c r="PXO402" s="120"/>
      <c r="PXP402" s="120"/>
      <c r="PXQ402" s="120"/>
      <c r="PXR402" s="120"/>
      <c r="PXS402" s="121"/>
      <c r="PXT402" s="119"/>
      <c r="PXU402" s="120"/>
      <c r="PXV402" s="120"/>
      <c r="PXW402" s="120"/>
      <c r="PXX402" s="120"/>
      <c r="PXY402" s="120"/>
      <c r="PXZ402" s="121"/>
      <c r="PYA402" s="119"/>
      <c r="PYB402" s="120"/>
      <c r="PYC402" s="120"/>
      <c r="PYD402" s="120"/>
      <c r="PYE402" s="120"/>
      <c r="PYF402" s="120"/>
      <c r="PYG402" s="121"/>
      <c r="PYH402" s="119"/>
      <c r="PYI402" s="120"/>
      <c r="PYJ402" s="120"/>
      <c r="PYK402" s="120"/>
      <c r="PYL402" s="120"/>
      <c r="PYM402" s="120"/>
      <c r="PYN402" s="121"/>
      <c r="PYO402" s="119"/>
      <c r="PYP402" s="120"/>
      <c r="PYQ402" s="120"/>
      <c r="PYR402" s="120"/>
      <c r="PYS402" s="120"/>
      <c r="PYT402" s="120"/>
      <c r="PYU402" s="121"/>
      <c r="PYV402" s="119"/>
      <c r="PYW402" s="120"/>
      <c r="PYX402" s="120"/>
      <c r="PYY402" s="120"/>
      <c r="PYZ402" s="120"/>
      <c r="PZA402" s="120"/>
      <c r="PZB402" s="121"/>
      <c r="PZC402" s="119"/>
      <c r="PZD402" s="120"/>
      <c r="PZE402" s="120"/>
      <c r="PZF402" s="120"/>
      <c r="PZG402" s="120"/>
      <c r="PZH402" s="120"/>
      <c r="PZI402" s="121"/>
      <c r="PZJ402" s="119"/>
      <c r="PZK402" s="120"/>
      <c r="PZL402" s="120"/>
      <c r="PZM402" s="120"/>
      <c r="PZN402" s="120"/>
      <c r="PZO402" s="120"/>
      <c r="PZP402" s="121"/>
      <c r="PZQ402" s="119"/>
      <c r="PZR402" s="120"/>
      <c r="PZS402" s="120"/>
      <c r="PZT402" s="120"/>
      <c r="PZU402" s="120"/>
      <c r="PZV402" s="120"/>
      <c r="PZW402" s="121"/>
      <c r="PZX402" s="119"/>
      <c r="PZY402" s="120"/>
      <c r="PZZ402" s="120"/>
      <c r="QAA402" s="120"/>
      <c r="QAB402" s="120"/>
      <c r="QAC402" s="120"/>
      <c r="QAD402" s="121"/>
      <c r="QAE402" s="119"/>
      <c r="QAF402" s="120"/>
      <c r="QAG402" s="120"/>
      <c r="QAH402" s="120"/>
      <c r="QAI402" s="120"/>
      <c r="QAJ402" s="120"/>
      <c r="QAK402" s="121"/>
      <c r="QAL402" s="119"/>
      <c r="QAM402" s="120"/>
      <c r="QAN402" s="120"/>
      <c r="QAO402" s="120"/>
      <c r="QAP402" s="120"/>
      <c r="QAQ402" s="120"/>
      <c r="QAR402" s="121"/>
      <c r="QAS402" s="119"/>
      <c r="QAT402" s="120"/>
      <c r="QAU402" s="120"/>
      <c r="QAV402" s="120"/>
      <c r="QAW402" s="120"/>
      <c r="QAX402" s="120"/>
      <c r="QAY402" s="121"/>
      <c r="QAZ402" s="119"/>
      <c r="QBA402" s="120"/>
      <c r="QBB402" s="120"/>
      <c r="QBC402" s="120"/>
      <c r="QBD402" s="120"/>
      <c r="QBE402" s="120"/>
      <c r="QBF402" s="121"/>
      <c r="QBG402" s="119"/>
      <c r="QBH402" s="120"/>
      <c r="QBI402" s="120"/>
      <c r="QBJ402" s="120"/>
      <c r="QBK402" s="120"/>
      <c r="QBL402" s="120"/>
      <c r="QBM402" s="121"/>
      <c r="QBN402" s="119"/>
      <c r="QBO402" s="120"/>
      <c r="QBP402" s="120"/>
      <c r="QBQ402" s="120"/>
      <c r="QBR402" s="120"/>
      <c r="QBS402" s="120"/>
      <c r="QBT402" s="121"/>
      <c r="QBU402" s="119"/>
      <c r="QBV402" s="120"/>
      <c r="QBW402" s="120"/>
      <c r="QBX402" s="120"/>
      <c r="QBY402" s="120"/>
      <c r="QBZ402" s="120"/>
      <c r="QCA402" s="121"/>
      <c r="QCB402" s="119"/>
      <c r="QCC402" s="120"/>
      <c r="QCD402" s="120"/>
      <c r="QCE402" s="120"/>
      <c r="QCF402" s="120"/>
      <c r="QCG402" s="120"/>
      <c r="QCH402" s="121"/>
      <c r="QCI402" s="119"/>
      <c r="QCJ402" s="120"/>
      <c r="QCK402" s="120"/>
      <c r="QCL402" s="120"/>
      <c r="QCM402" s="120"/>
      <c r="QCN402" s="120"/>
      <c r="QCO402" s="121"/>
      <c r="QCP402" s="119"/>
      <c r="QCQ402" s="120"/>
      <c r="QCR402" s="120"/>
      <c r="QCS402" s="120"/>
      <c r="QCT402" s="120"/>
      <c r="QCU402" s="120"/>
      <c r="QCV402" s="121"/>
      <c r="QCW402" s="119"/>
      <c r="QCX402" s="120"/>
      <c r="QCY402" s="120"/>
      <c r="QCZ402" s="120"/>
      <c r="QDA402" s="120"/>
      <c r="QDB402" s="120"/>
      <c r="QDC402" s="121"/>
      <c r="QDD402" s="119"/>
      <c r="QDE402" s="120"/>
      <c r="QDF402" s="120"/>
      <c r="QDG402" s="120"/>
      <c r="QDH402" s="120"/>
      <c r="QDI402" s="120"/>
      <c r="QDJ402" s="121"/>
      <c r="QDK402" s="119"/>
      <c r="QDL402" s="120"/>
      <c r="QDM402" s="120"/>
      <c r="QDN402" s="120"/>
      <c r="QDO402" s="120"/>
      <c r="QDP402" s="120"/>
      <c r="QDQ402" s="121"/>
      <c r="QDR402" s="119"/>
      <c r="QDS402" s="120"/>
      <c r="QDT402" s="120"/>
      <c r="QDU402" s="120"/>
      <c r="QDV402" s="120"/>
      <c r="QDW402" s="120"/>
      <c r="QDX402" s="121"/>
      <c r="QDY402" s="119"/>
      <c r="QDZ402" s="120"/>
      <c r="QEA402" s="120"/>
      <c r="QEB402" s="120"/>
      <c r="QEC402" s="120"/>
      <c r="QED402" s="120"/>
      <c r="QEE402" s="121"/>
      <c r="QEF402" s="119"/>
      <c r="QEG402" s="120"/>
      <c r="QEH402" s="120"/>
      <c r="QEI402" s="120"/>
      <c r="QEJ402" s="120"/>
      <c r="QEK402" s="120"/>
      <c r="QEL402" s="121"/>
      <c r="QEM402" s="119"/>
      <c r="QEN402" s="120"/>
      <c r="QEO402" s="120"/>
      <c r="QEP402" s="120"/>
      <c r="QEQ402" s="120"/>
      <c r="QER402" s="120"/>
      <c r="QES402" s="121"/>
      <c r="QET402" s="119"/>
      <c r="QEU402" s="120"/>
      <c r="QEV402" s="120"/>
      <c r="QEW402" s="120"/>
      <c r="QEX402" s="120"/>
      <c r="QEY402" s="120"/>
      <c r="QEZ402" s="121"/>
      <c r="QFA402" s="119"/>
      <c r="QFB402" s="120"/>
      <c r="QFC402" s="120"/>
      <c r="QFD402" s="120"/>
      <c r="QFE402" s="120"/>
      <c r="QFF402" s="120"/>
      <c r="QFG402" s="121"/>
      <c r="QFH402" s="119"/>
      <c r="QFI402" s="120"/>
      <c r="QFJ402" s="120"/>
      <c r="QFK402" s="120"/>
      <c r="QFL402" s="120"/>
      <c r="QFM402" s="120"/>
      <c r="QFN402" s="121"/>
      <c r="QFO402" s="119"/>
      <c r="QFP402" s="120"/>
      <c r="QFQ402" s="120"/>
      <c r="QFR402" s="120"/>
      <c r="QFS402" s="120"/>
      <c r="QFT402" s="120"/>
      <c r="QFU402" s="121"/>
      <c r="QFV402" s="119"/>
      <c r="QFW402" s="120"/>
      <c r="QFX402" s="120"/>
      <c r="QFY402" s="120"/>
      <c r="QFZ402" s="120"/>
      <c r="QGA402" s="120"/>
      <c r="QGB402" s="121"/>
      <c r="QGC402" s="119"/>
      <c r="QGD402" s="120"/>
      <c r="QGE402" s="120"/>
      <c r="QGF402" s="120"/>
      <c r="QGG402" s="120"/>
      <c r="QGH402" s="120"/>
      <c r="QGI402" s="121"/>
      <c r="QGJ402" s="119"/>
      <c r="QGK402" s="120"/>
      <c r="QGL402" s="120"/>
      <c r="QGM402" s="120"/>
      <c r="QGN402" s="120"/>
      <c r="QGO402" s="120"/>
      <c r="QGP402" s="121"/>
      <c r="QGQ402" s="119"/>
      <c r="QGR402" s="120"/>
      <c r="QGS402" s="120"/>
      <c r="QGT402" s="120"/>
      <c r="QGU402" s="120"/>
      <c r="QGV402" s="120"/>
      <c r="QGW402" s="121"/>
      <c r="QGX402" s="119"/>
      <c r="QGY402" s="120"/>
      <c r="QGZ402" s="120"/>
      <c r="QHA402" s="120"/>
      <c r="QHB402" s="120"/>
      <c r="QHC402" s="120"/>
      <c r="QHD402" s="121"/>
      <c r="QHE402" s="119"/>
      <c r="QHF402" s="120"/>
      <c r="QHG402" s="120"/>
      <c r="QHH402" s="120"/>
      <c r="QHI402" s="120"/>
      <c r="QHJ402" s="120"/>
      <c r="QHK402" s="121"/>
      <c r="QHL402" s="119"/>
      <c r="QHM402" s="120"/>
      <c r="QHN402" s="120"/>
      <c r="QHO402" s="120"/>
      <c r="QHP402" s="120"/>
      <c r="QHQ402" s="120"/>
      <c r="QHR402" s="121"/>
      <c r="QHS402" s="119"/>
      <c r="QHT402" s="120"/>
      <c r="QHU402" s="120"/>
      <c r="QHV402" s="120"/>
      <c r="QHW402" s="120"/>
      <c r="QHX402" s="120"/>
      <c r="QHY402" s="121"/>
      <c r="QHZ402" s="119"/>
      <c r="QIA402" s="120"/>
      <c r="QIB402" s="120"/>
      <c r="QIC402" s="120"/>
      <c r="QID402" s="120"/>
      <c r="QIE402" s="120"/>
      <c r="QIF402" s="121"/>
      <c r="QIG402" s="119"/>
      <c r="QIH402" s="120"/>
      <c r="QII402" s="120"/>
      <c r="QIJ402" s="120"/>
      <c r="QIK402" s="120"/>
      <c r="QIL402" s="120"/>
      <c r="QIM402" s="121"/>
      <c r="QIN402" s="119"/>
      <c r="QIO402" s="120"/>
      <c r="QIP402" s="120"/>
      <c r="QIQ402" s="120"/>
      <c r="QIR402" s="120"/>
      <c r="QIS402" s="120"/>
      <c r="QIT402" s="121"/>
      <c r="QIU402" s="119"/>
      <c r="QIV402" s="120"/>
      <c r="QIW402" s="120"/>
      <c r="QIX402" s="120"/>
      <c r="QIY402" s="120"/>
      <c r="QIZ402" s="120"/>
      <c r="QJA402" s="121"/>
      <c r="QJB402" s="119"/>
      <c r="QJC402" s="120"/>
      <c r="QJD402" s="120"/>
      <c r="QJE402" s="120"/>
      <c r="QJF402" s="120"/>
      <c r="QJG402" s="120"/>
      <c r="QJH402" s="121"/>
      <c r="QJI402" s="119"/>
      <c r="QJJ402" s="120"/>
      <c r="QJK402" s="120"/>
      <c r="QJL402" s="120"/>
      <c r="QJM402" s="120"/>
      <c r="QJN402" s="120"/>
      <c r="QJO402" s="121"/>
      <c r="QJP402" s="119"/>
      <c r="QJQ402" s="120"/>
      <c r="QJR402" s="120"/>
      <c r="QJS402" s="120"/>
      <c r="QJT402" s="120"/>
      <c r="QJU402" s="120"/>
      <c r="QJV402" s="121"/>
      <c r="QJW402" s="119"/>
      <c r="QJX402" s="120"/>
      <c r="QJY402" s="120"/>
      <c r="QJZ402" s="120"/>
      <c r="QKA402" s="120"/>
      <c r="QKB402" s="120"/>
      <c r="QKC402" s="121"/>
      <c r="QKD402" s="119"/>
      <c r="QKE402" s="120"/>
      <c r="QKF402" s="120"/>
      <c r="QKG402" s="120"/>
      <c r="QKH402" s="120"/>
      <c r="QKI402" s="120"/>
      <c r="QKJ402" s="121"/>
      <c r="QKK402" s="119"/>
      <c r="QKL402" s="120"/>
      <c r="QKM402" s="120"/>
      <c r="QKN402" s="120"/>
      <c r="QKO402" s="120"/>
      <c r="QKP402" s="120"/>
      <c r="QKQ402" s="121"/>
      <c r="QKR402" s="119"/>
      <c r="QKS402" s="120"/>
      <c r="QKT402" s="120"/>
      <c r="QKU402" s="120"/>
      <c r="QKV402" s="120"/>
      <c r="QKW402" s="120"/>
      <c r="QKX402" s="121"/>
      <c r="QKY402" s="119"/>
      <c r="QKZ402" s="120"/>
      <c r="QLA402" s="120"/>
      <c r="QLB402" s="120"/>
      <c r="QLC402" s="120"/>
      <c r="QLD402" s="120"/>
      <c r="QLE402" s="121"/>
      <c r="QLF402" s="119"/>
      <c r="QLG402" s="120"/>
      <c r="QLH402" s="120"/>
      <c r="QLI402" s="120"/>
      <c r="QLJ402" s="120"/>
      <c r="QLK402" s="120"/>
      <c r="QLL402" s="121"/>
      <c r="QLM402" s="119"/>
      <c r="QLN402" s="120"/>
      <c r="QLO402" s="120"/>
      <c r="QLP402" s="120"/>
      <c r="QLQ402" s="120"/>
      <c r="QLR402" s="120"/>
      <c r="QLS402" s="121"/>
      <c r="QLT402" s="119"/>
      <c r="QLU402" s="120"/>
      <c r="QLV402" s="120"/>
      <c r="QLW402" s="120"/>
      <c r="QLX402" s="120"/>
      <c r="QLY402" s="120"/>
      <c r="QLZ402" s="121"/>
      <c r="QMA402" s="119"/>
      <c r="QMB402" s="120"/>
      <c r="QMC402" s="120"/>
      <c r="QMD402" s="120"/>
      <c r="QME402" s="120"/>
      <c r="QMF402" s="120"/>
      <c r="QMG402" s="121"/>
      <c r="QMH402" s="119"/>
      <c r="QMI402" s="120"/>
      <c r="QMJ402" s="120"/>
      <c r="QMK402" s="120"/>
      <c r="QML402" s="120"/>
      <c r="QMM402" s="120"/>
      <c r="QMN402" s="121"/>
      <c r="QMO402" s="119"/>
      <c r="QMP402" s="120"/>
      <c r="QMQ402" s="120"/>
      <c r="QMR402" s="120"/>
      <c r="QMS402" s="120"/>
      <c r="QMT402" s="120"/>
      <c r="QMU402" s="121"/>
      <c r="QMV402" s="119"/>
      <c r="QMW402" s="120"/>
      <c r="QMX402" s="120"/>
      <c r="QMY402" s="120"/>
      <c r="QMZ402" s="120"/>
      <c r="QNA402" s="120"/>
      <c r="QNB402" s="121"/>
      <c r="QNC402" s="119"/>
      <c r="QND402" s="120"/>
      <c r="QNE402" s="120"/>
      <c r="QNF402" s="120"/>
      <c r="QNG402" s="120"/>
      <c r="QNH402" s="120"/>
      <c r="QNI402" s="121"/>
      <c r="QNJ402" s="119"/>
      <c r="QNK402" s="120"/>
      <c r="QNL402" s="120"/>
      <c r="QNM402" s="120"/>
      <c r="QNN402" s="120"/>
      <c r="QNO402" s="120"/>
      <c r="QNP402" s="121"/>
      <c r="QNQ402" s="119"/>
      <c r="QNR402" s="120"/>
      <c r="QNS402" s="120"/>
      <c r="QNT402" s="120"/>
      <c r="QNU402" s="120"/>
      <c r="QNV402" s="120"/>
      <c r="QNW402" s="121"/>
      <c r="QNX402" s="119"/>
      <c r="QNY402" s="120"/>
      <c r="QNZ402" s="120"/>
      <c r="QOA402" s="120"/>
      <c r="QOB402" s="120"/>
      <c r="QOC402" s="120"/>
      <c r="QOD402" s="121"/>
      <c r="QOE402" s="119"/>
      <c r="QOF402" s="120"/>
      <c r="QOG402" s="120"/>
      <c r="QOH402" s="120"/>
      <c r="QOI402" s="120"/>
      <c r="QOJ402" s="120"/>
      <c r="QOK402" s="121"/>
      <c r="QOL402" s="119"/>
      <c r="QOM402" s="120"/>
      <c r="QON402" s="120"/>
      <c r="QOO402" s="120"/>
      <c r="QOP402" s="120"/>
      <c r="QOQ402" s="120"/>
      <c r="QOR402" s="121"/>
      <c r="QOS402" s="119"/>
      <c r="QOT402" s="120"/>
      <c r="QOU402" s="120"/>
      <c r="QOV402" s="120"/>
      <c r="QOW402" s="120"/>
      <c r="QOX402" s="120"/>
      <c r="QOY402" s="121"/>
      <c r="QOZ402" s="119"/>
      <c r="QPA402" s="120"/>
      <c r="QPB402" s="120"/>
      <c r="QPC402" s="120"/>
      <c r="QPD402" s="120"/>
      <c r="QPE402" s="120"/>
      <c r="QPF402" s="121"/>
      <c r="QPG402" s="119"/>
      <c r="QPH402" s="120"/>
      <c r="QPI402" s="120"/>
      <c r="QPJ402" s="120"/>
      <c r="QPK402" s="120"/>
      <c r="QPL402" s="120"/>
      <c r="QPM402" s="121"/>
      <c r="QPN402" s="119"/>
      <c r="QPO402" s="120"/>
      <c r="QPP402" s="120"/>
      <c r="QPQ402" s="120"/>
      <c r="QPR402" s="120"/>
      <c r="QPS402" s="120"/>
      <c r="QPT402" s="121"/>
      <c r="QPU402" s="119"/>
      <c r="QPV402" s="120"/>
      <c r="QPW402" s="120"/>
      <c r="QPX402" s="120"/>
      <c r="QPY402" s="120"/>
      <c r="QPZ402" s="120"/>
      <c r="QQA402" s="121"/>
      <c r="QQB402" s="119"/>
      <c r="QQC402" s="120"/>
      <c r="QQD402" s="120"/>
      <c r="QQE402" s="120"/>
      <c r="QQF402" s="120"/>
      <c r="QQG402" s="120"/>
      <c r="QQH402" s="121"/>
      <c r="QQI402" s="119"/>
      <c r="QQJ402" s="120"/>
      <c r="QQK402" s="120"/>
      <c r="QQL402" s="120"/>
      <c r="QQM402" s="120"/>
      <c r="QQN402" s="120"/>
      <c r="QQO402" s="121"/>
      <c r="QQP402" s="119"/>
      <c r="QQQ402" s="120"/>
      <c r="QQR402" s="120"/>
      <c r="QQS402" s="120"/>
      <c r="QQT402" s="120"/>
      <c r="QQU402" s="120"/>
      <c r="QQV402" s="121"/>
      <c r="QQW402" s="119"/>
      <c r="QQX402" s="120"/>
      <c r="QQY402" s="120"/>
      <c r="QQZ402" s="120"/>
      <c r="QRA402" s="120"/>
      <c r="QRB402" s="120"/>
      <c r="QRC402" s="121"/>
      <c r="QRD402" s="119"/>
      <c r="QRE402" s="120"/>
      <c r="QRF402" s="120"/>
      <c r="QRG402" s="120"/>
      <c r="QRH402" s="120"/>
      <c r="QRI402" s="120"/>
      <c r="QRJ402" s="121"/>
      <c r="QRK402" s="119"/>
      <c r="QRL402" s="120"/>
      <c r="QRM402" s="120"/>
      <c r="QRN402" s="120"/>
      <c r="QRO402" s="120"/>
      <c r="QRP402" s="120"/>
      <c r="QRQ402" s="121"/>
      <c r="QRR402" s="119"/>
      <c r="QRS402" s="120"/>
      <c r="QRT402" s="120"/>
      <c r="QRU402" s="120"/>
      <c r="QRV402" s="120"/>
      <c r="QRW402" s="120"/>
      <c r="QRX402" s="121"/>
      <c r="QRY402" s="119"/>
      <c r="QRZ402" s="120"/>
      <c r="QSA402" s="120"/>
      <c r="QSB402" s="120"/>
      <c r="QSC402" s="120"/>
      <c r="QSD402" s="120"/>
      <c r="QSE402" s="121"/>
      <c r="QSF402" s="119"/>
      <c r="QSG402" s="120"/>
      <c r="QSH402" s="120"/>
      <c r="QSI402" s="120"/>
      <c r="QSJ402" s="120"/>
      <c r="QSK402" s="120"/>
      <c r="QSL402" s="121"/>
      <c r="QSM402" s="119"/>
      <c r="QSN402" s="120"/>
      <c r="QSO402" s="120"/>
      <c r="QSP402" s="120"/>
      <c r="QSQ402" s="120"/>
      <c r="QSR402" s="120"/>
      <c r="QSS402" s="121"/>
      <c r="QST402" s="119"/>
      <c r="QSU402" s="120"/>
      <c r="QSV402" s="120"/>
      <c r="QSW402" s="120"/>
      <c r="QSX402" s="120"/>
      <c r="QSY402" s="120"/>
      <c r="QSZ402" s="121"/>
      <c r="QTA402" s="119"/>
      <c r="QTB402" s="120"/>
      <c r="QTC402" s="120"/>
      <c r="QTD402" s="120"/>
      <c r="QTE402" s="120"/>
      <c r="QTF402" s="120"/>
      <c r="QTG402" s="121"/>
      <c r="QTH402" s="119"/>
      <c r="QTI402" s="120"/>
      <c r="QTJ402" s="120"/>
      <c r="QTK402" s="120"/>
      <c r="QTL402" s="120"/>
      <c r="QTM402" s="120"/>
      <c r="QTN402" s="121"/>
      <c r="QTO402" s="119"/>
      <c r="QTP402" s="120"/>
      <c r="QTQ402" s="120"/>
      <c r="QTR402" s="120"/>
      <c r="QTS402" s="120"/>
      <c r="QTT402" s="120"/>
      <c r="QTU402" s="121"/>
      <c r="QTV402" s="119"/>
      <c r="QTW402" s="120"/>
      <c r="QTX402" s="120"/>
      <c r="QTY402" s="120"/>
      <c r="QTZ402" s="120"/>
      <c r="QUA402" s="120"/>
      <c r="QUB402" s="121"/>
      <c r="QUC402" s="119"/>
      <c r="QUD402" s="120"/>
      <c r="QUE402" s="120"/>
      <c r="QUF402" s="120"/>
      <c r="QUG402" s="120"/>
      <c r="QUH402" s="120"/>
      <c r="QUI402" s="121"/>
      <c r="QUJ402" s="119"/>
      <c r="QUK402" s="120"/>
      <c r="QUL402" s="120"/>
      <c r="QUM402" s="120"/>
      <c r="QUN402" s="120"/>
      <c r="QUO402" s="120"/>
      <c r="QUP402" s="121"/>
      <c r="QUQ402" s="119"/>
      <c r="QUR402" s="120"/>
      <c r="QUS402" s="120"/>
      <c r="QUT402" s="120"/>
      <c r="QUU402" s="120"/>
      <c r="QUV402" s="120"/>
      <c r="QUW402" s="121"/>
      <c r="QUX402" s="119"/>
      <c r="QUY402" s="120"/>
      <c r="QUZ402" s="120"/>
      <c r="QVA402" s="120"/>
      <c r="QVB402" s="120"/>
      <c r="QVC402" s="120"/>
      <c r="QVD402" s="121"/>
      <c r="QVE402" s="119"/>
      <c r="QVF402" s="120"/>
      <c r="QVG402" s="120"/>
      <c r="QVH402" s="120"/>
      <c r="QVI402" s="120"/>
      <c r="QVJ402" s="120"/>
      <c r="QVK402" s="121"/>
      <c r="QVL402" s="119"/>
      <c r="QVM402" s="120"/>
      <c r="QVN402" s="120"/>
      <c r="QVO402" s="120"/>
      <c r="QVP402" s="120"/>
      <c r="QVQ402" s="120"/>
      <c r="QVR402" s="121"/>
      <c r="QVS402" s="119"/>
      <c r="QVT402" s="120"/>
      <c r="QVU402" s="120"/>
      <c r="QVV402" s="120"/>
      <c r="QVW402" s="120"/>
      <c r="QVX402" s="120"/>
      <c r="QVY402" s="121"/>
      <c r="QVZ402" s="119"/>
      <c r="QWA402" s="120"/>
      <c r="QWB402" s="120"/>
      <c r="QWC402" s="120"/>
      <c r="QWD402" s="120"/>
      <c r="QWE402" s="120"/>
      <c r="QWF402" s="121"/>
      <c r="QWG402" s="119"/>
      <c r="QWH402" s="120"/>
      <c r="QWI402" s="120"/>
      <c r="QWJ402" s="120"/>
      <c r="QWK402" s="120"/>
      <c r="QWL402" s="120"/>
      <c r="QWM402" s="121"/>
      <c r="QWN402" s="119"/>
      <c r="QWO402" s="120"/>
      <c r="QWP402" s="120"/>
      <c r="QWQ402" s="120"/>
      <c r="QWR402" s="120"/>
      <c r="QWS402" s="120"/>
      <c r="QWT402" s="121"/>
      <c r="QWU402" s="119"/>
      <c r="QWV402" s="120"/>
      <c r="QWW402" s="120"/>
      <c r="QWX402" s="120"/>
      <c r="QWY402" s="120"/>
      <c r="QWZ402" s="120"/>
      <c r="QXA402" s="121"/>
      <c r="QXB402" s="119"/>
      <c r="QXC402" s="120"/>
      <c r="QXD402" s="120"/>
      <c r="QXE402" s="120"/>
      <c r="QXF402" s="120"/>
      <c r="QXG402" s="120"/>
      <c r="QXH402" s="121"/>
      <c r="QXI402" s="119"/>
      <c r="QXJ402" s="120"/>
      <c r="QXK402" s="120"/>
      <c r="QXL402" s="120"/>
      <c r="QXM402" s="120"/>
      <c r="QXN402" s="120"/>
      <c r="QXO402" s="121"/>
      <c r="QXP402" s="119"/>
      <c r="QXQ402" s="120"/>
      <c r="QXR402" s="120"/>
      <c r="QXS402" s="120"/>
      <c r="QXT402" s="120"/>
      <c r="QXU402" s="120"/>
      <c r="QXV402" s="121"/>
      <c r="QXW402" s="119"/>
      <c r="QXX402" s="120"/>
      <c r="QXY402" s="120"/>
      <c r="QXZ402" s="120"/>
      <c r="QYA402" s="120"/>
      <c r="QYB402" s="120"/>
      <c r="QYC402" s="121"/>
      <c r="QYD402" s="119"/>
      <c r="QYE402" s="120"/>
      <c r="QYF402" s="120"/>
      <c r="QYG402" s="120"/>
      <c r="QYH402" s="120"/>
      <c r="QYI402" s="120"/>
      <c r="QYJ402" s="121"/>
      <c r="QYK402" s="119"/>
      <c r="QYL402" s="120"/>
      <c r="QYM402" s="120"/>
      <c r="QYN402" s="120"/>
      <c r="QYO402" s="120"/>
      <c r="QYP402" s="120"/>
      <c r="QYQ402" s="121"/>
      <c r="QYR402" s="119"/>
      <c r="QYS402" s="120"/>
      <c r="QYT402" s="120"/>
      <c r="QYU402" s="120"/>
      <c r="QYV402" s="120"/>
      <c r="QYW402" s="120"/>
      <c r="QYX402" s="121"/>
      <c r="QYY402" s="119"/>
      <c r="QYZ402" s="120"/>
      <c r="QZA402" s="120"/>
      <c r="QZB402" s="120"/>
      <c r="QZC402" s="120"/>
      <c r="QZD402" s="120"/>
      <c r="QZE402" s="121"/>
      <c r="QZF402" s="119"/>
      <c r="QZG402" s="120"/>
      <c r="QZH402" s="120"/>
      <c r="QZI402" s="120"/>
      <c r="QZJ402" s="120"/>
      <c r="QZK402" s="120"/>
      <c r="QZL402" s="121"/>
      <c r="QZM402" s="119"/>
      <c r="QZN402" s="120"/>
      <c r="QZO402" s="120"/>
      <c r="QZP402" s="120"/>
      <c r="QZQ402" s="120"/>
      <c r="QZR402" s="120"/>
      <c r="QZS402" s="121"/>
      <c r="QZT402" s="119"/>
      <c r="QZU402" s="120"/>
      <c r="QZV402" s="120"/>
      <c r="QZW402" s="120"/>
      <c r="QZX402" s="120"/>
      <c r="QZY402" s="120"/>
      <c r="QZZ402" s="121"/>
      <c r="RAA402" s="119"/>
      <c r="RAB402" s="120"/>
      <c r="RAC402" s="120"/>
      <c r="RAD402" s="120"/>
      <c r="RAE402" s="120"/>
      <c r="RAF402" s="120"/>
      <c r="RAG402" s="121"/>
      <c r="RAH402" s="119"/>
      <c r="RAI402" s="120"/>
      <c r="RAJ402" s="120"/>
      <c r="RAK402" s="120"/>
      <c r="RAL402" s="120"/>
      <c r="RAM402" s="120"/>
      <c r="RAN402" s="121"/>
      <c r="RAO402" s="119"/>
      <c r="RAP402" s="120"/>
      <c r="RAQ402" s="120"/>
      <c r="RAR402" s="120"/>
      <c r="RAS402" s="120"/>
      <c r="RAT402" s="120"/>
      <c r="RAU402" s="121"/>
      <c r="RAV402" s="119"/>
      <c r="RAW402" s="120"/>
      <c r="RAX402" s="120"/>
      <c r="RAY402" s="120"/>
      <c r="RAZ402" s="120"/>
      <c r="RBA402" s="120"/>
      <c r="RBB402" s="121"/>
      <c r="RBC402" s="119"/>
      <c r="RBD402" s="120"/>
      <c r="RBE402" s="120"/>
      <c r="RBF402" s="120"/>
      <c r="RBG402" s="120"/>
      <c r="RBH402" s="120"/>
      <c r="RBI402" s="121"/>
      <c r="RBJ402" s="119"/>
      <c r="RBK402" s="120"/>
      <c r="RBL402" s="120"/>
      <c r="RBM402" s="120"/>
      <c r="RBN402" s="120"/>
      <c r="RBO402" s="120"/>
      <c r="RBP402" s="121"/>
      <c r="RBQ402" s="119"/>
      <c r="RBR402" s="120"/>
      <c r="RBS402" s="120"/>
      <c r="RBT402" s="120"/>
      <c r="RBU402" s="120"/>
      <c r="RBV402" s="120"/>
      <c r="RBW402" s="121"/>
      <c r="RBX402" s="119"/>
      <c r="RBY402" s="120"/>
      <c r="RBZ402" s="120"/>
      <c r="RCA402" s="120"/>
      <c r="RCB402" s="120"/>
      <c r="RCC402" s="120"/>
      <c r="RCD402" s="121"/>
      <c r="RCE402" s="119"/>
      <c r="RCF402" s="120"/>
      <c r="RCG402" s="120"/>
      <c r="RCH402" s="120"/>
      <c r="RCI402" s="120"/>
      <c r="RCJ402" s="120"/>
      <c r="RCK402" s="121"/>
      <c r="RCL402" s="119"/>
      <c r="RCM402" s="120"/>
      <c r="RCN402" s="120"/>
      <c r="RCO402" s="120"/>
      <c r="RCP402" s="120"/>
      <c r="RCQ402" s="120"/>
      <c r="RCR402" s="121"/>
      <c r="RCS402" s="119"/>
      <c r="RCT402" s="120"/>
      <c r="RCU402" s="120"/>
      <c r="RCV402" s="120"/>
      <c r="RCW402" s="120"/>
      <c r="RCX402" s="120"/>
      <c r="RCY402" s="121"/>
      <c r="RCZ402" s="119"/>
      <c r="RDA402" s="120"/>
      <c r="RDB402" s="120"/>
      <c r="RDC402" s="120"/>
      <c r="RDD402" s="120"/>
      <c r="RDE402" s="120"/>
      <c r="RDF402" s="121"/>
      <c r="RDG402" s="119"/>
      <c r="RDH402" s="120"/>
      <c r="RDI402" s="120"/>
      <c r="RDJ402" s="120"/>
      <c r="RDK402" s="120"/>
      <c r="RDL402" s="120"/>
      <c r="RDM402" s="121"/>
      <c r="RDN402" s="119"/>
      <c r="RDO402" s="120"/>
      <c r="RDP402" s="120"/>
      <c r="RDQ402" s="120"/>
      <c r="RDR402" s="120"/>
      <c r="RDS402" s="120"/>
      <c r="RDT402" s="121"/>
      <c r="RDU402" s="119"/>
      <c r="RDV402" s="120"/>
      <c r="RDW402" s="120"/>
      <c r="RDX402" s="120"/>
      <c r="RDY402" s="120"/>
      <c r="RDZ402" s="120"/>
      <c r="REA402" s="121"/>
      <c r="REB402" s="119"/>
      <c r="REC402" s="120"/>
      <c r="RED402" s="120"/>
      <c r="REE402" s="120"/>
      <c r="REF402" s="120"/>
      <c r="REG402" s="120"/>
      <c r="REH402" s="121"/>
      <c r="REI402" s="119"/>
      <c r="REJ402" s="120"/>
      <c r="REK402" s="120"/>
      <c r="REL402" s="120"/>
      <c r="REM402" s="120"/>
      <c r="REN402" s="120"/>
      <c r="REO402" s="121"/>
      <c r="REP402" s="119"/>
      <c r="REQ402" s="120"/>
      <c r="RER402" s="120"/>
      <c r="RES402" s="120"/>
      <c r="RET402" s="120"/>
      <c r="REU402" s="120"/>
      <c r="REV402" s="121"/>
      <c r="REW402" s="119"/>
      <c r="REX402" s="120"/>
      <c r="REY402" s="120"/>
      <c r="REZ402" s="120"/>
      <c r="RFA402" s="120"/>
      <c r="RFB402" s="120"/>
      <c r="RFC402" s="121"/>
      <c r="RFD402" s="119"/>
      <c r="RFE402" s="120"/>
      <c r="RFF402" s="120"/>
      <c r="RFG402" s="120"/>
      <c r="RFH402" s="120"/>
      <c r="RFI402" s="120"/>
      <c r="RFJ402" s="121"/>
      <c r="RFK402" s="119"/>
      <c r="RFL402" s="120"/>
      <c r="RFM402" s="120"/>
      <c r="RFN402" s="120"/>
      <c r="RFO402" s="120"/>
      <c r="RFP402" s="120"/>
      <c r="RFQ402" s="121"/>
      <c r="RFR402" s="119"/>
      <c r="RFS402" s="120"/>
      <c r="RFT402" s="120"/>
      <c r="RFU402" s="120"/>
      <c r="RFV402" s="120"/>
      <c r="RFW402" s="120"/>
      <c r="RFX402" s="121"/>
      <c r="RFY402" s="119"/>
      <c r="RFZ402" s="120"/>
      <c r="RGA402" s="120"/>
      <c r="RGB402" s="120"/>
      <c r="RGC402" s="120"/>
      <c r="RGD402" s="120"/>
      <c r="RGE402" s="121"/>
      <c r="RGF402" s="119"/>
      <c r="RGG402" s="120"/>
      <c r="RGH402" s="120"/>
      <c r="RGI402" s="120"/>
      <c r="RGJ402" s="120"/>
      <c r="RGK402" s="120"/>
      <c r="RGL402" s="121"/>
      <c r="RGM402" s="119"/>
      <c r="RGN402" s="120"/>
      <c r="RGO402" s="120"/>
      <c r="RGP402" s="120"/>
      <c r="RGQ402" s="120"/>
      <c r="RGR402" s="120"/>
      <c r="RGS402" s="121"/>
      <c r="RGT402" s="119"/>
      <c r="RGU402" s="120"/>
      <c r="RGV402" s="120"/>
      <c r="RGW402" s="120"/>
      <c r="RGX402" s="120"/>
      <c r="RGY402" s="120"/>
      <c r="RGZ402" s="121"/>
      <c r="RHA402" s="119"/>
      <c r="RHB402" s="120"/>
      <c r="RHC402" s="120"/>
      <c r="RHD402" s="120"/>
      <c r="RHE402" s="120"/>
      <c r="RHF402" s="120"/>
      <c r="RHG402" s="121"/>
      <c r="RHH402" s="119"/>
      <c r="RHI402" s="120"/>
      <c r="RHJ402" s="120"/>
      <c r="RHK402" s="120"/>
      <c r="RHL402" s="120"/>
      <c r="RHM402" s="120"/>
      <c r="RHN402" s="121"/>
      <c r="RHO402" s="119"/>
      <c r="RHP402" s="120"/>
      <c r="RHQ402" s="120"/>
      <c r="RHR402" s="120"/>
      <c r="RHS402" s="120"/>
      <c r="RHT402" s="120"/>
      <c r="RHU402" s="121"/>
      <c r="RHV402" s="119"/>
      <c r="RHW402" s="120"/>
      <c r="RHX402" s="120"/>
      <c r="RHY402" s="120"/>
      <c r="RHZ402" s="120"/>
      <c r="RIA402" s="120"/>
      <c r="RIB402" s="121"/>
      <c r="RIC402" s="119"/>
      <c r="RID402" s="120"/>
      <c r="RIE402" s="120"/>
      <c r="RIF402" s="120"/>
      <c r="RIG402" s="120"/>
      <c r="RIH402" s="120"/>
      <c r="RII402" s="121"/>
      <c r="RIJ402" s="119"/>
      <c r="RIK402" s="120"/>
      <c r="RIL402" s="120"/>
      <c r="RIM402" s="120"/>
      <c r="RIN402" s="120"/>
      <c r="RIO402" s="120"/>
      <c r="RIP402" s="121"/>
      <c r="RIQ402" s="119"/>
      <c r="RIR402" s="120"/>
      <c r="RIS402" s="120"/>
      <c r="RIT402" s="120"/>
      <c r="RIU402" s="120"/>
      <c r="RIV402" s="120"/>
      <c r="RIW402" s="121"/>
      <c r="RIX402" s="119"/>
      <c r="RIY402" s="120"/>
      <c r="RIZ402" s="120"/>
      <c r="RJA402" s="120"/>
      <c r="RJB402" s="120"/>
      <c r="RJC402" s="120"/>
      <c r="RJD402" s="121"/>
      <c r="RJE402" s="119"/>
      <c r="RJF402" s="120"/>
      <c r="RJG402" s="120"/>
      <c r="RJH402" s="120"/>
      <c r="RJI402" s="120"/>
      <c r="RJJ402" s="120"/>
      <c r="RJK402" s="121"/>
      <c r="RJL402" s="119"/>
      <c r="RJM402" s="120"/>
      <c r="RJN402" s="120"/>
      <c r="RJO402" s="120"/>
      <c r="RJP402" s="120"/>
      <c r="RJQ402" s="120"/>
      <c r="RJR402" s="121"/>
      <c r="RJS402" s="119"/>
      <c r="RJT402" s="120"/>
      <c r="RJU402" s="120"/>
      <c r="RJV402" s="120"/>
      <c r="RJW402" s="120"/>
      <c r="RJX402" s="120"/>
      <c r="RJY402" s="121"/>
      <c r="RJZ402" s="119"/>
      <c r="RKA402" s="120"/>
      <c r="RKB402" s="120"/>
      <c r="RKC402" s="120"/>
      <c r="RKD402" s="120"/>
      <c r="RKE402" s="120"/>
      <c r="RKF402" s="121"/>
      <c r="RKG402" s="119"/>
      <c r="RKH402" s="120"/>
      <c r="RKI402" s="120"/>
      <c r="RKJ402" s="120"/>
      <c r="RKK402" s="120"/>
      <c r="RKL402" s="120"/>
      <c r="RKM402" s="121"/>
      <c r="RKN402" s="119"/>
      <c r="RKO402" s="120"/>
      <c r="RKP402" s="120"/>
      <c r="RKQ402" s="120"/>
      <c r="RKR402" s="120"/>
      <c r="RKS402" s="120"/>
      <c r="RKT402" s="121"/>
      <c r="RKU402" s="119"/>
      <c r="RKV402" s="120"/>
      <c r="RKW402" s="120"/>
      <c r="RKX402" s="120"/>
      <c r="RKY402" s="120"/>
      <c r="RKZ402" s="120"/>
      <c r="RLA402" s="121"/>
      <c r="RLB402" s="119"/>
      <c r="RLC402" s="120"/>
      <c r="RLD402" s="120"/>
      <c r="RLE402" s="120"/>
      <c r="RLF402" s="120"/>
      <c r="RLG402" s="120"/>
      <c r="RLH402" s="121"/>
      <c r="RLI402" s="119"/>
      <c r="RLJ402" s="120"/>
      <c r="RLK402" s="120"/>
      <c r="RLL402" s="120"/>
      <c r="RLM402" s="120"/>
      <c r="RLN402" s="120"/>
      <c r="RLO402" s="121"/>
      <c r="RLP402" s="119"/>
      <c r="RLQ402" s="120"/>
      <c r="RLR402" s="120"/>
      <c r="RLS402" s="120"/>
      <c r="RLT402" s="120"/>
      <c r="RLU402" s="120"/>
      <c r="RLV402" s="121"/>
      <c r="RLW402" s="119"/>
      <c r="RLX402" s="120"/>
      <c r="RLY402" s="120"/>
      <c r="RLZ402" s="120"/>
      <c r="RMA402" s="120"/>
      <c r="RMB402" s="120"/>
      <c r="RMC402" s="121"/>
      <c r="RMD402" s="119"/>
      <c r="RME402" s="120"/>
      <c r="RMF402" s="120"/>
      <c r="RMG402" s="120"/>
      <c r="RMH402" s="120"/>
      <c r="RMI402" s="120"/>
      <c r="RMJ402" s="121"/>
      <c r="RMK402" s="119"/>
      <c r="RML402" s="120"/>
      <c r="RMM402" s="120"/>
      <c r="RMN402" s="120"/>
      <c r="RMO402" s="120"/>
      <c r="RMP402" s="120"/>
      <c r="RMQ402" s="121"/>
      <c r="RMR402" s="119"/>
      <c r="RMS402" s="120"/>
      <c r="RMT402" s="120"/>
      <c r="RMU402" s="120"/>
      <c r="RMV402" s="120"/>
      <c r="RMW402" s="120"/>
      <c r="RMX402" s="121"/>
      <c r="RMY402" s="119"/>
      <c r="RMZ402" s="120"/>
      <c r="RNA402" s="120"/>
      <c r="RNB402" s="120"/>
      <c r="RNC402" s="120"/>
      <c r="RND402" s="120"/>
      <c r="RNE402" s="121"/>
      <c r="RNF402" s="119"/>
      <c r="RNG402" s="120"/>
      <c r="RNH402" s="120"/>
      <c r="RNI402" s="120"/>
      <c r="RNJ402" s="120"/>
      <c r="RNK402" s="120"/>
      <c r="RNL402" s="121"/>
      <c r="RNM402" s="119"/>
      <c r="RNN402" s="120"/>
      <c r="RNO402" s="120"/>
      <c r="RNP402" s="120"/>
      <c r="RNQ402" s="120"/>
      <c r="RNR402" s="120"/>
      <c r="RNS402" s="121"/>
      <c r="RNT402" s="119"/>
      <c r="RNU402" s="120"/>
      <c r="RNV402" s="120"/>
      <c r="RNW402" s="120"/>
      <c r="RNX402" s="120"/>
      <c r="RNY402" s="120"/>
      <c r="RNZ402" s="121"/>
      <c r="ROA402" s="119"/>
      <c r="ROB402" s="120"/>
      <c r="ROC402" s="120"/>
      <c r="ROD402" s="120"/>
      <c r="ROE402" s="120"/>
      <c r="ROF402" s="120"/>
      <c r="ROG402" s="121"/>
      <c r="ROH402" s="119"/>
      <c r="ROI402" s="120"/>
      <c r="ROJ402" s="120"/>
      <c r="ROK402" s="120"/>
      <c r="ROL402" s="120"/>
      <c r="ROM402" s="120"/>
      <c r="RON402" s="121"/>
      <c r="ROO402" s="119"/>
      <c r="ROP402" s="120"/>
      <c r="ROQ402" s="120"/>
      <c r="ROR402" s="120"/>
      <c r="ROS402" s="120"/>
      <c r="ROT402" s="120"/>
      <c r="ROU402" s="121"/>
      <c r="ROV402" s="119"/>
      <c r="ROW402" s="120"/>
      <c r="ROX402" s="120"/>
      <c r="ROY402" s="120"/>
      <c r="ROZ402" s="120"/>
      <c r="RPA402" s="120"/>
      <c r="RPB402" s="121"/>
      <c r="RPC402" s="119"/>
      <c r="RPD402" s="120"/>
      <c r="RPE402" s="120"/>
      <c r="RPF402" s="120"/>
      <c r="RPG402" s="120"/>
      <c r="RPH402" s="120"/>
      <c r="RPI402" s="121"/>
      <c r="RPJ402" s="119"/>
      <c r="RPK402" s="120"/>
      <c r="RPL402" s="120"/>
      <c r="RPM402" s="120"/>
      <c r="RPN402" s="120"/>
      <c r="RPO402" s="120"/>
      <c r="RPP402" s="121"/>
      <c r="RPQ402" s="119"/>
      <c r="RPR402" s="120"/>
      <c r="RPS402" s="120"/>
      <c r="RPT402" s="120"/>
      <c r="RPU402" s="120"/>
      <c r="RPV402" s="120"/>
      <c r="RPW402" s="121"/>
      <c r="RPX402" s="119"/>
      <c r="RPY402" s="120"/>
      <c r="RPZ402" s="120"/>
      <c r="RQA402" s="120"/>
      <c r="RQB402" s="120"/>
      <c r="RQC402" s="120"/>
      <c r="RQD402" s="121"/>
      <c r="RQE402" s="119"/>
      <c r="RQF402" s="120"/>
      <c r="RQG402" s="120"/>
      <c r="RQH402" s="120"/>
      <c r="RQI402" s="120"/>
      <c r="RQJ402" s="120"/>
      <c r="RQK402" s="121"/>
      <c r="RQL402" s="119"/>
      <c r="RQM402" s="120"/>
      <c r="RQN402" s="120"/>
      <c r="RQO402" s="120"/>
      <c r="RQP402" s="120"/>
      <c r="RQQ402" s="120"/>
      <c r="RQR402" s="121"/>
      <c r="RQS402" s="119"/>
      <c r="RQT402" s="120"/>
      <c r="RQU402" s="120"/>
      <c r="RQV402" s="120"/>
      <c r="RQW402" s="120"/>
      <c r="RQX402" s="120"/>
      <c r="RQY402" s="121"/>
      <c r="RQZ402" s="119"/>
      <c r="RRA402" s="120"/>
      <c r="RRB402" s="120"/>
      <c r="RRC402" s="120"/>
      <c r="RRD402" s="120"/>
      <c r="RRE402" s="120"/>
      <c r="RRF402" s="121"/>
      <c r="RRG402" s="119"/>
      <c r="RRH402" s="120"/>
      <c r="RRI402" s="120"/>
      <c r="RRJ402" s="120"/>
      <c r="RRK402" s="120"/>
      <c r="RRL402" s="120"/>
      <c r="RRM402" s="121"/>
      <c r="RRN402" s="119"/>
      <c r="RRO402" s="120"/>
      <c r="RRP402" s="120"/>
      <c r="RRQ402" s="120"/>
      <c r="RRR402" s="120"/>
      <c r="RRS402" s="120"/>
      <c r="RRT402" s="121"/>
      <c r="RRU402" s="119"/>
      <c r="RRV402" s="120"/>
      <c r="RRW402" s="120"/>
      <c r="RRX402" s="120"/>
      <c r="RRY402" s="120"/>
      <c r="RRZ402" s="120"/>
      <c r="RSA402" s="121"/>
      <c r="RSB402" s="119"/>
      <c r="RSC402" s="120"/>
      <c r="RSD402" s="120"/>
      <c r="RSE402" s="120"/>
      <c r="RSF402" s="120"/>
      <c r="RSG402" s="120"/>
      <c r="RSH402" s="121"/>
      <c r="RSI402" s="119"/>
      <c r="RSJ402" s="120"/>
      <c r="RSK402" s="120"/>
      <c r="RSL402" s="120"/>
      <c r="RSM402" s="120"/>
      <c r="RSN402" s="120"/>
      <c r="RSO402" s="121"/>
      <c r="RSP402" s="119"/>
      <c r="RSQ402" s="120"/>
      <c r="RSR402" s="120"/>
      <c r="RSS402" s="120"/>
      <c r="RST402" s="120"/>
      <c r="RSU402" s="120"/>
      <c r="RSV402" s="121"/>
      <c r="RSW402" s="119"/>
      <c r="RSX402" s="120"/>
      <c r="RSY402" s="120"/>
      <c r="RSZ402" s="120"/>
      <c r="RTA402" s="120"/>
      <c r="RTB402" s="120"/>
      <c r="RTC402" s="121"/>
      <c r="RTD402" s="119"/>
      <c r="RTE402" s="120"/>
      <c r="RTF402" s="120"/>
      <c r="RTG402" s="120"/>
      <c r="RTH402" s="120"/>
      <c r="RTI402" s="120"/>
      <c r="RTJ402" s="121"/>
      <c r="RTK402" s="119"/>
      <c r="RTL402" s="120"/>
      <c r="RTM402" s="120"/>
      <c r="RTN402" s="120"/>
      <c r="RTO402" s="120"/>
      <c r="RTP402" s="120"/>
      <c r="RTQ402" s="121"/>
      <c r="RTR402" s="119"/>
      <c r="RTS402" s="120"/>
      <c r="RTT402" s="120"/>
      <c r="RTU402" s="120"/>
      <c r="RTV402" s="120"/>
      <c r="RTW402" s="120"/>
      <c r="RTX402" s="121"/>
      <c r="RTY402" s="119"/>
      <c r="RTZ402" s="120"/>
      <c r="RUA402" s="120"/>
      <c r="RUB402" s="120"/>
      <c r="RUC402" s="120"/>
      <c r="RUD402" s="120"/>
      <c r="RUE402" s="121"/>
      <c r="RUF402" s="119"/>
      <c r="RUG402" s="120"/>
      <c r="RUH402" s="120"/>
      <c r="RUI402" s="120"/>
      <c r="RUJ402" s="120"/>
      <c r="RUK402" s="120"/>
      <c r="RUL402" s="121"/>
      <c r="RUM402" s="119"/>
      <c r="RUN402" s="120"/>
      <c r="RUO402" s="120"/>
      <c r="RUP402" s="120"/>
      <c r="RUQ402" s="120"/>
      <c r="RUR402" s="120"/>
      <c r="RUS402" s="121"/>
      <c r="RUT402" s="119"/>
      <c r="RUU402" s="120"/>
      <c r="RUV402" s="120"/>
      <c r="RUW402" s="120"/>
      <c r="RUX402" s="120"/>
      <c r="RUY402" s="120"/>
      <c r="RUZ402" s="121"/>
      <c r="RVA402" s="119"/>
      <c r="RVB402" s="120"/>
      <c r="RVC402" s="120"/>
      <c r="RVD402" s="120"/>
      <c r="RVE402" s="120"/>
      <c r="RVF402" s="120"/>
      <c r="RVG402" s="121"/>
      <c r="RVH402" s="119"/>
      <c r="RVI402" s="120"/>
      <c r="RVJ402" s="120"/>
      <c r="RVK402" s="120"/>
      <c r="RVL402" s="120"/>
      <c r="RVM402" s="120"/>
      <c r="RVN402" s="121"/>
      <c r="RVO402" s="119"/>
      <c r="RVP402" s="120"/>
      <c r="RVQ402" s="120"/>
      <c r="RVR402" s="120"/>
      <c r="RVS402" s="120"/>
      <c r="RVT402" s="120"/>
      <c r="RVU402" s="121"/>
      <c r="RVV402" s="119"/>
      <c r="RVW402" s="120"/>
      <c r="RVX402" s="120"/>
      <c r="RVY402" s="120"/>
      <c r="RVZ402" s="120"/>
      <c r="RWA402" s="120"/>
      <c r="RWB402" s="121"/>
      <c r="RWC402" s="119"/>
      <c r="RWD402" s="120"/>
      <c r="RWE402" s="120"/>
      <c r="RWF402" s="120"/>
      <c r="RWG402" s="120"/>
      <c r="RWH402" s="120"/>
      <c r="RWI402" s="121"/>
      <c r="RWJ402" s="119"/>
      <c r="RWK402" s="120"/>
      <c r="RWL402" s="120"/>
      <c r="RWM402" s="120"/>
      <c r="RWN402" s="120"/>
      <c r="RWO402" s="120"/>
      <c r="RWP402" s="121"/>
      <c r="RWQ402" s="119"/>
      <c r="RWR402" s="120"/>
      <c r="RWS402" s="120"/>
      <c r="RWT402" s="120"/>
      <c r="RWU402" s="120"/>
      <c r="RWV402" s="120"/>
      <c r="RWW402" s="121"/>
      <c r="RWX402" s="119"/>
      <c r="RWY402" s="120"/>
      <c r="RWZ402" s="120"/>
      <c r="RXA402" s="120"/>
      <c r="RXB402" s="120"/>
      <c r="RXC402" s="120"/>
      <c r="RXD402" s="121"/>
      <c r="RXE402" s="119"/>
      <c r="RXF402" s="120"/>
      <c r="RXG402" s="120"/>
      <c r="RXH402" s="120"/>
      <c r="RXI402" s="120"/>
      <c r="RXJ402" s="120"/>
      <c r="RXK402" s="121"/>
      <c r="RXL402" s="119"/>
      <c r="RXM402" s="120"/>
      <c r="RXN402" s="120"/>
      <c r="RXO402" s="120"/>
      <c r="RXP402" s="120"/>
      <c r="RXQ402" s="120"/>
      <c r="RXR402" s="121"/>
      <c r="RXS402" s="119"/>
      <c r="RXT402" s="120"/>
      <c r="RXU402" s="120"/>
      <c r="RXV402" s="120"/>
      <c r="RXW402" s="120"/>
      <c r="RXX402" s="120"/>
      <c r="RXY402" s="121"/>
      <c r="RXZ402" s="119"/>
      <c r="RYA402" s="120"/>
      <c r="RYB402" s="120"/>
      <c r="RYC402" s="120"/>
      <c r="RYD402" s="120"/>
      <c r="RYE402" s="120"/>
      <c r="RYF402" s="121"/>
      <c r="RYG402" s="119"/>
      <c r="RYH402" s="120"/>
      <c r="RYI402" s="120"/>
      <c r="RYJ402" s="120"/>
      <c r="RYK402" s="120"/>
      <c r="RYL402" s="120"/>
      <c r="RYM402" s="121"/>
      <c r="RYN402" s="119"/>
      <c r="RYO402" s="120"/>
      <c r="RYP402" s="120"/>
      <c r="RYQ402" s="120"/>
      <c r="RYR402" s="120"/>
      <c r="RYS402" s="120"/>
      <c r="RYT402" s="121"/>
      <c r="RYU402" s="119"/>
      <c r="RYV402" s="120"/>
      <c r="RYW402" s="120"/>
      <c r="RYX402" s="120"/>
      <c r="RYY402" s="120"/>
      <c r="RYZ402" s="120"/>
      <c r="RZA402" s="121"/>
      <c r="RZB402" s="119"/>
      <c r="RZC402" s="120"/>
      <c r="RZD402" s="120"/>
      <c r="RZE402" s="120"/>
      <c r="RZF402" s="120"/>
      <c r="RZG402" s="120"/>
      <c r="RZH402" s="121"/>
      <c r="RZI402" s="119"/>
      <c r="RZJ402" s="120"/>
      <c r="RZK402" s="120"/>
      <c r="RZL402" s="120"/>
      <c r="RZM402" s="120"/>
      <c r="RZN402" s="120"/>
      <c r="RZO402" s="121"/>
      <c r="RZP402" s="119"/>
      <c r="RZQ402" s="120"/>
      <c r="RZR402" s="120"/>
      <c r="RZS402" s="120"/>
      <c r="RZT402" s="120"/>
      <c r="RZU402" s="120"/>
      <c r="RZV402" s="121"/>
      <c r="RZW402" s="119"/>
      <c r="RZX402" s="120"/>
      <c r="RZY402" s="120"/>
      <c r="RZZ402" s="120"/>
      <c r="SAA402" s="120"/>
      <c r="SAB402" s="120"/>
      <c r="SAC402" s="121"/>
      <c r="SAD402" s="119"/>
      <c r="SAE402" s="120"/>
      <c r="SAF402" s="120"/>
      <c r="SAG402" s="120"/>
      <c r="SAH402" s="120"/>
      <c r="SAI402" s="120"/>
      <c r="SAJ402" s="121"/>
      <c r="SAK402" s="119"/>
      <c r="SAL402" s="120"/>
      <c r="SAM402" s="120"/>
      <c r="SAN402" s="120"/>
      <c r="SAO402" s="120"/>
      <c r="SAP402" s="120"/>
      <c r="SAQ402" s="121"/>
      <c r="SAR402" s="119"/>
      <c r="SAS402" s="120"/>
      <c r="SAT402" s="120"/>
      <c r="SAU402" s="120"/>
      <c r="SAV402" s="120"/>
      <c r="SAW402" s="120"/>
      <c r="SAX402" s="121"/>
      <c r="SAY402" s="119"/>
      <c r="SAZ402" s="120"/>
      <c r="SBA402" s="120"/>
      <c r="SBB402" s="120"/>
      <c r="SBC402" s="120"/>
      <c r="SBD402" s="120"/>
      <c r="SBE402" s="121"/>
      <c r="SBF402" s="119"/>
      <c r="SBG402" s="120"/>
      <c r="SBH402" s="120"/>
      <c r="SBI402" s="120"/>
      <c r="SBJ402" s="120"/>
      <c r="SBK402" s="120"/>
      <c r="SBL402" s="121"/>
      <c r="SBM402" s="119"/>
      <c r="SBN402" s="120"/>
      <c r="SBO402" s="120"/>
      <c r="SBP402" s="120"/>
      <c r="SBQ402" s="120"/>
      <c r="SBR402" s="120"/>
      <c r="SBS402" s="121"/>
      <c r="SBT402" s="119"/>
      <c r="SBU402" s="120"/>
      <c r="SBV402" s="120"/>
      <c r="SBW402" s="120"/>
      <c r="SBX402" s="120"/>
      <c r="SBY402" s="120"/>
      <c r="SBZ402" s="121"/>
      <c r="SCA402" s="119"/>
      <c r="SCB402" s="120"/>
      <c r="SCC402" s="120"/>
      <c r="SCD402" s="120"/>
      <c r="SCE402" s="120"/>
      <c r="SCF402" s="120"/>
      <c r="SCG402" s="121"/>
      <c r="SCH402" s="119"/>
      <c r="SCI402" s="120"/>
      <c r="SCJ402" s="120"/>
      <c r="SCK402" s="120"/>
      <c r="SCL402" s="120"/>
      <c r="SCM402" s="120"/>
      <c r="SCN402" s="121"/>
      <c r="SCO402" s="119"/>
      <c r="SCP402" s="120"/>
      <c r="SCQ402" s="120"/>
      <c r="SCR402" s="120"/>
      <c r="SCS402" s="120"/>
      <c r="SCT402" s="120"/>
      <c r="SCU402" s="121"/>
      <c r="SCV402" s="119"/>
      <c r="SCW402" s="120"/>
      <c r="SCX402" s="120"/>
      <c r="SCY402" s="120"/>
      <c r="SCZ402" s="120"/>
      <c r="SDA402" s="120"/>
      <c r="SDB402" s="121"/>
      <c r="SDC402" s="119"/>
      <c r="SDD402" s="120"/>
      <c r="SDE402" s="120"/>
      <c r="SDF402" s="120"/>
      <c r="SDG402" s="120"/>
      <c r="SDH402" s="120"/>
      <c r="SDI402" s="121"/>
      <c r="SDJ402" s="119"/>
      <c r="SDK402" s="120"/>
      <c r="SDL402" s="120"/>
      <c r="SDM402" s="120"/>
      <c r="SDN402" s="120"/>
      <c r="SDO402" s="120"/>
      <c r="SDP402" s="121"/>
      <c r="SDQ402" s="119"/>
      <c r="SDR402" s="120"/>
      <c r="SDS402" s="120"/>
      <c r="SDT402" s="120"/>
      <c r="SDU402" s="120"/>
      <c r="SDV402" s="120"/>
      <c r="SDW402" s="121"/>
      <c r="SDX402" s="119"/>
      <c r="SDY402" s="120"/>
      <c r="SDZ402" s="120"/>
      <c r="SEA402" s="120"/>
      <c r="SEB402" s="120"/>
      <c r="SEC402" s="120"/>
      <c r="SED402" s="121"/>
      <c r="SEE402" s="119"/>
      <c r="SEF402" s="120"/>
      <c r="SEG402" s="120"/>
      <c r="SEH402" s="120"/>
      <c r="SEI402" s="120"/>
      <c r="SEJ402" s="120"/>
      <c r="SEK402" s="121"/>
      <c r="SEL402" s="119"/>
      <c r="SEM402" s="120"/>
      <c r="SEN402" s="120"/>
      <c r="SEO402" s="120"/>
      <c r="SEP402" s="120"/>
      <c r="SEQ402" s="120"/>
      <c r="SER402" s="121"/>
      <c r="SES402" s="119"/>
      <c r="SET402" s="120"/>
      <c r="SEU402" s="120"/>
      <c r="SEV402" s="120"/>
      <c r="SEW402" s="120"/>
      <c r="SEX402" s="120"/>
      <c r="SEY402" s="121"/>
      <c r="SEZ402" s="119"/>
      <c r="SFA402" s="120"/>
      <c r="SFB402" s="120"/>
      <c r="SFC402" s="120"/>
      <c r="SFD402" s="120"/>
      <c r="SFE402" s="120"/>
      <c r="SFF402" s="121"/>
      <c r="SFG402" s="119"/>
      <c r="SFH402" s="120"/>
      <c r="SFI402" s="120"/>
      <c r="SFJ402" s="120"/>
      <c r="SFK402" s="120"/>
      <c r="SFL402" s="120"/>
      <c r="SFM402" s="121"/>
      <c r="SFN402" s="119"/>
      <c r="SFO402" s="120"/>
      <c r="SFP402" s="120"/>
      <c r="SFQ402" s="120"/>
      <c r="SFR402" s="120"/>
      <c r="SFS402" s="120"/>
      <c r="SFT402" s="121"/>
      <c r="SFU402" s="119"/>
      <c r="SFV402" s="120"/>
      <c r="SFW402" s="120"/>
      <c r="SFX402" s="120"/>
      <c r="SFY402" s="120"/>
      <c r="SFZ402" s="120"/>
      <c r="SGA402" s="121"/>
      <c r="SGB402" s="119"/>
      <c r="SGC402" s="120"/>
      <c r="SGD402" s="120"/>
      <c r="SGE402" s="120"/>
      <c r="SGF402" s="120"/>
      <c r="SGG402" s="120"/>
      <c r="SGH402" s="121"/>
      <c r="SGI402" s="119"/>
      <c r="SGJ402" s="120"/>
      <c r="SGK402" s="120"/>
      <c r="SGL402" s="120"/>
      <c r="SGM402" s="120"/>
      <c r="SGN402" s="120"/>
      <c r="SGO402" s="121"/>
      <c r="SGP402" s="119"/>
      <c r="SGQ402" s="120"/>
      <c r="SGR402" s="120"/>
      <c r="SGS402" s="120"/>
      <c r="SGT402" s="120"/>
      <c r="SGU402" s="120"/>
      <c r="SGV402" s="121"/>
      <c r="SGW402" s="119"/>
      <c r="SGX402" s="120"/>
      <c r="SGY402" s="120"/>
      <c r="SGZ402" s="120"/>
      <c r="SHA402" s="120"/>
      <c r="SHB402" s="120"/>
      <c r="SHC402" s="121"/>
      <c r="SHD402" s="119"/>
      <c r="SHE402" s="120"/>
      <c r="SHF402" s="120"/>
      <c r="SHG402" s="120"/>
      <c r="SHH402" s="120"/>
      <c r="SHI402" s="120"/>
      <c r="SHJ402" s="121"/>
      <c r="SHK402" s="119"/>
      <c r="SHL402" s="120"/>
      <c r="SHM402" s="120"/>
      <c r="SHN402" s="120"/>
      <c r="SHO402" s="120"/>
      <c r="SHP402" s="120"/>
      <c r="SHQ402" s="121"/>
      <c r="SHR402" s="119"/>
      <c r="SHS402" s="120"/>
      <c r="SHT402" s="120"/>
      <c r="SHU402" s="120"/>
      <c r="SHV402" s="120"/>
      <c r="SHW402" s="120"/>
      <c r="SHX402" s="121"/>
      <c r="SHY402" s="119"/>
      <c r="SHZ402" s="120"/>
      <c r="SIA402" s="120"/>
      <c r="SIB402" s="120"/>
      <c r="SIC402" s="120"/>
      <c r="SID402" s="120"/>
      <c r="SIE402" s="121"/>
      <c r="SIF402" s="119"/>
      <c r="SIG402" s="120"/>
      <c r="SIH402" s="120"/>
      <c r="SII402" s="120"/>
      <c r="SIJ402" s="120"/>
      <c r="SIK402" s="120"/>
      <c r="SIL402" s="121"/>
      <c r="SIM402" s="119"/>
      <c r="SIN402" s="120"/>
      <c r="SIO402" s="120"/>
      <c r="SIP402" s="120"/>
      <c r="SIQ402" s="120"/>
      <c r="SIR402" s="120"/>
      <c r="SIS402" s="121"/>
      <c r="SIT402" s="119"/>
      <c r="SIU402" s="120"/>
      <c r="SIV402" s="120"/>
      <c r="SIW402" s="120"/>
      <c r="SIX402" s="120"/>
      <c r="SIY402" s="120"/>
      <c r="SIZ402" s="121"/>
      <c r="SJA402" s="119"/>
      <c r="SJB402" s="120"/>
      <c r="SJC402" s="120"/>
      <c r="SJD402" s="120"/>
      <c r="SJE402" s="120"/>
      <c r="SJF402" s="120"/>
      <c r="SJG402" s="121"/>
      <c r="SJH402" s="119"/>
      <c r="SJI402" s="120"/>
      <c r="SJJ402" s="120"/>
      <c r="SJK402" s="120"/>
      <c r="SJL402" s="120"/>
      <c r="SJM402" s="120"/>
      <c r="SJN402" s="121"/>
      <c r="SJO402" s="119"/>
      <c r="SJP402" s="120"/>
      <c r="SJQ402" s="120"/>
      <c r="SJR402" s="120"/>
      <c r="SJS402" s="120"/>
      <c r="SJT402" s="120"/>
      <c r="SJU402" s="121"/>
      <c r="SJV402" s="119"/>
      <c r="SJW402" s="120"/>
      <c r="SJX402" s="120"/>
      <c r="SJY402" s="120"/>
      <c r="SJZ402" s="120"/>
      <c r="SKA402" s="120"/>
      <c r="SKB402" s="121"/>
      <c r="SKC402" s="119"/>
      <c r="SKD402" s="120"/>
      <c r="SKE402" s="120"/>
      <c r="SKF402" s="120"/>
      <c r="SKG402" s="120"/>
      <c r="SKH402" s="120"/>
      <c r="SKI402" s="121"/>
      <c r="SKJ402" s="119"/>
      <c r="SKK402" s="120"/>
      <c r="SKL402" s="120"/>
      <c r="SKM402" s="120"/>
      <c r="SKN402" s="120"/>
      <c r="SKO402" s="120"/>
      <c r="SKP402" s="121"/>
      <c r="SKQ402" s="119"/>
      <c r="SKR402" s="120"/>
      <c r="SKS402" s="120"/>
      <c r="SKT402" s="120"/>
      <c r="SKU402" s="120"/>
      <c r="SKV402" s="120"/>
      <c r="SKW402" s="121"/>
      <c r="SKX402" s="119"/>
      <c r="SKY402" s="120"/>
      <c r="SKZ402" s="120"/>
      <c r="SLA402" s="120"/>
      <c r="SLB402" s="120"/>
      <c r="SLC402" s="120"/>
      <c r="SLD402" s="121"/>
      <c r="SLE402" s="119"/>
      <c r="SLF402" s="120"/>
      <c r="SLG402" s="120"/>
      <c r="SLH402" s="120"/>
      <c r="SLI402" s="120"/>
      <c r="SLJ402" s="120"/>
      <c r="SLK402" s="121"/>
      <c r="SLL402" s="119"/>
      <c r="SLM402" s="120"/>
      <c r="SLN402" s="120"/>
      <c r="SLO402" s="120"/>
      <c r="SLP402" s="120"/>
      <c r="SLQ402" s="120"/>
      <c r="SLR402" s="121"/>
      <c r="SLS402" s="119"/>
      <c r="SLT402" s="120"/>
      <c r="SLU402" s="120"/>
      <c r="SLV402" s="120"/>
      <c r="SLW402" s="120"/>
      <c r="SLX402" s="120"/>
      <c r="SLY402" s="121"/>
      <c r="SLZ402" s="119"/>
      <c r="SMA402" s="120"/>
      <c r="SMB402" s="120"/>
      <c r="SMC402" s="120"/>
      <c r="SMD402" s="120"/>
      <c r="SME402" s="120"/>
      <c r="SMF402" s="121"/>
      <c r="SMG402" s="119"/>
      <c r="SMH402" s="120"/>
      <c r="SMI402" s="120"/>
      <c r="SMJ402" s="120"/>
      <c r="SMK402" s="120"/>
      <c r="SML402" s="120"/>
      <c r="SMM402" s="121"/>
      <c r="SMN402" s="119"/>
      <c r="SMO402" s="120"/>
      <c r="SMP402" s="120"/>
      <c r="SMQ402" s="120"/>
      <c r="SMR402" s="120"/>
      <c r="SMS402" s="120"/>
      <c r="SMT402" s="121"/>
      <c r="SMU402" s="119"/>
      <c r="SMV402" s="120"/>
      <c r="SMW402" s="120"/>
      <c r="SMX402" s="120"/>
      <c r="SMY402" s="120"/>
      <c r="SMZ402" s="120"/>
      <c r="SNA402" s="121"/>
      <c r="SNB402" s="119"/>
      <c r="SNC402" s="120"/>
      <c r="SND402" s="120"/>
      <c r="SNE402" s="120"/>
      <c r="SNF402" s="120"/>
      <c r="SNG402" s="120"/>
      <c r="SNH402" s="121"/>
      <c r="SNI402" s="119"/>
      <c r="SNJ402" s="120"/>
      <c r="SNK402" s="120"/>
      <c r="SNL402" s="120"/>
      <c r="SNM402" s="120"/>
      <c r="SNN402" s="120"/>
      <c r="SNO402" s="121"/>
      <c r="SNP402" s="119"/>
      <c r="SNQ402" s="120"/>
      <c r="SNR402" s="120"/>
      <c r="SNS402" s="120"/>
      <c r="SNT402" s="120"/>
      <c r="SNU402" s="120"/>
      <c r="SNV402" s="121"/>
      <c r="SNW402" s="119"/>
      <c r="SNX402" s="120"/>
      <c r="SNY402" s="120"/>
      <c r="SNZ402" s="120"/>
      <c r="SOA402" s="120"/>
      <c r="SOB402" s="120"/>
      <c r="SOC402" s="121"/>
      <c r="SOD402" s="119"/>
      <c r="SOE402" s="120"/>
      <c r="SOF402" s="120"/>
      <c r="SOG402" s="120"/>
      <c r="SOH402" s="120"/>
      <c r="SOI402" s="120"/>
      <c r="SOJ402" s="121"/>
      <c r="SOK402" s="119"/>
      <c r="SOL402" s="120"/>
      <c r="SOM402" s="120"/>
      <c r="SON402" s="120"/>
      <c r="SOO402" s="120"/>
      <c r="SOP402" s="120"/>
      <c r="SOQ402" s="121"/>
      <c r="SOR402" s="119"/>
      <c r="SOS402" s="120"/>
      <c r="SOT402" s="120"/>
      <c r="SOU402" s="120"/>
      <c r="SOV402" s="120"/>
      <c r="SOW402" s="120"/>
      <c r="SOX402" s="121"/>
      <c r="SOY402" s="119"/>
      <c r="SOZ402" s="120"/>
      <c r="SPA402" s="120"/>
      <c r="SPB402" s="120"/>
      <c r="SPC402" s="120"/>
      <c r="SPD402" s="120"/>
      <c r="SPE402" s="121"/>
      <c r="SPF402" s="119"/>
      <c r="SPG402" s="120"/>
      <c r="SPH402" s="120"/>
      <c r="SPI402" s="120"/>
      <c r="SPJ402" s="120"/>
      <c r="SPK402" s="120"/>
      <c r="SPL402" s="121"/>
      <c r="SPM402" s="119"/>
      <c r="SPN402" s="120"/>
      <c r="SPO402" s="120"/>
      <c r="SPP402" s="120"/>
      <c r="SPQ402" s="120"/>
      <c r="SPR402" s="120"/>
      <c r="SPS402" s="121"/>
      <c r="SPT402" s="119"/>
      <c r="SPU402" s="120"/>
      <c r="SPV402" s="120"/>
      <c r="SPW402" s="120"/>
      <c r="SPX402" s="120"/>
      <c r="SPY402" s="120"/>
      <c r="SPZ402" s="121"/>
      <c r="SQA402" s="119"/>
      <c r="SQB402" s="120"/>
      <c r="SQC402" s="120"/>
      <c r="SQD402" s="120"/>
      <c r="SQE402" s="120"/>
      <c r="SQF402" s="120"/>
      <c r="SQG402" s="121"/>
      <c r="SQH402" s="119"/>
      <c r="SQI402" s="120"/>
      <c r="SQJ402" s="120"/>
      <c r="SQK402" s="120"/>
      <c r="SQL402" s="120"/>
      <c r="SQM402" s="120"/>
      <c r="SQN402" s="121"/>
      <c r="SQO402" s="119"/>
      <c r="SQP402" s="120"/>
      <c r="SQQ402" s="120"/>
      <c r="SQR402" s="120"/>
      <c r="SQS402" s="120"/>
      <c r="SQT402" s="120"/>
      <c r="SQU402" s="121"/>
      <c r="SQV402" s="119"/>
      <c r="SQW402" s="120"/>
      <c r="SQX402" s="120"/>
      <c r="SQY402" s="120"/>
      <c r="SQZ402" s="120"/>
      <c r="SRA402" s="120"/>
      <c r="SRB402" s="121"/>
      <c r="SRC402" s="119"/>
      <c r="SRD402" s="120"/>
      <c r="SRE402" s="120"/>
      <c r="SRF402" s="120"/>
      <c r="SRG402" s="120"/>
      <c r="SRH402" s="120"/>
      <c r="SRI402" s="121"/>
      <c r="SRJ402" s="119"/>
      <c r="SRK402" s="120"/>
      <c r="SRL402" s="120"/>
      <c r="SRM402" s="120"/>
      <c r="SRN402" s="120"/>
      <c r="SRO402" s="120"/>
      <c r="SRP402" s="121"/>
      <c r="SRQ402" s="119"/>
      <c r="SRR402" s="120"/>
      <c r="SRS402" s="120"/>
      <c r="SRT402" s="120"/>
      <c r="SRU402" s="120"/>
      <c r="SRV402" s="120"/>
      <c r="SRW402" s="121"/>
      <c r="SRX402" s="119"/>
      <c r="SRY402" s="120"/>
      <c r="SRZ402" s="120"/>
      <c r="SSA402" s="120"/>
      <c r="SSB402" s="120"/>
      <c r="SSC402" s="120"/>
      <c r="SSD402" s="121"/>
      <c r="SSE402" s="119"/>
      <c r="SSF402" s="120"/>
      <c r="SSG402" s="120"/>
      <c r="SSH402" s="120"/>
      <c r="SSI402" s="120"/>
      <c r="SSJ402" s="120"/>
      <c r="SSK402" s="121"/>
      <c r="SSL402" s="119"/>
      <c r="SSM402" s="120"/>
      <c r="SSN402" s="120"/>
      <c r="SSO402" s="120"/>
      <c r="SSP402" s="120"/>
      <c r="SSQ402" s="120"/>
      <c r="SSR402" s="121"/>
      <c r="SSS402" s="119"/>
      <c r="SST402" s="120"/>
      <c r="SSU402" s="120"/>
      <c r="SSV402" s="120"/>
      <c r="SSW402" s="120"/>
      <c r="SSX402" s="120"/>
      <c r="SSY402" s="121"/>
      <c r="SSZ402" s="119"/>
      <c r="STA402" s="120"/>
      <c r="STB402" s="120"/>
      <c r="STC402" s="120"/>
      <c r="STD402" s="120"/>
      <c r="STE402" s="120"/>
      <c r="STF402" s="121"/>
      <c r="STG402" s="119"/>
      <c r="STH402" s="120"/>
      <c r="STI402" s="120"/>
      <c r="STJ402" s="120"/>
      <c r="STK402" s="120"/>
      <c r="STL402" s="120"/>
      <c r="STM402" s="121"/>
      <c r="STN402" s="119"/>
      <c r="STO402" s="120"/>
      <c r="STP402" s="120"/>
      <c r="STQ402" s="120"/>
      <c r="STR402" s="120"/>
      <c r="STS402" s="120"/>
      <c r="STT402" s="121"/>
      <c r="STU402" s="119"/>
      <c r="STV402" s="120"/>
      <c r="STW402" s="120"/>
      <c r="STX402" s="120"/>
      <c r="STY402" s="120"/>
      <c r="STZ402" s="120"/>
      <c r="SUA402" s="121"/>
      <c r="SUB402" s="119"/>
      <c r="SUC402" s="120"/>
      <c r="SUD402" s="120"/>
      <c r="SUE402" s="120"/>
      <c r="SUF402" s="120"/>
      <c r="SUG402" s="120"/>
      <c r="SUH402" s="121"/>
      <c r="SUI402" s="119"/>
      <c r="SUJ402" s="120"/>
      <c r="SUK402" s="120"/>
      <c r="SUL402" s="120"/>
      <c r="SUM402" s="120"/>
      <c r="SUN402" s="120"/>
      <c r="SUO402" s="121"/>
      <c r="SUP402" s="119"/>
      <c r="SUQ402" s="120"/>
      <c r="SUR402" s="120"/>
      <c r="SUS402" s="120"/>
      <c r="SUT402" s="120"/>
      <c r="SUU402" s="120"/>
      <c r="SUV402" s="121"/>
      <c r="SUW402" s="119"/>
      <c r="SUX402" s="120"/>
      <c r="SUY402" s="120"/>
      <c r="SUZ402" s="120"/>
      <c r="SVA402" s="120"/>
      <c r="SVB402" s="120"/>
      <c r="SVC402" s="121"/>
      <c r="SVD402" s="119"/>
      <c r="SVE402" s="120"/>
      <c r="SVF402" s="120"/>
      <c r="SVG402" s="120"/>
      <c r="SVH402" s="120"/>
      <c r="SVI402" s="120"/>
      <c r="SVJ402" s="121"/>
      <c r="SVK402" s="119"/>
      <c r="SVL402" s="120"/>
      <c r="SVM402" s="120"/>
      <c r="SVN402" s="120"/>
      <c r="SVO402" s="120"/>
      <c r="SVP402" s="120"/>
      <c r="SVQ402" s="121"/>
      <c r="SVR402" s="119"/>
      <c r="SVS402" s="120"/>
      <c r="SVT402" s="120"/>
      <c r="SVU402" s="120"/>
      <c r="SVV402" s="120"/>
      <c r="SVW402" s="120"/>
      <c r="SVX402" s="121"/>
      <c r="SVY402" s="119"/>
      <c r="SVZ402" s="120"/>
      <c r="SWA402" s="120"/>
      <c r="SWB402" s="120"/>
      <c r="SWC402" s="120"/>
      <c r="SWD402" s="120"/>
      <c r="SWE402" s="121"/>
      <c r="SWF402" s="119"/>
      <c r="SWG402" s="120"/>
      <c r="SWH402" s="120"/>
      <c r="SWI402" s="120"/>
      <c r="SWJ402" s="120"/>
      <c r="SWK402" s="120"/>
      <c r="SWL402" s="121"/>
      <c r="SWM402" s="119"/>
      <c r="SWN402" s="120"/>
      <c r="SWO402" s="120"/>
      <c r="SWP402" s="120"/>
      <c r="SWQ402" s="120"/>
      <c r="SWR402" s="120"/>
      <c r="SWS402" s="121"/>
      <c r="SWT402" s="119"/>
      <c r="SWU402" s="120"/>
      <c r="SWV402" s="120"/>
      <c r="SWW402" s="120"/>
      <c r="SWX402" s="120"/>
      <c r="SWY402" s="120"/>
      <c r="SWZ402" s="121"/>
      <c r="SXA402" s="119"/>
      <c r="SXB402" s="120"/>
      <c r="SXC402" s="120"/>
      <c r="SXD402" s="120"/>
      <c r="SXE402" s="120"/>
      <c r="SXF402" s="120"/>
      <c r="SXG402" s="121"/>
      <c r="SXH402" s="119"/>
      <c r="SXI402" s="120"/>
      <c r="SXJ402" s="120"/>
      <c r="SXK402" s="120"/>
      <c r="SXL402" s="120"/>
      <c r="SXM402" s="120"/>
      <c r="SXN402" s="121"/>
      <c r="SXO402" s="119"/>
      <c r="SXP402" s="120"/>
      <c r="SXQ402" s="120"/>
      <c r="SXR402" s="120"/>
      <c r="SXS402" s="120"/>
      <c r="SXT402" s="120"/>
      <c r="SXU402" s="121"/>
      <c r="SXV402" s="119"/>
      <c r="SXW402" s="120"/>
      <c r="SXX402" s="120"/>
      <c r="SXY402" s="120"/>
      <c r="SXZ402" s="120"/>
      <c r="SYA402" s="120"/>
      <c r="SYB402" s="121"/>
      <c r="SYC402" s="119"/>
      <c r="SYD402" s="120"/>
      <c r="SYE402" s="120"/>
      <c r="SYF402" s="120"/>
      <c r="SYG402" s="120"/>
      <c r="SYH402" s="120"/>
      <c r="SYI402" s="121"/>
      <c r="SYJ402" s="119"/>
      <c r="SYK402" s="120"/>
      <c r="SYL402" s="120"/>
      <c r="SYM402" s="120"/>
      <c r="SYN402" s="120"/>
      <c r="SYO402" s="120"/>
      <c r="SYP402" s="121"/>
      <c r="SYQ402" s="119"/>
      <c r="SYR402" s="120"/>
      <c r="SYS402" s="120"/>
      <c r="SYT402" s="120"/>
      <c r="SYU402" s="120"/>
      <c r="SYV402" s="120"/>
      <c r="SYW402" s="121"/>
      <c r="SYX402" s="119"/>
      <c r="SYY402" s="120"/>
      <c r="SYZ402" s="120"/>
      <c r="SZA402" s="120"/>
      <c r="SZB402" s="120"/>
      <c r="SZC402" s="120"/>
      <c r="SZD402" s="121"/>
      <c r="SZE402" s="119"/>
      <c r="SZF402" s="120"/>
      <c r="SZG402" s="120"/>
      <c r="SZH402" s="120"/>
      <c r="SZI402" s="120"/>
      <c r="SZJ402" s="120"/>
      <c r="SZK402" s="121"/>
      <c r="SZL402" s="119"/>
      <c r="SZM402" s="120"/>
      <c r="SZN402" s="120"/>
      <c r="SZO402" s="120"/>
      <c r="SZP402" s="120"/>
      <c r="SZQ402" s="120"/>
      <c r="SZR402" s="121"/>
      <c r="SZS402" s="119"/>
      <c r="SZT402" s="120"/>
      <c r="SZU402" s="120"/>
      <c r="SZV402" s="120"/>
      <c r="SZW402" s="120"/>
      <c r="SZX402" s="120"/>
      <c r="SZY402" s="121"/>
      <c r="SZZ402" s="119"/>
      <c r="TAA402" s="120"/>
      <c r="TAB402" s="120"/>
      <c r="TAC402" s="120"/>
      <c r="TAD402" s="120"/>
      <c r="TAE402" s="120"/>
      <c r="TAF402" s="121"/>
      <c r="TAG402" s="119"/>
      <c r="TAH402" s="120"/>
      <c r="TAI402" s="120"/>
      <c r="TAJ402" s="120"/>
      <c r="TAK402" s="120"/>
      <c r="TAL402" s="120"/>
      <c r="TAM402" s="121"/>
      <c r="TAN402" s="119"/>
      <c r="TAO402" s="120"/>
      <c r="TAP402" s="120"/>
      <c r="TAQ402" s="120"/>
      <c r="TAR402" s="120"/>
      <c r="TAS402" s="120"/>
      <c r="TAT402" s="121"/>
      <c r="TAU402" s="119"/>
      <c r="TAV402" s="120"/>
      <c r="TAW402" s="120"/>
      <c r="TAX402" s="120"/>
      <c r="TAY402" s="120"/>
      <c r="TAZ402" s="120"/>
      <c r="TBA402" s="121"/>
      <c r="TBB402" s="119"/>
      <c r="TBC402" s="120"/>
      <c r="TBD402" s="120"/>
      <c r="TBE402" s="120"/>
      <c r="TBF402" s="120"/>
      <c r="TBG402" s="120"/>
      <c r="TBH402" s="121"/>
      <c r="TBI402" s="119"/>
      <c r="TBJ402" s="120"/>
      <c r="TBK402" s="120"/>
      <c r="TBL402" s="120"/>
      <c r="TBM402" s="120"/>
      <c r="TBN402" s="120"/>
      <c r="TBO402" s="121"/>
      <c r="TBP402" s="119"/>
      <c r="TBQ402" s="120"/>
      <c r="TBR402" s="120"/>
      <c r="TBS402" s="120"/>
      <c r="TBT402" s="120"/>
      <c r="TBU402" s="120"/>
      <c r="TBV402" s="121"/>
      <c r="TBW402" s="119"/>
      <c r="TBX402" s="120"/>
      <c r="TBY402" s="120"/>
      <c r="TBZ402" s="120"/>
      <c r="TCA402" s="120"/>
      <c r="TCB402" s="120"/>
      <c r="TCC402" s="121"/>
      <c r="TCD402" s="119"/>
      <c r="TCE402" s="120"/>
      <c r="TCF402" s="120"/>
      <c r="TCG402" s="120"/>
      <c r="TCH402" s="120"/>
      <c r="TCI402" s="120"/>
      <c r="TCJ402" s="121"/>
      <c r="TCK402" s="119"/>
      <c r="TCL402" s="120"/>
      <c r="TCM402" s="120"/>
      <c r="TCN402" s="120"/>
      <c r="TCO402" s="120"/>
      <c r="TCP402" s="120"/>
      <c r="TCQ402" s="121"/>
      <c r="TCR402" s="119"/>
      <c r="TCS402" s="120"/>
      <c r="TCT402" s="120"/>
      <c r="TCU402" s="120"/>
      <c r="TCV402" s="120"/>
      <c r="TCW402" s="120"/>
      <c r="TCX402" s="121"/>
      <c r="TCY402" s="119"/>
      <c r="TCZ402" s="120"/>
      <c r="TDA402" s="120"/>
      <c r="TDB402" s="120"/>
      <c r="TDC402" s="120"/>
      <c r="TDD402" s="120"/>
      <c r="TDE402" s="121"/>
      <c r="TDF402" s="119"/>
      <c r="TDG402" s="120"/>
      <c r="TDH402" s="120"/>
      <c r="TDI402" s="120"/>
      <c r="TDJ402" s="120"/>
      <c r="TDK402" s="120"/>
      <c r="TDL402" s="121"/>
      <c r="TDM402" s="119"/>
      <c r="TDN402" s="120"/>
      <c r="TDO402" s="120"/>
      <c r="TDP402" s="120"/>
      <c r="TDQ402" s="120"/>
      <c r="TDR402" s="120"/>
      <c r="TDS402" s="121"/>
      <c r="TDT402" s="119"/>
      <c r="TDU402" s="120"/>
      <c r="TDV402" s="120"/>
      <c r="TDW402" s="120"/>
      <c r="TDX402" s="120"/>
      <c r="TDY402" s="120"/>
      <c r="TDZ402" s="121"/>
      <c r="TEA402" s="119"/>
      <c r="TEB402" s="120"/>
      <c r="TEC402" s="120"/>
      <c r="TED402" s="120"/>
      <c r="TEE402" s="120"/>
      <c r="TEF402" s="120"/>
      <c r="TEG402" s="121"/>
      <c r="TEH402" s="119"/>
      <c r="TEI402" s="120"/>
      <c r="TEJ402" s="120"/>
      <c r="TEK402" s="120"/>
      <c r="TEL402" s="120"/>
      <c r="TEM402" s="120"/>
      <c r="TEN402" s="121"/>
      <c r="TEO402" s="119"/>
      <c r="TEP402" s="120"/>
      <c r="TEQ402" s="120"/>
      <c r="TER402" s="120"/>
      <c r="TES402" s="120"/>
      <c r="TET402" s="120"/>
      <c r="TEU402" s="121"/>
      <c r="TEV402" s="119"/>
      <c r="TEW402" s="120"/>
      <c r="TEX402" s="120"/>
      <c r="TEY402" s="120"/>
      <c r="TEZ402" s="120"/>
      <c r="TFA402" s="120"/>
      <c r="TFB402" s="121"/>
      <c r="TFC402" s="119"/>
      <c r="TFD402" s="120"/>
      <c r="TFE402" s="120"/>
      <c r="TFF402" s="120"/>
      <c r="TFG402" s="120"/>
      <c r="TFH402" s="120"/>
      <c r="TFI402" s="121"/>
      <c r="TFJ402" s="119"/>
      <c r="TFK402" s="120"/>
      <c r="TFL402" s="120"/>
      <c r="TFM402" s="120"/>
      <c r="TFN402" s="120"/>
      <c r="TFO402" s="120"/>
      <c r="TFP402" s="121"/>
      <c r="TFQ402" s="119"/>
      <c r="TFR402" s="120"/>
      <c r="TFS402" s="120"/>
      <c r="TFT402" s="120"/>
      <c r="TFU402" s="120"/>
      <c r="TFV402" s="120"/>
      <c r="TFW402" s="121"/>
      <c r="TFX402" s="119"/>
      <c r="TFY402" s="120"/>
      <c r="TFZ402" s="120"/>
      <c r="TGA402" s="120"/>
      <c r="TGB402" s="120"/>
      <c r="TGC402" s="120"/>
      <c r="TGD402" s="121"/>
      <c r="TGE402" s="119"/>
      <c r="TGF402" s="120"/>
      <c r="TGG402" s="120"/>
      <c r="TGH402" s="120"/>
      <c r="TGI402" s="120"/>
      <c r="TGJ402" s="120"/>
      <c r="TGK402" s="121"/>
      <c r="TGL402" s="119"/>
      <c r="TGM402" s="120"/>
      <c r="TGN402" s="120"/>
      <c r="TGO402" s="120"/>
      <c r="TGP402" s="120"/>
      <c r="TGQ402" s="120"/>
      <c r="TGR402" s="121"/>
      <c r="TGS402" s="119"/>
      <c r="TGT402" s="120"/>
      <c r="TGU402" s="120"/>
      <c r="TGV402" s="120"/>
      <c r="TGW402" s="120"/>
      <c r="TGX402" s="120"/>
      <c r="TGY402" s="121"/>
      <c r="TGZ402" s="119"/>
      <c r="THA402" s="120"/>
      <c r="THB402" s="120"/>
      <c r="THC402" s="120"/>
      <c r="THD402" s="120"/>
      <c r="THE402" s="120"/>
      <c r="THF402" s="121"/>
      <c r="THG402" s="119"/>
      <c r="THH402" s="120"/>
      <c r="THI402" s="120"/>
      <c r="THJ402" s="120"/>
      <c r="THK402" s="120"/>
      <c r="THL402" s="120"/>
      <c r="THM402" s="121"/>
      <c r="THN402" s="119"/>
      <c r="THO402" s="120"/>
      <c r="THP402" s="120"/>
      <c r="THQ402" s="120"/>
      <c r="THR402" s="120"/>
      <c r="THS402" s="120"/>
      <c r="THT402" s="121"/>
      <c r="THU402" s="119"/>
      <c r="THV402" s="120"/>
      <c r="THW402" s="120"/>
      <c r="THX402" s="120"/>
      <c r="THY402" s="120"/>
      <c r="THZ402" s="120"/>
      <c r="TIA402" s="121"/>
      <c r="TIB402" s="119"/>
      <c r="TIC402" s="120"/>
      <c r="TID402" s="120"/>
      <c r="TIE402" s="120"/>
      <c r="TIF402" s="120"/>
      <c r="TIG402" s="120"/>
      <c r="TIH402" s="121"/>
      <c r="TII402" s="119"/>
      <c r="TIJ402" s="120"/>
      <c r="TIK402" s="120"/>
      <c r="TIL402" s="120"/>
      <c r="TIM402" s="120"/>
      <c r="TIN402" s="120"/>
      <c r="TIO402" s="121"/>
      <c r="TIP402" s="119"/>
      <c r="TIQ402" s="120"/>
      <c r="TIR402" s="120"/>
      <c r="TIS402" s="120"/>
      <c r="TIT402" s="120"/>
      <c r="TIU402" s="120"/>
      <c r="TIV402" s="121"/>
      <c r="TIW402" s="119"/>
      <c r="TIX402" s="120"/>
      <c r="TIY402" s="120"/>
      <c r="TIZ402" s="120"/>
      <c r="TJA402" s="120"/>
      <c r="TJB402" s="120"/>
      <c r="TJC402" s="121"/>
      <c r="TJD402" s="119"/>
      <c r="TJE402" s="120"/>
      <c r="TJF402" s="120"/>
      <c r="TJG402" s="120"/>
      <c r="TJH402" s="120"/>
      <c r="TJI402" s="120"/>
      <c r="TJJ402" s="121"/>
      <c r="TJK402" s="119"/>
      <c r="TJL402" s="120"/>
      <c r="TJM402" s="120"/>
      <c r="TJN402" s="120"/>
      <c r="TJO402" s="120"/>
      <c r="TJP402" s="120"/>
      <c r="TJQ402" s="121"/>
      <c r="TJR402" s="119"/>
      <c r="TJS402" s="120"/>
      <c r="TJT402" s="120"/>
      <c r="TJU402" s="120"/>
      <c r="TJV402" s="120"/>
      <c r="TJW402" s="120"/>
      <c r="TJX402" s="121"/>
      <c r="TJY402" s="119"/>
      <c r="TJZ402" s="120"/>
      <c r="TKA402" s="120"/>
      <c r="TKB402" s="120"/>
      <c r="TKC402" s="120"/>
      <c r="TKD402" s="120"/>
      <c r="TKE402" s="121"/>
      <c r="TKF402" s="119"/>
      <c r="TKG402" s="120"/>
      <c r="TKH402" s="120"/>
      <c r="TKI402" s="120"/>
      <c r="TKJ402" s="120"/>
      <c r="TKK402" s="120"/>
      <c r="TKL402" s="121"/>
      <c r="TKM402" s="119"/>
      <c r="TKN402" s="120"/>
      <c r="TKO402" s="120"/>
      <c r="TKP402" s="120"/>
      <c r="TKQ402" s="120"/>
      <c r="TKR402" s="120"/>
      <c r="TKS402" s="121"/>
      <c r="TKT402" s="119"/>
      <c r="TKU402" s="120"/>
      <c r="TKV402" s="120"/>
      <c r="TKW402" s="120"/>
      <c r="TKX402" s="120"/>
      <c r="TKY402" s="120"/>
      <c r="TKZ402" s="121"/>
      <c r="TLA402" s="119"/>
      <c r="TLB402" s="120"/>
      <c r="TLC402" s="120"/>
      <c r="TLD402" s="120"/>
      <c r="TLE402" s="120"/>
      <c r="TLF402" s="120"/>
      <c r="TLG402" s="121"/>
      <c r="TLH402" s="119"/>
      <c r="TLI402" s="120"/>
      <c r="TLJ402" s="120"/>
      <c r="TLK402" s="120"/>
      <c r="TLL402" s="120"/>
      <c r="TLM402" s="120"/>
      <c r="TLN402" s="121"/>
      <c r="TLO402" s="119"/>
      <c r="TLP402" s="120"/>
      <c r="TLQ402" s="120"/>
      <c r="TLR402" s="120"/>
      <c r="TLS402" s="120"/>
      <c r="TLT402" s="120"/>
      <c r="TLU402" s="121"/>
      <c r="TLV402" s="119"/>
      <c r="TLW402" s="120"/>
      <c r="TLX402" s="120"/>
      <c r="TLY402" s="120"/>
      <c r="TLZ402" s="120"/>
      <c r="TMA402" s="120"/>
      <c r="TMB402" s="121"/>
      <c r="TMC402" s="119"/>
      <c r="TMD402" s="120"/>
      <c r="TME402" s="120"/>
      <c r="TMF402" s="120"/>
      <c r="TMG402" s="120"/>
      <c r="TMH402" s="120"/>
      <c r="TMI402" s="121"/>
      <c r="TMJ402" s="119"/>
      <c r="TMK402" s="120"/>
      <c r="TML402" s="120"/>
      <c r="TMM402" s="120"/>
      <c r="TMN402" s="120"/>
      <c r="TMO402" s="120"/>
      <c r="TMP402" s="121"/>
      <c r="TMQ402" s="119"/>
      <c r="TMR402" s="120"/>
      <c r="TMS402" s="120"/>
      <c r="TMT402" s="120"/>
      <c r="TMU402" s="120"/>
      <c r="TMV402" s="120"/>
      <c r="TMW402" s="121"/>
      <c r="TMX402" s="119"/>
      <c r="TMY402" s="120"/>
      <c r="TMZ402" s="120"/>
      <c r="TNA402" s="120"/>
      <c r="TNB402" s="120"/>
      <c r="TNC402" s="120"/>
      <c r="TND402" s="121"/>
      <c r="TNE402" s="119"/>
      <c r="TNF402" s="120"/>
      <c r="TNG402" s="120"/>
      <c r="TNH402" s="120"/>
      <c r="TNI402" s="120"/>
      <c r="TNJ402" s="120"/>
      <c r="TNK402" s="121"/>
      <c r="TNL402" s="119"/>
      <c r="TNM402" s="120"/>
      <c r="TNN402" s="120"/>
      <c r="TNO402" s="120"/>
      <c r="TNP402" s="120"/>
      <c r="TNQ402" s="120"/>
      <c r="TNR402" s="121"/>
      <c r="TNS402" s="119"/>
      <c r="TNT402" s="120"/>
      <c r="TNU402" s="120"/>
      <c r="TNV402" s="120"/>
      <c r="TNW402" s="120"/>
      <c r="TNX402" s="120"/>
      <c r="TNY402" s="121"/>
      <c r="TNZ402" s="119"/>
      <c r="TOA402" s="120"/>
      <c r="TOB402" s="120"/>
      <c r="TOC402" s="120"/>
      <c r="TOD402" s="120"/>
      <c r="TOE402" s="120"/>
      <c r="TOF402" s="121"/>
      <c r="TOG402" s="119"/>
      <c r="TOH402" s="120"/>
      <c r="TOI402" s="120"/>
      <c r="TOJ402" s="120"/>
      <c r="TOK402" s="120"/>
      <c r="TOL402" s="120"/>
      <c r="TOM402" s="121"/>
      <c r="TON402" s="119"/>
      <c r="TOO402" s="120"/>
      <c r="TOP402" s="120"/>
      <c r="TOQ402" s="120"/>
      <c r="TOR402" s="120"/>
      <c r="TOS402" s="120"/>
      <c r="TOT402" s="121"/>
      <c r="TOU402" s="119"/>
      <c r="TOV402" s="120"/>
      <c r="TOW402" s="120"/>
      <c r="TOX402" s="120"/>
      <c r="TOY402" s="120"/>
      <c r="TOZ402" s="120"/>
      <c r="TPA402" s="121"/>
      <c r="TPB402" s="119"/>
      <c r="TPC402" s="120"/>
      <c r="TPD402" s="120"/>
      <c r="TPE402" s="120"/>
      <c r="TPF402" s="120"/>
      <c r="TPG402" s="120"/>
      <c r="TPH402" s="121"/>
      <c r="TPI402" s="119"/>
      <c r="TPJ402" s="120"/>
      <c r="TPK402" s="120"/>
      <c r="TPL402" s="120"/>
      <c r="TPM402" s="120"/>
      <c r="TPN402" s="120"/>
      <c r="TPO402" s="121"/>
      <c r="TPP402" s="119"/>
      <c r="TPQ402" s="120"/>
      <c r="TPR402" s="120"/>
      <c r="TPS402" s="120"/>
      <c r="TPT402" s="120"/>
      <c r="TPU402" s="120"/>
      <c r="TPV402" s="121"/>
      <c r="TPW402" s="119"/>
      <c r="TPX402" s="120"/>
      <c r="TPY402" s="120"/>
      <c r="TPZ402" s="120"/>
      <c r="TQA402" s="120"/>
      <c r="TQB402" s="120"/>
      <c r="TQC402" s="121"/>
      <c r="TQD402" s="119"/>
      <c r="TQE402" s="120"/>
      <c r="TQF402" s="120"/>
      <c r="TQG402" s="120"/>
      <c r="TQH402" s="120"/>
      <c r="TQI402" s="120"/>
      <c r="TQJ402" s="121"/>
      <c r="TQK402" s="119"/>
      <c r="TQL402" s="120"/>
      <c r="TQM402" s="120"/>
      <c r="TQN402" s="120"/>
      <c r="TQO402" s="120"/>
      <c r="TQP402" s="120"/>
      <c r="TQQ402" s="121"/>
      <c r="TQR402" s="119"/>
      <c r="TQS402" s="120"/>
      <c r="TQT402" s="120"/>
      <c r="TQU402" s="120"/>
      <c r="TQV402" s="120"/>
      <c r="TQW402" s="120"/>
      <c r="TQX402" s="121"/>
      <c r="TQY402" s="119"/>
      <c r="TQZ402" s="120"/>
      <c r="TRA402" s="120"/>
      <c r="TRB402" s="120"/>
      <c r="TRC402" s="120"/>
      <c r="TRD402" s="120"/>
      <c r="TRE402" s="121"/>
      <c r="TRF402" s="119"/>
      <c r="TRG402" s="120"/>
      <c r="TRH402" s="120"/>
      <c r="TRI402" s="120"/>
      <c r="TRJ402" s="120"/>
      <c r="TRK402" s="120"/>
      <c r="TRL402" s="121"/>
      <c r="TRM402" s="119"/>
      <c r="TRN402" s="120"/>
      <c r="TRO402" s="120"/>
      <c r="TRP402" s="120"/>
      <c r="TRQ402" s="120"/>
      <c r="TRR402" s="120"/>
      <c r="TRS402" s="121"/>
      <c r="TRT402" s="119"/>
      <c r="TRU402" s="120"/>
      <c r="TRV402" s="120"/>
      <c r="TRW402" s="120"/>
      <c r="TRX402" s="120"/>
      <c r="TRY402" s="120"/>
      <c r="TRZ402" s="121"/>
      <c r="TSA402" s="119"/>
      <c r="TSB402" s="120"/>
      <c r="TSC402" s="120"/>
      <c r="TSD402" s="120"/>
      <c r="TSE402" s="120"/>
      <c r="TSF402" s="120"/>
      <c r="TSG402" s="121"/>
      <c r="TSH402" s="119"/>
      <c r="TSI402" s="120"/>
      <c r="TSJ402" s="120"/>
      <c r="TSK402" s="120"/>
      <c r="TSL402" s="120"/>
      <c r="TSM402" s="120"/>
      <c r="TSN402" s="121"/>
      <c r="TSO402" s="119"/>
      <c r="TSP402" s="120"/>
      <c r="TSQ402" s="120"/>
      <c r="TSR402" s="120"/>
      <c r="TSS402" s="120"/>
      <c r="TST402" s="120"/>
      <c r="TSU402" s="121"/>
      <c r="TSV402" s="119"/>
      <c r="TSW402" s="120"/>
      <c r="TSX402" s="120"/>
      <c r="TSY402" s="120"/>
      <c r="TSZ402" s="120"/>
      <c r="TTA402" s="120"/>
      <c r="TTB402" s="121"/>
      <c r="TTC402" s="119"/>
      <c r="TTD402" s="120"/>
      <c r="TTE402" s="120"/>
      <c r="TTF402" s="120"/>
      <c r="TTG402" s="120"/>
      <c r="TTH402" s="120"/>
      <c r="TTI402" s="121"/>
      <c r="TTJ402" s="119"/>
      <c r="TTK402" s="120"/>
      <c r="TTL402" s="120"/>
      <c r="TTM402" s="120"/>
      <c r="TTN402" s="120"/>
      <c r="TTO402" s="120"/>
      <c r="TTP402" s="121"/>
      <c r="TTQ402" s="119"/>
      <c r="TTR402" s="120"/>
      <c r="TTS402" s="120"/>
      <c r="TTT402" s="120"/>
      <c r="TTU402" s="120"/>
      <c r="TTV402" s="120"/>
      <c r="TTW402" s="121"/>
      <c r="TTX402" s="119"/>
      <c r="TTY402" s="120"/>
      <c r="TTZ402" s="120"/>
      <c r="TUA402" s="120"/>
      <c r="TUB402" s="120"/>
      <c r="TUC402" s="120"/>
      <c r="TUD402" s="121"/>
      <c r="TUE402" s="119"/>
      <c r="TUF402" s="120"/>
      <c r="TUG402" s="120"/>
      <c r="TUH402" s="120"/>
      <c r="TUI402" s="120"/>
      <c r="TUJ402" s="120"/>
      <c r="TUK402" s="121"/>
      <c r="TUL402" s="119"/>
      <c r="TUM402" s="120"/>
      <c r="TUN402" s="120"/>
      <c r="TUO402" s="120"/>
      <c r="TUP402" s="120"/>
      <c r="TUQ402" s="120"/>
      <c r="TUR402" s="121"/>
      <c r="TUS402" s="119"/>
      <c r="TUT402" s="120"/>
      <c r="TUU402" s="120"/>
      <c r="TUV402" s="120"/>
      <c r="TUW402" s="120"/>
      <c r="TUX402" s="120"/>
      <c r="TUY402" s="121"/>
      <c r="TUZ402" s="119"/>
      <c r="TVA402" s="120"/>
      <c r="TVB402" s="120"/>
      <c r="TVC402" s="120"/>
      <c r="TVD402" s="120"/>
      <c r="TVE402" s="120"/>
      <c r="TVF402" s="121"/>
      <c r="TVG402" s="119"/>
      <c r="TVH402" s="120"/>
      <c r="TVI402" s="120"/>
      <c r="TVJ402" s="120"/>
      <c r="TVK402" s="120"/>
      <c r="TVL402" s="120"/>
      <c r="TVM402" s="121"/>
      <c r="TVN402" s="119"/>
      <c r="TVO402" s="120"/>
      <c r="TVP402" s="120"/>
      <c r="TVQ402" s="120"/>
      <c r="TVR402" s="120"/>
      <c r="TVS402" s="120"/>
      <c r="TVT402" s="121"/>
      <c r="TVU402" s="119"/>
      <c r="TVV402" s="120"/>
      <c r="TVW402" s="120"/>
      <c r="TVX402" s="120"/>
      <c r="TVY402" s="120"/>
      <c r="TVZ402" s="120"/>
      <c r="TWA402" s="121"/>
      <c r="TWB402" s="119"/>
      <c r="TWC402" s="120"/>
      <c r="TWD402" s="120"/>
      <c r="TWE402" s="120"/>
      <c r="TWF402" s="120"/>
      <c r="TWG402" s="120"/>
      <c r="TWH402" s="121"/>
      <c r="TWI402" s="119"/>
      <c r="TWJ402" s="120"/>
      <c r="TWK402" s="120"/>
      <c r="TWL402" s="120"/>
      <c r="TWM402" s="120"/>
      <c r="TWN402" s="120"/>
      <c r="TWO402" s="121"/>
      <c r="TWP402" s="119"/>
      <c r="TWQ402" s="120"/>
      <c r="TWR402" s="120"/>
      <c r="TWS402" s="120"/>
      <c r="TWT402" s="120"/>
      <c r="TWU402" s="120"/>
      <c r="TWV402" s="121"/>
      <c r="TWW402" s="119"/>
      <c r="TWX402" s="120"/>
      <c r="TWY402" s="120"/>
      <c r="TWZ402" s="120"/>
      <c r="TXA402" s="120"/>
      <c r="TXB402" s="120"/>
      <c r="TXC402" s="121"/>
      <c r="TXD402" s="119"/>
      <c r="TXE402" s="120"/>
      <c r="TXF402" s="120"/>
      <c r="TXG402" s="120"/>
      <c r="TXH402" s="120"/>
      <c r="TXI402" s="120"/>
      <c r="TXJ402" s="121"/>
      <c r="TXK402" s="119"/>
      <c r="TXL402" s="120"/>
      <c r="TXM402" s="120"/>
      <c r="TXN402" s="120"/>
      <c r="TXO402" s="120"/>
      <c r="TXP402" s="120"/>
      <c r="TXQ402" s="121"/>
      <c r="TXR402" s="119"/>
      <c r="TXS402" s="120"/>
      <c r="TXT402" s="120"/>
      <c r="TXU402" s="120"/>
      <c r="TXV402" s="120"/>
      <c r="TXW402" s="120"/>
      <c r="TXX402" s="121"/>
      <c r="TXY402" s="119"/>
      <c r="TXZ402" s="120"/>
      <c r="TYA402" s="120"/>
      <c r="TYB402" s="120"/>
      <c r="TYC402" s="120"/>
      <c r="TYD402" s="120"/>
      <c r="TYE402" s="121"/>
      <c r="TYF402" s="119"/>
      <c r="TYG402" s="120"/>
      <c r="TYH402" s="120"/>
      <c r="TYI402" s="120"/>
      <c r="TYJ402" s="120"/>
      <c r="TYK402" s="120"/>
      <c r="TYL402" s="121"/>
      <c r="TYM402" s="119"/>
      <c r="TYN402" s="120"/>
      <c r="TYO402" s="120"/>
      <c r="TYP402" s="120"/>
      <c r="TYQ402" s="120"/>
      <c r="TYR402" s="120"/>
      <c r="TYS402" s="121"/>
      <c r="TYT402" s="119"/>
      <c r="TYU402" s="120"/>
      <c r="TYV402" s="120"/>
      <c r="TYW402" s="120"/>
      <c r="TYX402" s="120"/>
      <c r="TYY402" s="120"/>
      <c r="TYZ402" s="121"/>
      <c r="TZA402" s="119"/>
      <c r="TZB402" s="120"/>
      <c r="TZC402" s="120"/>
      <c r="TZD402" s="120"/>
      <c r="TZE402" s="120"/>
      <c r="TZF402" s="120"/>
      <c r="TZG402" s="121"/>
      <c r="TZH402" s="119"/>
      <c r="TZI402" s="120"/>
      <c r="TZJ402" s="120"/>
      <c r="TZK402" s="120"/>
      <c r="TZL402" s="120"/>
      <c r="TZM402" s="120"/>
      <c r="TZN402" s="121"/>
      <c r="TZO402" s="119"/>
      <c r="TZP402" s="120"/>
      <c r="TZQ402" s="120"/>
      <c r="TZR402" s="120"/>
      <c r="TZS402" s="120"/>
      <c r="TZT402" s="120"/>
      <c r="TZU402" s="121"/>
      <c r="TZV402" s="119"/>
      <c r="TZW402" s="120"/>
      <c r="TZX402" s="120"/>
      <c r="TZY402" s="120"/>
      <c r="TZZ402" s="120"/>
      <c r="UAA402" s="120"/>
      <c r="UAB402" s="121"/>
      <c r="UAC402" s="119"/>
      <c r="UAD402" s="120"/>
      <c r="UAE402" s="120"/>
      <c r="UAF402" s="120"/>
      <c r="UAG402" s="120"/>
      <c r="UAH402" s="120"/>
      <c r="UAI402" s="121"/>
      <c r="UAJ402" s="119"/>
      <c r="UAK402" s="120"/>
      <c r="UAL402" s="120"/>
      <c r="UAM402" s="120"/>
      <c r="UAN402" s="120"/>
      <c r="UAO402" s="120"/>
      <c r="UAP402" s="121"/>
      <c r="UAQ402" s="119"/>
      <c r="UAR402" s="120"/>
      <c r="UAS402" s="120"/>
      <c r="UAT402" s="120"/>
      <c r="UAU402" s="120"/>
      <c r="UAV402" s="120"/>
      <c r="UAW402" s="121"/>
      <c r="UAX402" s="119"/>
      <c r="UAY402" s="120"/>
      <c r="UAZ402" s="120"/>
      <c r="UBA402" s="120"/>
      <c r="UBB402" s="120"/>
      <c r="UBC402" s="120"/>
      <c r="UBD402" s="121"/>
      <c r="UBE402" s="119"/>
      <c r="UBF402" s="120"/>
      <c r="UBG402" s="120"/>
      <c r="UBH402" s="120"/>
      <c r="UBI402" s="120"/>
      <c r="UBJ402" s="120"/>
      <c r="UBK402" s="121"/>
      <c r="UBL402" s="119"/>
      <c r="UBM402" s="120"/>
      <c r="UBN402" s="120"/>
      <c r="UBO402" s="120"/>
      <c r="UBP402" s="120"/>
      <c r="UBQ402" s="120"/>
      <c r="UBR402" s="121"/>
      <c r="UBS402" s="119"/>
      <c r="UBT402" s="120"/>
      <c r="UBU402" s="120"/>
      <c r="UBV402" s="120"/>
      <c r="UBW402" s="120"/>
      <c r="UBX402" s="120"/>
      <c r="UBY402" s="121"/>
      <c r="UBZ402" s="119"/>
      <c r="UCA402" s="120"/>
      <c r="UCB402" s="120"/>
      <c r="UCC402" s="120"/>
      <c r="UCD402" s="120"/>
      <c r="UCE402" s="120"/>
      <c r="UCF402" s="121"/>
      <c r="UCG402" s="119"/>
      <c r="UCH402" s="120"/>
      <c r="UCI402" s="120"/>
      <c r="UCJ402" s="120"/>
      <c r="UCK402" s="120"/>
      <c r="UCL402" s="120"/>
      <c r="UCM402" s="121"/>
      <c r="UCN402" s="119"/>
      <c r="UCO402" s="120"/>
      <c r="UCP402" s="120"/>
      <c r="UCQ402" s="120"/>
      <c r="UCR402" s="120"/>
      <c r="UCS402" s="120"/>
      <c r="UCT402" s="121"/>
      <c r="UCU402" s="119"/>
      <c r="UCV402" s="120"/>
      <c r="UCW402" s="120"/>
      <c r="UCX402" s="120"/>
      <c r="UCY402" s="120"/>
      <c r="UCZ402" s="120"/>
      <c r="UDA402" s="121"/>
      <c r="UDB402" s="119"/>
      <c r="UDC402" s="120"/>
      <c r="UDD402" s="120"/>
      <c r="UDE402" s="120"/>
      <c r="UDF402" s="120"/>
      <c r="UDG402" s="120"/>
      <c r="UDH402" s="121"/>
      <c r="UDI402" s="119"/>
      <c r="UDJ402" s="120"/>
      <c r="UDK402" s="120"/>
      <c r="UDL402" s="120"/>
      <c r="UDM402" s="120"/>
      <c r="UDN402" s="120"/>
      <c r="UDO402" s="121"/>
      <c r="UDP402" s="119"/>
      <c r="UDQ402" s="120"/>
      <c r="UDR402" s="120"/>
      <c r="UDS402" s="120"/>
      <c r="UDT402" s="120"/>
      <c r="UDU402" s="120"/>
      <c r="UDV402" s="121"/>
      <c r="UDW402" s="119"/>
      <c r="UDX402" s="120"/>
      <c r="UDY402" s="120"/>
      <c r="UDZ402" s="120"/>
      <c r="UEA402" s="120"/>
      <c r="UEB402" s="120"/>
      <c r="UEC402" s="121"/>
      <c r="UED402" s="119"/>
      <c r="UEE402" s="120"/>
      <c r="UEF402" s="120"/>
      <c r="UEG402" s="120"/>
      <c r="UEH402" s="120"/>
      <c r="UEI402" s="120"/>
      <c r="UEJ402" s="121"/>
      <c r="UEK402" s="119"/>
      <c r="UEL402" s="120"/>
      <c r="UEM402" s="120"/>
      <c r="UEN402" s="120"/>
      <c r="UEO402" s="120"/>
      <c r="UEP402" s="120"/>
      <c r="UEQ402" s="121"/>
      <c r="UER402" s="119"/>
      <c r="UES402" s="120"/>
      <c r="UET402" s="120"/>
      <c r="UEU402" s="120"/>
      <c r="UEV402" s="120"/>
      <c r="UEW402" s="120"/>
      <c r="UEX402" s="121"/>
      <c r="UEY402" s="119"/>
      <c r="UEZ402" s="120"/>
      <c r="UFA402" s="120"/>
      <c r="UFB402" s="120"/>
      <c r="UFC402" s="120"/>
      <c r="UFD402" s="120"/>
      <c r="UFE402" s="121"/>
      <c r="UFF402" s="119"/>
      <c r="UFG402" s="120"/>
      <c r="UFH402" s="120"/>
      <c r="UFI402" s="120"/>
      <c r="UFJ402" s="120"/>
      <c r="UFK402" s="120"/>
      <c r="UFL402" s="121"/>
      <c r="UFM402" s="119"/>
      <c r="UFN402" s="120"/>
      <c r="UFO402" s="120"/>
      <c r="UFP402" s="120"/>
      <c r="UFQ402" s="120"/>
      <c r="UFR402" s="120"/>
      <c r="UFS402" s="121"/>
      <c r="UFT402" s="119"/>
      <c r="UFU402" s="120"/>
      <c r="UFV402" s="120"/>
      <c r="UFW402" s="120"/>
      <c r="UFX402" s="120"/>
      <c r="UFY402" s="120"/>
      <c r="UFZ402" s="121"/>
      <c r="UGA402" s="119"/>
      <c r="UGB402" s="120"/>
      <c r="UGC402" s="120"/>
      <c r="UGD402" s="120"/>
      <c r="UGE402" s="120"/>
      <c r="UGF402" s="120"/>
      <c r="UGG402" s="121"/>
      <c r="UGH402" s="119"/>
      <c r="UGI402" s="120"/>
      <c r="UGJ402" s="120"/>
      <c r="UGK402" s="120"/>
      <c r="UGL402" s="120"/>
      <c r="UGM402" s="120"/>
      <c r="UGN402" s="121"/>
      <c r="UGO402" s="119"/>
      <c r="UGP402" s="120"/>
      <c r="UGQ402" s="120"/>
      <c r="UGR402" s="120"/>
      <c r="UGS402" s="120"/>
      <c r="UGT402" s="120"/>
      <c r="UGU402" s="121"/>
      <c r="UGV402" s="119"/>
      <c r="UGW402" s="120"/>
      <c r="UGX402" s="120"/>
      <c r="UGY402" s="120"/>
      <c r="UGZ402" s="120"/>
      <c r="UHA402" s="120"/>
      <c r="UHB402" s="121"/>
      <c r="UHC402" s="119"/>
      <c r="UHD402" s="120"/>
      <c r="UHE402" s="120"/>
      <c r="UHF402" s="120"/>
      <c r="UHG402" s="120"/>
      <c r="UHH402" s="120"/>
      <c r="UHI402" s="121"/>
      <c r="UHJ402" s="119"/>
      <c r="UHK402" s="120"/>
      <c r="UHL402" s="120"/>
      <c r="UHM402" s="120"/>
      <c r="UHN402" s="120"/>
      <c r="UHO402" s="120"/>
      <c r="UHP402" s="121"/>
      <c r="UHQ402" s="119"/>
      <c r="UHR402" s="120"/>
      <c r="UHS402" s="120"/>
      <c r="UHT402" s="120"/>
      <c r="UHU402" s="120"/>
      <c r="UHV402" s="120"/>
      <c r="UHW402" s="121"/>
      <c r="UHX402" s="119"/>
      <c r="UHY402" s="120"/>
      <c r="UHZ402" s="120"/>
      <c r="UIA402" s="120"/>
      <c r="UIB402" s="120"/>
      <c r="UIC402" s="120"/>
      <c r="UID402" s="121"/>
      <c r="UIE402" s="119"/>
      <c r="UIF402" s="120"/>
      <c r="UIG402" s="120"/>
      <c r="UIH402" s="120"/>
      <c r="UII402" s="120"/>
      <c r="UIJ402" s="120"/>
      <c r="UIK402" s="121"/>
      <c r="UIL402" s="119"/>
      <c r="UIM402" s="120"/>
      <c r="UIN402" s="120"/>
      <c r="UIO402" s="120"/>
      <c r="UIP402" s="120"/>
      <c r="UIQ402" s="120"/>
      <c r="UIR402" s="121"/>
      <c r="UIS402" s="119"/>
      <c r="UIT402" s="120"/>
      <c r="UIU402" s="120"/>
      <c r="UIV402" s="120"/>
      <c r="UIW402" s="120"/>
      <c r="UIX402" s="120"/>
      <c r="UIY402" s="121"/>
      <c r="UIZ402" s="119"/>
      <c r="UJA402" s="120"/>
      <c r="UJB402" s="120"/>
      <c r="UJC402" s="120"/>
      <c r="UJD402" s="120"/>
      <c r="UJE402" s="120"/>
      <c r="UJF402" s="121"/>
      <c r="UJG402" s="119"/>
      <c r="UJH402" s="120"/>
      <c r="UJI402" s="120"/>
      <c r="UJJ402" s="120"/>
      <c r="UJK402" s="120"/>
      <c r="UJL402" s="120"/>
      <c r="UJM402" s="121"/>
      <c r="UJN402" s="119"/>
      <c r="UJO402" s="120"/>
      <c r="UJP402" s="120"/>
      <c r="UJQ402" s="120"/>
      <c r="UJR402" s="120"/>
      <c r="UJS402" s="120"/>
      <c r="UJT402" s="121"/>
      <c r="UJU402" s="119"/>
      <c r="UJV402" s="120"/>
      <c r="UJW402" s="120"/>
      <c r="UJX402" s="120"/>
      <c r="UJY402" s="120"/>
      <c r="UJZ402" s="120"/>
      <c r="UKA402" s="121"/>
      <c r="UKB402" s="119"/>
      <c r="UKC402" s="120"/>
      <c r="UKD402" s="120"/>
      <c r="UKE402" s="120"/>
      <c r="UKF402" s="120"/>
      <c r="UKG402" s="120"/>
      <c r="UKH402" s="121"/>
      <c r="UKI402" s="119"/>
      <c r="UKJ402" s="120"/>
      <c r="UKK402" s="120"/>
      <c r="UKL402" s="120"/>
      <c r="UKM402" s="120"/>
      <c r="UKN402" s="120"/>
      <c r="UKO402" s="121"/>
      <c r="UKP402" s="119"/>
      <c r="UKQ402" s="120"/>
      <c r="UKR402" s="120"/>
      <c r="UKS402" s="120"/>
      <c r="UKT402" s="120"/>
      <c r="UKU402" s="120"/>
      <c r="UKV402" s="121"/>
      <c r="UKW402" s="119"/>
      <c r="UKX402" s="120"/>
      <c r="UKY402" s="120"/>
      <c r="UKZ402" s="120"/>
      <c r="ULA402" s="120"/>
      <c r="ULB402" s="120"/>
      <c r="ULC402" s="121"/>
      <c r="ULD402" s="119"/>
      <c r="ULE402" s="120"/>
      <c r="ULF402" s="120"/>
      <c r="ULG402" s="120"/>
      <c r="ULH402" s="120"/>
      <c r="ULI402" s="120"/>
      <c r="ULJ402" s="121"/>
      <c r="ULK402" s="119"/>
      <c r="ULL402" s="120"/>
      <c r="ULM402" s="120"/>
      <c r="ULN402" s="120"/>
      <c r="ULO402" s="120"/>
      <c r="ULP402" s="120"/>
      <c r="ULQ402" s="121"/>
      <c r="ULR402" s="119"/>
      <c r="ULS402" s="120"/>
      <c r="ULT402" s="120"/>
      <c r="ULU402" s="120"/>
      <c r="ULV402" s="120"/>
      <c r="ULW402" s="120"/>
      <c r="ULX402" s="121"/>
      <c r="ULY402" s="119"/>
      <c r="ULZ402" s="120"/>
      <c r="UMA402" s="120"/>
      <c r="UMB402" s="120"/>
      <c r="UMC402" s="120"/>
      <c r="UMD402" s="120"/>
      <c r="UME402" s="121"/>
      <c r="UMF402" s="119"/>
      <c r="UMG402" s="120"/>
      <c r="UMH402" s="120"/>
      <c r="UMI402" s="120"/>
      <c r="UMJ402" s="120"/>
      <c r="UMK402" s="120"/>
      <c r="UML402" s="121"/>
      <c r="UMM402" s="119"/>
      <c r="UMN402" s="120"/>
      <c r="UMO402" s="120"/>
      <c r="UMP402" s="120"/>
      <c r="UMQ402" s="120"/>
      <c r="UMR402" s="120"/>
      <c r="UMS402" s="121"/>
      <c r="UMT402" s="119"/>
      <c r="UMU402" s="120"/>
      <c r="UMV402" s="120"/>
      <c r="UMW402" s="120"/>
      <c r="UMX402" s="120"/>
      <c r="UMY402" s="120"/>
      <c r="UMZ402" s="121"/>
      <c r="UNA402" s="119"/>
      <c r="UNB402" s="120"/>
      <c r="UNC402" s="120"/>
      <c r="UND402" s="120"/>
      <c r="UNE402" s="120"/>
      <c r="UNF402" s="120"/>
      <c r="UNG402" s="121"/>
      <c r="UNH402" s="119"/>
      <c r="UNI402" s="120"/>
      <c r="UNJ402" s="120"/>
      <c r="UNK402" s="120"/>
      <c r="UNL402" s="120"/>
      <c r="UNM402" s="120"/>
      <c r="UNN402" s="121"/>
      <c r="UNO402" s="119"/>
      <c r="UNP402" s="120"/>
      <c r="UNQ402" s="120"/>
      <c r="UNR402" s="120"/>
      <c r="UNS402" s="120"/>
      <c r="UNT402" s="120"/>
      <c r="UNU402" s="121"/>
      <c r="UNV402" s="119"/>
      <c r="UNW402" s="120"/>
      <c r="UNX402" s="120"/>
      <c r="UNY402" s="120"/>
      <c r="UNZ402" s="120"/>
      <c r="UOA402" s="120"/>
      <c r="UOB402" s="121"/>
      <c r="UOC402" s="119"/>
      <c r="UOD402" s="120"/>
      <c r="UOE402" s="120"/>
      <c r="UOF402" s="120"/>
      <c r="UOG402" s="120"/>
      <c r="UOH402" s="120"/>
      <c r="UOI402" s="121"/>
      <c r="UOJ402" s="119"/>
      <c r="UOK402" s="120"/>
      <c r="UOL402" s="120"/>
      <c r="UOM402" s="120"/>
      <c r="UON402" s="120"/>
      <c r="UOO402" s="120"/>
      <c r="UOP402" s="121"/>
      <c r="UOQ402" s="119"/>
      <c r="UOR402" s="120"/>
      <c r="UOS402" s="120"/>
      <c r="UOT402" s="120"/>
      <c r="UOU402" s="120"/>
      <c r="UOV402" s="120"/>
      <c r="UOW402" s="121"/>
      <c r="UOX402" s="119"/>
      <c r="UOY402" s="120"/>
      <c r="UOZ402" s="120"/>
      <c r="UPA402" s="120"/>
      <c r="UPB402" s="120"/>
      <c r="UPC402" s="120"/>
      <c r="UPD402" s="121"/>
      <c r="UPE402" s="119"/>
      <c r="UPF402" s="120"/>
      <c r="UPG402" s="120"/>
      <c r="UPH402" s="120"/>
      <c r="UPI402" s="120"/>
      <c r="UPJ402" s="120"/>
      <c r="UPK402" s="121"/>
      <c r="UPL402" s="119"/>
      <c r="UPM402" s="120"/>
      <c r="UPN402" s="120"/>
      <c r="UPO402" s="120"/>
      <c r="UPP402" s="120"/>
      <c r="UPQ402" s="120"/>
      <c r="UPR402" s="121"/>
      <c r="UPS402" s="119"/>
      <c r="UPT402" s="120"/>
      <c r="UPU402" s="120"/>
      <c r="UPV402" s="120"/>
      <c r="UPW402" s="120"/>
      <c r="UPX402" s="120"/>
      <c r="UPY402" s="121"/>
      <c r="UPZ402" s="119"/>
      <c r="UQA402" s="120"/>
      <c r="UQB402" s="120"/>
      <c r="UQC402" s="120"/>
      <c r="UQD402" s="120"/>
      <c r="UQE402" s="120"/>
      <c r="UQF402" s="121"/>
      <c r="UQG402" s="119"/>
      <c r="UQH402" s="120"/>
      <c r="UQI402" s="120"/>
      <c r="UQJ402" s="120"/>
      <c r="UQK402" s="120"/>
      <c r="UQL402" s="120"/>
      <c r="UQM402" s="121"/>
      <c r="UQN402" s="119"/>
      <c r="UQO402" s="120"/>
      <c r="UQP402" s="120"/>
      <c r="UQQ402" s="120"/>
      <c r="UQR402" s="120"/>
      <c r="UQS402" s="120"/>
      <c r="UQT402" s="121"/>
      <c r="UQU402" s="119"/>
      <c r="UQV402" s="120"/>
      <c r="UQW402" s="120"/>
      <c r="UQX402" s="120"/>
      <c r="UQY402" s="120"/>
      <c r="UQZ402" s="120"/>
      <c r="URA402" s="121"/>
      <c r="URB402" s="119"/>
      <c r="URC402" s="120"/>
      <c r="URD402" s="120"/>
      <c r="URE402" s="120"/>
      <c r="URF402" s="120"/>
      <c r="URG402" s="120"/>
      <c r="URH402" s="121"/>
      <c r="URI402" s="119"/>
      <c r="URJ402" s="120"/>
      <c r="URK402" s="120"/>
      <c r="URL402" s="120"/>
      <c r="URM402" s="120"/>
      <c r="URN402" s="120"/>
      <c r="URO402" s="121"/>
      <c r="URP402" s="119"/>
      <c r="URQ402" s="120"/>
      <c r="URR402" s="120"/>
      <c r="URS402" s="120"/>
      <c r="URT402" s="120"/>
      <c r="URU402" s="120"/>
      <c r="URV402" s="121"/>
      <c r="URW402" s="119"/>
      <c r="URX402" s="120"/>
      <c r="URY402" s="120"/>
      <c r="URZ402" s="120"/>
      <c r="USA402" s="120"/>
      <c r="USB402" s="120"/>
      <c r="USC402" s="121"/>
      <c r="USD402" s="119"/>
      <c r="USE402" s="120"/>
      <c r="USF402" s="120"/>
      <c r="USG402" s="120"/>
      <c r="USH402" s="120"/>
      <c r="USI402" s="120"/>
      <c r="USJ402" s="121"/>
      <c r="USK402" s="119"/>
      <c r="USL402" s="120"/>
      <c r="USM402" s="120"/>
      <c r="USN402" s="120"/>
      <c r="USO402" s="120"/>
      <c r="USP402" s="120"/>
      <c r="USQ402" s="121"/>
      <c r="USR402" s="119"/>
      <c r="USS402" s="120"/>
      <c r="UST402" s="120"/>
      <c r="USU402" s="120"/>
      <c r="USV402" s="120"/>
      <c r="USW402" s="120"/>
      <c r="USX402" s="121"/>
      <c r="USY402" s="119"/>
      <c r="USZ402" s="120"/>
      <c r="UTA402" s="120"/>
      <c r="UTB402" s="120"/>
      <c r="UTC402" s="120"/>
      <c r="UTD402" s="120"/>
      <c r="UTE402" s="121"/>
      <c r="UTF402" s="119"/>
      <c r="UTG402" s="120"/>
      <c r="UTH402" s="120"/>
      <c r="UTI402" s="120"/>
      <c r="UTJ402" s="120"/>
      <c r="UTK402" s="120"/>
      <c r="UTL402" s="121"/>
      <c r="UTM402" s="119"/>
      <c r="UTN402" s="120"/>
      <c r="UTO402" s="120"/>
      <c r="UTP402" s="120"/>
      <c r="UTQ402" s="120"/>
      <c r="UTR402" s="120"/>
      <c r="UTS402" s="121"/>
      <c r="UTT402" s="119"/>
      <c r="UTU402" s="120"/>
      <c r="UTV402" s="120"/>
      <c r="UTW402" s="120"/>
      <c r="UTX402" s="120"/>
      <c r="UTY402" s="120"/>
      <c r="UTZ402" s="121"/>
      <c r="UUA402" s="119"/>
      <c r="UUB402" s="120"/>
      <c r="UUC402" s="120"/>
      <c r="UUD402" s="120"/>
      <c r="UUE402" s="120"/>
      <c r="UUF402" s="120"/>
      <c r="UUG402" s="121"/>
      <c r="UUH402" s="119"/>
      <c r="UUI402" s="120"/>
      <c r="UUJ402" s="120"/>
      <c r="UUK402" s="120"/>
      <c r="UUL402" s="120"/>
      <c r="UUM402" s="120"/>
      <c r="UUN402" s="121"/>
      <c r="UUO402" s="119"/>
      <c r="UUP402" s="120"/>
      <c r="UUQ402" s="120"/>
      <c r="UUR402" s="120"/>
      <c r="UUS402" s="120"/>
      <c r="UUT402" s="120"/>
      <c r="UUU402" s="121"/>
      <c r="UUV402" s="119"/>
      <c r="UUW402" s="120"/>
      <c r="UUX402" s="120"/>
      <c r="UUY402" s="120"/>
      <c r="UUZ402" s="120"/>
      <c r="UVA402" s="120"/>
      <c r="UVB402" s="121"/>
      <c r="UVC402" s="119"/>
      <c r="UVD402" s="120"/>
      <c r="UVE402" s="120"/>
      <c r="UVF402" s="120"/>
      <c r="UVG402" s="120"/>
      <c r="UVH402" s="120"/>
      <c r="UVI402" s="121"/>
      <c r="UVJ402" s="119"/>
      <c r="UVK402" s="120"/>
      <c r="UVL402" s="120"/>
      <c r="UVM402" s="120"/>
      <c r="UVN402" s="120"/>
      <c r="UVO402" s="120"/>
      <c r="UVP402" s="121"/>
      <c r="UVQ402" s="119"/>
      <c r="UVR402" s="120"/>
      <c r="UVS402" s="120"/>
      <c r="UVT402" s="120"/>
      <c r="UVU402" s="120"/>
      <c r="UVV402" s="120"/>
      <c r="UVW402" s="121"/>
      <c r="UVX402" s="119"/>
      <c r="UVY402" s="120"/>
      <c r="UVZ402" s="120"/>
      <c r="UWA402" s="120"/>
      <c r="UWB402" s="120"/>
      <c r="UWC402" s="120"/>
      <c r="UWD402" s="121"/>
      <c r="UWE402" s="119"/>
      <c r="UWF402" s="120"/>
      <c r="UWG402" s="120"/>
      <c r="UWH402" s="120"/>
      <c r="UWI402" s="120"/>
      <c r="UWJ402" s="120"/>
      <c r="UWK402" s="121"/>
      <c r="UWL402" s="119"/>
      <c r="UWM402" s="120"/>
      <c r="UWN402" s="120"/>
      <c r="UWO402" s="120"/>
      <c r="UWP402" s="120"/>
      <c r="UWQ402" s="120"/>
      <c r="UWR402" s="121"/>
      <c r="UWS402" s="119"/>
      <c r="UWT402" s="120"/>
      <c r="UWU402" s="120"/>
      <c r="UWV402" s="120"/>
      <c r="UWW402" s="120"/>
      <c r="UWX402" s="120"/>
      <c r="UWY402" s="121"/>
      <c r="UWZ402" s="119"/>
      <c r="UXA402" s="120"/>
      <c r="UXB402" s="120"/>
      <c r="UXC402" s="120"/>
      <c r="UXD402" s="120"/>
      <c r="UXE402" s="120"/>
      <c r="UXF402" s="121"/>
      <c r="UXG402" s="119"/>
      <c r="UXH402" s="120"/>
      <c r="UXI402" s="120"/>
      <c r="UXJ402" s="120"/>
      <c r="UXK402" s="120"/>
      <c r="UXL402" s="120"/>
      <c r="UXM402" s="121"/>
      <c r="UXN402" s="119"/>
      <c r="UXO402" s="120"/>
      <c r="UXP402" s="120"/>
      <c r="UXQ402" s="120"/>
      <c r="UXR402" s="120"/>
      <c r="UXS402" s="120"/>
      <c r="UXT402" s="121"/>
      <c r="UXU402" s="119"/>
      <c r="UXV402" s="120"/>
      <c r="UXW402" s="120"/>
      <c r="UXX402" s="120"/>
      <c r="UXY402" s="120"/>
      <c r="UXZ402" s="120"/>
      <c r="UYA402" s="121"/>
      <c r="UYB402" s="119"/>
      <c r="UYC402" s="120"/>
      <c r="UYD402" s="120"/>
      <c r="UYE402" s="120"/>
      <c r="UYF402" s="120"/>
      <c r="UYG402" s="120"/>
      <c r="UYH402" s="121"/>
      <c r="UYI402" s="119"/>
      <c r="UYJ402" s="120"/>
      <c r="UYK402" s="120"/>
      <c r="UYL402" s="120"/>
      <c r="UYM402" s="120"/>
      <c r="UYN402" s="120"/>
      <c r="UYO402" s="121"/>
      <c r="UYP402" s="119"/>
      <c r="UYQ402" s="120"/>
      <c r="UYR402" s="120"/>
      <c r="UYS402" s="120"/>
      <c r="UYT402" s="120"/>
      <c r="UYU402" s="120"/>
      <c r="UYV402" s="121"/>
      <c r="UYW402" s="119"/>
      <c r="UYX402" s="120"/>
      <c r="UYY402" s="120"/>
      <c r="UYZ402" s="120"/>
      <c r="UZA402" s="120"/>
      <c r="UZB402" s="120"/>
      <c r="UZC402" s="121"/>
      <c r="UZD402" s="119"/>
      <c r="UZE402" s="120"/>
      <c r="UZF402" s="120"/>
      <c r="UZG402" s="120"/>
      <c r="UZH402" s="120"/>
      <c r="UZI402" s="120"/>
      <c r="UZJ402" s="121"/>
      <c r="UZK402" s="119"/>
      <c r="UZL402" s="120"/>
      <c r="UZM402" s="120"/>
      <c r="UZN402" s="120"/>
      <c r="UZO402" s="120"/>
      <c r="UZP402" s="120"/>
      <c r="UZQ402" s="121"/>
      <c r="UZR402" s="119"/>
      <c r="UZS402" s="120"/>
      <c r="UZT402" s="120"/>
      <c r="UZU402" s="120"/>
      <c r="UZV402" s="120"/>
      <c r="UZW402" s="120"/>
      <c r="UZX402" s="121"/>
      <c r="UZY402" s="119"/>
      <c r="UZZ402" s="120"/>
      <c r="VAA402" s="120"/>
      <c r="VAB402" s="120"/>
      <c r="VAC402" s="120"/>
      <c r="VAD402" s="120"/>
      <c r="VAE402" s="121"/>
      <c r="VAF402" s="119"/>
      <c r="VAG402" s="120"/>
      <c r="VAH402" s="120"/>
      <c r="VAI402" s="120"/>
      <c r="VAJ402" s="120"/>
      <c r="VAK402" s="120"/>
      <c r="VAL402" s="121"/>
      <c r="VAM402" s="119"/>
      <c r="VAN402" s="120"/>
      <c r="VAO402" s="120"/>
      <c r="VAP402" s="120"/>
      <c r="VAQ402" s="120"/>
      <c r="VAR402" s="120"/>
      <c r="VAS402" s="121"/>
      <c r="VAT402" s="119"/>
      <c r="VAU402" s="120"/>
      <c r="VAV402" s="120"/>
      <c r="VAW402" s="120"/>
      <c r="VAX402" s="120"/>
      <c r="VAY402" s="120"/>
      <c r="VAZ402" s="121"/>
      <c r="VBA402" s="119"/>
      <c r="VBB402" s="120"/>
      <c r="VBC402" s="120"/>
      <c r="VBD402" s="120"/>
      <c r="VBE402" s="120"/>
      <c r="VBF402" s="120"/>
      <c r="VBG402" s="121"/>
      <c r="VBH402" s="119"/>
      <c r="VBI402" s="120"/>
      <c r="VBJ402" s="120"/>
      <c r="VBK402" s="120"/>
      <c r="VBL402" s="120"/>
      <c r="VBM402" s="120"/>
      <c r="VBN402" s="121"/>
      <c r="VBO402" s="119"/>
      <c r="VBP402" s="120"/>
      <c r="VBQ402" s="120"/>
      <c r="VBR402" s="120"/>
      <c r="VBS402" s="120"/>
      <c r="VBT402" s="120"/>
      <c r="VBU402" s="121"/>
      <c r="VBV402" s="119"/>
      <c r="VBW402" s="120"/>
      <c r="VBX402" s="120"/>
      <c r="VBY402" s="120"/>
      <c r="VBZ402" s="120"/>
      <c r="VCA402" s="120"/>
      <c r="VCB402" s="121"/>
      <c r="VCC402" s="119"/>
      <c r="VCD402" s="120"/>
      <c r="VCE402" s="120"/>
      <c r="VCF402" s="120"/>
      <c r="VCG402" s="120"/>
      <c r="VCH402" s="120"/>
      <c r="VCI402" s="121"/>
      <c r="VCJ402" s="119"/>
      <c r="VCK402" s="120"/>
      <c r="VCL402" s="120"/>
      <c r="VCM402" s="120"/>
      <c r="VCN402" s="120"/>
      <c r="VCO402" s="120"/>
      <c r="VCP402" s="121"/>
      <c r="VCQ402" s="119"/>
      <c r="VCR402" s="120"/>
      <c r="VCS402" s="120"/>
      <c r="VCT402" s="120"/>
      <c r="VCU402" s="120"/>
      <c r="VCV402" s="120"/>
      <c r="VCW402" s="121"/>
      <c r="VCX402" s="119"/>
      <c r="VCY402" s="120"/>
      <c r="VCZ402" s="120"/>
      <c r="VDA402" s="120"/>
      <c r="VDB402" s="120"/>
      <c r="VDC402" s="120"/>
      <c r="VDD402" s="121"/>
      <c r="VDE402" s="119"/>
      <c r="VDF402" s="120"/>
      <c r="VDG402" s="120"/>
      <c r="VDH402" s="120"/>
      <c r="VDI402" s="120"/>
      <c r="VDJ402" s="120"/>
      <c r="VDK402" s="121"/>
      <c r="VDL402" s="119"/>
      <c r="VDM402" s="120"/>
      <c r="VDN402" s="120"/>
      <c r="VDO402" s="120"/>
      <c r="VDP402" s="120"/>
      <c r="VDQ402" s="120"/>
      <c r="VDR402" s="121"/>
      <c r="VDS402" s="119"/>
      <c r="VDT402" s="120"/>
      <c r="VDU402" s="120"/>
      <c r="VDV402" s="120"/>
      <c r="VDW402" s="120"/>
      <c r="VDX402" s="120"/>
      <c r="VDY402" s="121"/>
      <c r="VDZ402" s="119"/>
      <c r="VEA402" s="120"/>
      <c r="VEB402" s="120"/>
      <c r="VEC402" s="120"/>
      <c r="VED402" s="120"/>
      <c r="VEE402" s="120"/>
      <c r="VEF402" s="121"/>
      <c r="VEG402" s="119"/>
      <c r="VEH402" s="120"/>
      <c r="VEI402" s="120"/>
      <c r="VEJ402" s="120"/>
      <c r="VEK402" s="120"/>
      <c r="VEL402" s="120"/>
      <c r="VEM402" s="121"/>
      <c r="VEN402" s="119"/>
      <c r="VEO402" s="120"/>
      <c r="VEP402" s="120"/>
      <c r="VEQ402" s="120"/>
      <c r="VER402" s="120"/>
      <c r="VES402" s="120"/>
      <c r="VET402" s="121"/>
      <c r="VEU402" s="119"/>
      <c r="VEV402" s="120"/>
      <c r="VEW402" s="120"/>
      <c r="VEX402" s="120"/>
      <c r="VEY402" s="120"/>
      <c r="VEZ402" s="120"/>
      <c r="VFA402" s="121"/>
      <c r="VFB402" s="119"/>
      <c r="VFC402" s="120"/>
      <c r="VFD402" s="120"/>
      <c r="VFE402" s="120"/>
      <c r="VFF402" s="120"/>
      <c r="VFG402" s="120"/>
      <c r="VFH402" s="121"/>
      <c r="VFI402" s="119"/>
      <c r="VFJ402" s="120"/>
      <c r="VFK402" s="120"/>
      <c r="VFL402" s="120"/>
      <c r="VFM402" s="120"/>
      <c r="VFN402" s="120"/>
      <c r="VFO402" s="121"/>
      <c r="VFP402" s="119"/>
      <c r="VFQ402" s="120"/>
      <c r="VFR402" s="120"/>
      <c r="VFS402" s="120"/>
      <c r="VFT402" s="120"/>
      <c r="VFU402" s="120"/>
      <c r="VFV402" s="121"/>
      <c r="VFW402" s="119"/>
      <c r="VFX402" s="120"/>
      <c r="VFY402" s="120"/>
      <c r="VFZ402" s="120"/>
      <c r="VGA402" s="120"/>
      <c r="VGB402" s="120"/>
      <c r="VGC402" s="121"/>
      <c r="VGD402" s="119"/>
      <c r="VGE402" s="120"/>
      <c r="VGF402" s="120"/>
      <c r="VGG402" s="120"/>
      <c r="VGH402" s="120"/>
      <c r="VGI402" s="120"/>
      <c r="VGJ402" s="121"/>
      <c r="VGK402" s="119"/>
      <c r="VGL402" s="120"/>
      <c r="VGM402" s="120"/>
      <c r="VGN402" s="120"/>
      <c r="VGO402" s="120"/>
      <c r="VGP402" s="120"/>
      <c r="VGQ402" s="121"/>
      <c r="VGR402" s="119"/>
      <c r="VGS402" s="120"/>
      <c r="VGT402" s="120"/>
      <c r="VGU402" s="120"/>
      <c r="VGV402" s="120"/>
      <c r="VGW402" s="120"/>
      <c r="VGX402" s="121"/>
      <c r="VGY402" s="119"/>
      <c r="VGZ402" s="120"/>
      <c r="VHA402" s="120"/>
      <c r="VHB402" s="120"/>
      <c r="VHC402" s="120"/>
      <c r="VHD402" s="120"/>
      <c r="VHE402" s="121"/>
      <c r="VHF402" s="119"/>
      <c r="VHG402" s="120"/>
      <c r="VHH402" s="120"/>
      <c r="VHI402" s="120"/>
      <c r="VHJ402" s="120"/>
      <c r="VHK402" s="120"/>
      <c r="VHL402" s="121"/>
      <c r="VHM402" s="119"/>
      <c r="VHN402" s="120"/>
      <c r="VHO402" s="120"/>
      <c r="VHP402" s="120"/>
      <c r="VHQ402" s="120"/>
      <c r="VHR402" s="120"/>
      <c r="VHS402" s="121"/>
      <c r="VHT402" s="119"/>
      <c r="VHU402" s="120"/>
      <c r="VHV402" s="120"/>
      <c r="VHW402" s="120"/>
      <c r="VHX402" s="120"/>
      <c r="VHY402" s="120"/>
      <c r="VHZ402" s="121"/>
      <c r="VIA402" s="119"/>
      <c r="VIB402" s="120"/>
      <c r="VIC402" s="120"/>
      <c r="VID402" s="120"/>
      <c r="VIE402" s="120"/>
      <c r="VIF402" s="120"/>
      <c r="VIG402" s="121"/>
      <c r="VIH402" s="119"/>
      <c r="VII402" s="120"/>
      <c r="VIJ402" s="120"/>
      <c r="VIK402" s="120"/>
      <c r="VIL402" s="120"/>
      <c r="VIM402" s="120"/>
      <c r="VIN402" s="121"/>
      <c r="VIO402" s="119"/>
      <c r="VIP402" s="120"/>
      <c r="VIQ402" s="120"/>
      <c r="VIR402" s="120"/>
      <c r="VIS402" s="120"/>
      <c r="VIT402" s="120"/>
      <c r="VIU402" s="121"/>
      <c r="VIV402" s="119"/>
      <c r="VIW402" s="120"/>
      <c r="VIX402" s="120"/>
      <c r="VIY402" s="120"/>
      <c r="VIZ402" s="120"/>
      <c r="VJA402" s="120"/>
      <c r="VJB402" s="121"/>
      <c r="VJC402" s="119"/>
      <c r="VJD402" s="120"/>
      <c r="VJE402" s="120"/>
      <c r="VJF402" s="120"/>
      <c r="VJG402" s="120"/>
      <c r="VJH402" s="120"/>
      <c r="VJI402" s="121"/>
      <c r="VJJ402" s="119"/>
      <c r="VJK402" s="120"/>
      <c r="VJL402" s="120"/>
      <c r="VJM402" s="120"/>
      <c r="VJN402" s="120"/>
      <c r="VJO402" s="120"/>
      <c r="VJP402" s="121"/>
      <c r="VJQ402" s="119"/>
      <c r="VJR402" s="120"/>
      <c r="VJS402" s="120"/>
      <c r="VJT402" s="120"/>
      <c r="VJU402" s="120"/>
      <c r="VJV402" s="120"/>
      <c r="VJW402" s="121"/>
      <c r="VJX402" s="119"/>
      <c r="VJY402" s="120"/>
      <c r="VJZ402" s="120"/>
      <c r="VKA402" s="120"/>
      <c r="VKB402" s="120"/>
      <c r="VKC402" s="120"/>
      <c r="VKD402" s="121"/>
      <c r="VKE402" s="119"/>
      <c r="VKF402" s="120"/>
      <c r="VKG402" s="120"/>
      <c r="VKH402" s="120"/>
      <c r="VKI402" s="120"/>
      <c r="VKJ402" s="120"/>
      <c r="VKK402" s="121"/>
      <c r="VKL402" s="119"/>
      <c r="VKM402" s="120"/>
      <c r="VKN402" s="120"/>
      <c r="VKO402" s="120"/>
      <c r="VKP402" s="120"/>
      <c r="VKQ402" s="120"/>
      <c r="VKR402" s="121"/>
      <c r="VKS402" s="119"/>
      <c r="VKT402" s="120"/>
      <c r="VKU402" s="120"/>
      <c r="VKV402" s="120"/>
      <c r="VKW402" s="120"/>
      <c r="VKX402" s="120"/>
      <c r="VKY402" s="121"/>
      <c r="VKZ402" s="119"/>
      <c r="VLA402" s="120"/>
      <c r="VLB402" s="120"/>
      <c r="VLC402" s="120"/>
      <c r="VLD402" s="120"/>
      <c r="VLE402" s="120"/>
      <c r="VLF402" s="121"/>
      <c r="VLG402" s="119"/>
      <c r="VLH402" s="120"/>
      <c r="VLI402" s="120"/>
      <c r="VLJ402" s="120"/>
      <c r="VLK402" s="120"/>
      <c r="VLL402" s="120"/>
      <c r="VLM402" s="121"/>
      <c r="VLN402" s="119"/>
      <c r="VLO402" s="120"/>
      <c r="VLP402" s="120"/>
      <c r="VLQ402" s="120"/>
      <c r="VLR402" s="120"/>
      <c r="VLS402" s="120"/>
      <c r="VLT402" s="121"/>
      <c r="VLU402" s="119"/>
      <c r="VLV402" s="120"/>
      <c r="VLW402" s="120"/>
      <c r="VLX402" s="120"/>
      <c r="VLY402" s="120"/>
      <c r="VLZ402" s="120"/>
      <c r="VMA402" s="121"/>
      <c r="VMB402" s="119"/>
      <c r="VMC402" s="120"/>
      <c r="VMD402" s="120"/>
      <c r="VME402" s="120"/>
      <c r="VMF402" s="120"/>
      <c r="VMG402" s="120"/>
      <c r="VMH402" s="121"/>
      <c r="VMI402" s="119"/>
      <c r="VMJ402" s="120"/>
      <c r="VMK402" s="120"/>
      <c r="VML402" s="120"/>
      <c r="VMM402" s="120"/>
      <c r="VMN402" s="120"/>
      <c r="VMO402" s="121"/>
      <c r="VMP402" s="119"/>
      <c r="VMQ402" s="120"/>
      <c r="VMR402" s="120"/>
      <c r="VMS402" s="120"/>
      <c r="VMT402" s="120"/>
      <c r="VMU402" s="120"/>
      <c r="VMV402" s="121"/>
      <c r="VMW402" s="119"/>
      <c r="VMX402" s="120"/>
      <c r="VMY402" s="120"/>
      <c r="VMZ402" s="120"/>
      <c r="VNA402" s="120"/>
      <c r="VNB402" s="120"/>
      <c r="VNC402" s="121"/>
      <c r="VND402" s="119"/>
      <c r="VNE402" s="120"/>
      <c r="VNF402" s="120"/>
      <c r="VNG402" s="120"/>
      <c r="VNH402" s="120"/>
      <c r="VNI402" s="120"/>
      <c r="VNJ402" s="121"/>
      <c r="VNK402" s="119"/>
      <c r="VNL402" s="120"/>
      <c r="VNM402" s="120"/>
      <c r="VNN402" s="120"/>
      <c r="VNO402" s="120"/>
      <c r="VNP402" s="120"/>
      <c r="VNQ402" s="121"/>
      <c r="VNR402" s="119"/>
      <c r="VNS402" s="120"/>
      <c r="VNT402" s="120"/>
      <c r="VNU402" s="120"/>
      <c r="VNV402" s="120"/>
      <c r="VNW402" s="120"/>
      <c r="VNX402" s="121"/>
      <c r="VNY402" s="119"/>
      <c r="VNZ402" s="120"/>
      <c r="VOA402" s="120"/>
      <c r="VOB402" s="120"/>
      <c r="VOC402" s="120"/>
      <c r="VOD402" s="120"/>
      <c r="VOE402" s="121"/>
      <c r="VOF402" s="119"/>
      <c r="VOG402" s="120"/>
      <c r="VOH402" s="120"/>
      <c r="VOI402" s="120"/>
      <c r="VOJ402" s="120"/>
      <c r="VOK402" s="120"/>
      <c r="VOL402" s="121"/>
      <c r="VOM402" s="119"/>
      <c r="VON402" s="120"/>
      <c r="VOO402" s="120"/>
      <c r="VOP402" s="120"/>
      <c r="VOQ402" s="120"/>
      <c r="VOR402" s="120"/>
      <c r="VOS402" s="121"/>
      <c r="VOT402" s="119"/>
      <c r="VOU402" s="120"/>
      <c r="VOV402" s="120"/>
      <c r="VOW402" s="120"/>
      <c r="VOX402" s="120"/>
      <c r="VOY402" s="120"/>
      <c r="VOZ402" s="121"/>
      <c r="VPA402" s="119"/>
      <c r="VPB402" s="120"/>
      <c r="VPC402" s="120"/>
      <c r="VPD402" s="120"/>
      <c r="VPE402" s="120"/>
      <c r="VPF402" s="120"/>
      <c r="VPG402" s="121"/>
      <c r="VPH402" s="119"/>
      <c r="VPI402" s="120"/>
      <c r="VPJ402" s="120"/>
      <c r="VPK402" s="120"/>
      <c r="VPL402" s="120"/>
      <c r="VPM402" s="120"/>
      <c r="VPN402" s="121"/>
      <c r="VPO402" s="119"/>
      <c r="VPP402" s="120"/>
      <c r="VPQ402" s="120"/>
      <c r="VPR402" s="120"/>
      <c r="VPS402" s="120"/>
      <c r="VPT402" s="120"/>
      <c r="VPU402" s="121"/>
      <c r="VPV402" s="119"/>
      <c r="VPW402" s="120"/>
      <c r="VPX402" s="120"/>
      <c r="VPY402" s="120"/>
      <c r="VPZ402" s="120"/>
      <c r="VQA402" s="120"/>
      <c r="VQB402" s="121"/>
      <c r="VQC402" s="119"/>
      <c r="VQD402" s="120"/>
      <c r="VQE402" s="120"/>
      <c r="VQF402" s="120"/>
      <c r="VQG402" s="120"/>
      <c r="VQH402" s="120"/>
      <c r="VQI402" s="121"/>
      <c r="VQJ402" s="119"/>
      <c r="VQK402" s="120"/>
      <c r="VQL402" s="120"/>
      <c r="VQM402" s="120"/>
      <c r="VQN402" s="120"/>
      <c r="VQO402" s="120"/>
      <c r="VQP402" s="121"/>
      <c r="VQQ402" s="119"/>
      <c r="VQR402" s="120"/>
      <c r="VQS402" s="120"/>
      <c r="VQT402" s="120"/>
      <c r="VQU402" s="120"/>
      <c r="VQV402" s="120"/>
      <c r="VQW402" s="121"/>
      <c r="VQX402" s="119"/>
      <c r="VQY402" s="120"/>
      <c r="VQZ402" s="120"/>
      <c r="VRA402" s="120"/>
      <c r="VRB402" s="120"/>
      <c r="VRC402" s="120"/>
      <c r="VRD402" s="121"/>
      <c r="VRE402" s="119"/>
      <c r="VRF402" s="120"/>
      <c r="VRG402" s="120"/>
      <c r="VRH402" s="120"/>
      <c r="VRI402" s="120"/>
      <c r="VRJ402" s="120"/>
      <c r="VRK402" s="121"/>
      <c r="VRL402" s="119"/>
      <c r="VRM402" s="120"/>
      <c r="VRN402" s="120"/>
      <c r="VRO402" s="120"/>
      <c r="VRP402" s="120"/>
      <c r="VRQ402" s="120"/>
      <c r="VRR402" s="121"/>
      <c r="VRS402" s="119"/>
      <c r="VRT402" s="120"/>
      <c r="VRU402" s="120"/>
      <c r="VRV402" s="120"/>
      <c r="VRW402" s="120"/>
      <c r="VRX402" s="120"/>
      <c r="VRY402" s="121"/>
      <c r="VRZ402" s="119"/>
      <c r="VSA402" s="120"/>
      <c r="VSB402" s="120"/>
      <c r="VSC402" s="120"/>
      <c r="VSD402" s="120"/>
      <c r="VSE402" s="120"/>
      <c r="VSF402" s="121"/>
      <c r="VSG402" s="119"/>
      <c r="VSH402" s="120"/>
      <c r="VSI402" s="120"/>
      <c r="VSJ402" s="120"/>
      <c r="VSK402" s="120"/>
      <c r="VSL402" s="120"/>
      <c r="VSM402" s="121"/>
      <c r="VSN402" s="119"/>
      <c r="VSO402" s="120"/>
      <c r="VSP402" s="120"/>
      <c r="VSQ402" s="120"/>
      <c r="VSR402" s="120"/>
      <c r="VSS402" s="120"/>
      <c r="VST402" s="121"/>
      <c r="VSU402" s="119"/>
      <c r="VSV402" s="120"/>
      <c r="VSW402" s="120"/>
      <c r="VSX402" s="120"/>
      <c r="VSY402" s="120"/>
      <c r="VSZ402" s="120"/>
      <c r="VTA402" s="121"/>
      <c r="VTB402" s="119"/>
      <c r="VTC402" s="120"/>
      <c r="VTD402" s="120"/>
      <c r="VTE402" s="120"/>
      <c r="VTF402" s="120"/>
      <c r="VTG402" s="120"/>
      <c r="VTH402" s="121"/>
      <c r="VTI402" s="119"/>
      <c r="VTJ402" s="120"/>
      <c r="VTK402" s="120"/>
      <c r="VTL402" s="120"/>
      <c r="VTM402" s="120"/>
      <c r="VTN402" s="120"/>
      <c r="VTO402" s="121"/>
      <c r="VTP402" s="119"/>
      <c r="VTQ402" s="120"/>
      <c r="VTR402" s="120"/>
      <c r="VTS402" s="120"/>
      <c r="VTT402" s="120"/>
      <c r="VTU402" s="120"/>
      <c r="VTV402" s="121"/>
      <c r="VTW402" s="119"/>
      <c r="VTX402" s="120"/>
      <c r="VTY402" s="120"/>
      <c r="VTZ402" s="120"/>
      <c r="VUA402" s="120"/>
      <c r="VUB402" s="120"/>
      <c r="VUC402" s="121"/>
      <c r="VUD402" s="119"/>
      <c r="VUE402" s="120"/>
      <c r="VUF402" s="120"/>
      <c r="VUG402" s="120"/>
      <c r="VUH402" s="120"/>
      <c r="VUI402" s="120"/>
      <c r="VUJ402" s="121"/>
      <c r="VUK402" s="119"/>
      <c r="VUL402" s="120"/>
      <c r="VUM402" s="120"/>
      <c r="VUN402" s="120"/>
      <c r="VUO402" s="120"/>
      <c r="VUP402" s="120"/>
      <c r="VUQ402" s="121"/>
      <c r="VUR402" s="119"/>
      <c r="VUS402" s="120"/>
      <c r="VUT402" s="120"/>
      <c r="VUU402" s="120"/>
      <c r="VUV402" s="120"/>
      <c r="VUW402" s="120"/>
      <c r="VUX402" s="121"/>
      <c r="VUY402" s="119"/>
      <c r="VUZ402" s="120"/>
      <c r="VVA402" s="120"/>
      <c r="VVB402" s="120"/>
      <c r="VVC402" s="120"/>
      <c r="VVD402" s="120"/>
      <c r="VVE402" s="121"/>
      <c r="VVF402" s="119"/>
      <c r="VVG402" s="120"/>
      <c r="VVH402" s="120"/>
      <c r="VVI402" s="120"/>
      <c r="VVJ402" s="120"/>
      <c r="VVK402" s="120"/>
      <c r="VVL402" s="121"/>
      <c r="VVM402" s="119"/>
      <c r="VVN402" s="120"/>
      <c r="VVO402" s="120"/>
      <c r="VVP402" s="120"/>
      <c r="VVQ402" s="120"/>
      <c r="VVR402" s="120"/>
      <c r="VVS402" s="121"/>
      <c r="VVT402" s="119"/>
      <c r="VVU402" s="120"/>
      <c r="VVV402" s="120"/>
      <c r="VVW402" s="120"/>
      <c r="VVX402" s="120"/>
      <c r="VVY402" s="120"/>
      <c r="VVZ402" s="121"/>
      <c r="VWA402" s="119"/>
      <c r="VWB402" s="120"/>
      <c r="VWC402" s="120"/>
      <c r="VWD402" s="120"/>
      <c r="VWE402" s="120"/>
      <c r="VWF402" s="120"/>
      <c r="VWG402" s="121"/>
      <c r="VWH402" s="119"/>
      <c r="VWI402" s="120"/>
      <c r="VWJ402" s="120"/>
      <c r="VWK402" s="120"/>
      <c r="VWL402" s="120"/>
      <c r="VWM402" s="120"/>
      <c r="VWN402" s="121"/>
      <c r="VWO402" s="119"/>
      <c r="VWP402" s="120"/>
      <c r="VWQ402" s="120"/>
      <c r="VWR402" s="120"/>
      <c r="VWS402" s="120"/>
      <c r="VWT402" s="120"/>
      <c r="VWU402" s="121"/>
      <c r="VWV402" s="119"/>
      <c r="VWW402" s="120"/>
      <c r="VWX402" s="120"/>
      <c r="VWY402" s="120"/>
      <c r="VWZ402" s="120"/>
      <c r="VXA402" s="120"/>
      <c r="VXB402" s="121"/>
      <c r="VXC402" s="119"/>
      <c r="VXD402" s="120"/>
      <c r="VXE402" s="120"/>
      <c r="VXF402" s="120"/>
      <c r="VXG402" s="120"/>
      <c r="VXH402" s="120"/>
      <c r="VXI402" s="121"/>
      <c r="VXJ402" s="119"/>
      <c r="VXK402" s="120"/>
      <c r="VXL402" s="120"/>
      <c r="VXM402" s="120"/>
      <c r="VXN402" s="120"/>
      <c r="VXO402" s="120"/>
      <c r="VXP402" s="121"/>
      <c r="VXQ402" s="119"/>
      <c r="VXR402" s="120"/>
      <c r="VXS402" s="120"/>
      <c r="VXT402" s="120"/>
      <c r="VXU402" s="120"/>
      <c r="VXV402" s="120"/>
      <c r="VXW402" s="121"/>
      <c r="VXX402" s="119"/>
      <c r="VXY402" s="120"/>
      <c r="VXZ402" s="120"/>
      <c r="VYA402" s="120"/>
      <c r="VYB402" s="120"/>
      <c r="VYC402" s="120"/>
      <c r="VYD402" s="121"/>
      <c r="VYE402" s="119"/>
      <c r="VYF402" s="120"/>
      <c r="VYG402" s="120"/>
      <c r="VYH402" s="120"/>
      <c r="VYI402" s="120"/>
      <c r="VYJ402" s="120"/>
      <c r="VYK402" s="121"/>
      <c r="VYL402" s="119"/>
      <c r="VYM402" s="120"/>
      <c r="VYN402" s="120"/>
      <c r="VYO402" s="120"/>
      <c r="VYP402" s="120"/>
      <c r="VYQ402" s="120"/>
      <c r="VYR402" s="121"/>
      <c r="VYS402" s="119"/>
      <c r="VYT402" s="120"/>
      <c r="VYU402" s="120"/>
      <c r="VYV402" s="120"/>
      <c r="VYW402" s="120"/>
      <c r="VYX402" s="120"/>
      <c r="VYY402" s="121"/>
      <c r="VYZ402" s="119"/>
      <c r="VZA402" s="120"/>
      <c r="VZB402" s="120"/>
      <c r="VZC402" s="120"/>
      <c r="VZD402" s="120"/>
      <c r="VZE402" s="120"/>
      <c r="VZF402" s="121"/>
      <c r="VZG402" s="119"/>
      <c r="VZH402" s="120"/>
      <c r="VZI402" s="120"/>
      <c r="VZJ402" s="120"/>
      <c r="VZK402" s="120"/>
      <c r="VZL402" s="120"/>
      <c r="VZM402" s="121"/>
      <c r="VZN402" s="119"/>
      <c r="VZO402" s="120"/>
      <c r="VZP402" s="120"/>
      <c r="VZQ402" s="120"/>
      <c r="VZR402" s="120"/>
      <c r="VZS402" s="120"/>
      <c r="VZT402" s="121"/>
      <c r="VZU402" s="119"/>
      <c r="VZV402" s="120"/>
      <c r="VZW402" s="120"/>
      <c r="VZX402" s="120"/>
      <c r="VZY402" s="120"/>
      <c r="VZZ402" s="120"/>
      <c r="WAA402" s="121"/>
      <c r="WAB402" s="119"/>
      <c r="WAC402" s="120"/>
      <c r="WAD402" s="120"/>
      <c r="WAE402" s="120"/>
      <c r="WAF402" s="120"/>
      <c r="WAG402" s="120"/>
      <c r="WAH402" s="121"/>
      <c r="WAI402" s="119"/>
      <c r="WAJ402" s="120"/>
      <c r="WAK402" s="120"/>
      <c r="WAL402" s="120"/>
      <c r="WAM402" s="120"/>
      <c r="WAN402" s="120"/>
      <c r="WAO402" s="121"/>
      <c r="WAP402" s="119"/>
      <c r="WAQ402" s="120"/>
      <c r="WAR402" s="120"/>
      <c r="WAS402" s="120"/>
      <c r="WAT402" s="120"/>
      <c r="WAU402" s="120"/>
      <c r="WAV402" s="121"/>
      <c r="WAW402" s="119"/>
      <c r="WAX402" s="120"/>
      <c r="WAY402" s="120"/>
      <c r="WAZ402" s="120"/>
      <c r="WBA402" s="120"/>
      <c r="WBB402" s="120"/>
      <c r="WBC402" s="121"/>
      <c r="WBD402" s="119"/>
      <c r="WBE402" s="120"/>
      <c r="WBF402" s="120"/>
      <c r="WBG402" s="120"/>
      <c r="WBH402" s="120"/>
      <c r="WBI402" s="120"/>
      <c r="WBJ402" s="121"/>
      <c r="WBK402" s="119"/>
      <c r="WBL402" s="120"/>
      <c r="WBM402" s="120"/>
      <c r="WBN402" s="120"/>
      <c r="WBO402" s="120"/>
      <c r="WBP402" s="120"/>
      <c r="WBQ402" s="121"/>
      <c r="WBR402" s="119"/>
      <c r="WBS402" s="120"/>
      <c r="WBT402" s="120"/>
      <c r="WBU402" s="120"/>
      <c r="WBV402" s="120"/>
      <c r="WBW402" s="120"/>
      <c r="WBX402" s="121"/>
      <c r="WBY402" s="119"/>
      <c r="WBZ402" s="120"/>
      <c r="WCA402" s="120"/>
      <c r="WCB402" s="120"/>
      <c r="WCC402" s="120"/>
      <c r="WCD402" s="120"/>
      <c r="WCE402" s="121"/>
      <c r="WCF402" s="119"/>
      <c r="WCG402" s="120"/>
      <c r="WCH402" s="120"/>
      <c r="WCI402" s="120"/>
      <c r="WCJ402" s="120"/>
      <c r="WCK402" s="120"/>
      <c r="WCL402" s="121"/>
      <c r="WCM402" s="119"/>
      <c r="WCN402" s="120"/>
      <c r="WCO402" s="120"/>
      <c r="WCP402" s="120"/>
      <c r="WCQ402" s="120"/>
      <c r="WCR402" s="120"/>
      <c r="WCS402" s="121"/>
      <c r="WCT402" s="119"/>
      <c r="WCU402" s="120"/>
      <c r="WCV402" s="120"/>
      <c r="WCW402" s="120"/>
      <c r="WCX402" s="120"/>
      <c r="WCY402" s="120"/>
      <c r="WCZ402" s="121"/>
      <c r="WDA402" s="119"/>
      <c r="WDB402" s="120"/>
      <c r="WDC402" s="120"/>
      <c r="WDD402" s="120"/>
      <c r="WDE402" s="120"/>
      <c r="WDF402" s="120"/>
      <c r="WDG402" s="121"/>
      <c r="WDH402" s="119"/>
      <c r="WDI402" s="120"/>
      <c r="WDJ402" s="120"/>
      <c r="WDK402" s="120"/>
      <c r="WDL402" s="120"/>
      <c r="WDM402" s="120"/>
      <c r="WDN402" s="121"/>
      <c r="WDO402" s="119"/>
      <c r="WDP402" s="120"/>
      <c r="WDQ402" s="120"/>
      <c r="WDR402" s="120"/>
      <c r="WDS402" s="120"/>
      <c r="WDT402" s="120"/>
      <c r="WDU402" s="121"/>
      <c r="WDV402" s="119"/>
      <c r="WDW402" s="120"/>
      <c r="WDX402" s="120"/>
      <c r="WDY402" s="120"/>
      <c r="WDZ402" s="120"/>
      <c r="WEA402" s="120"/>
      <c r="WEB402" s="121"/>
      <c r="WEC402" s="119"/>
      <c r="WED402" s="120"/>
      <c r="WEE402" s="120"/>
      <c r="WEF402" s="120"/>
      <c r="WEG402" s="120"/>
      <c r="WEH402" s="120"/>
      <c r="WEI402" s="121"/>
      <c r="WEJ402" s="119"/>
      <c r="WEK402" s="120"/>
      <c r="WEL402" s="120"/>
      <c r="WEM402" s="120"/>
      <c r="WEN402" s="120"/>
      <c r="WEO402" s="120"/>
      <c r="WEP402" s="121"/>
      <c r="WEQ402" s="119"/>
      <c r="WER402" s="120"/>
      <c r="WES402" s="120"/>
      <c r="WET402" s="120"/>
      <c r="WEU402" s="120"/>
      <c r="WEV402" s="120"/>
      <c r="WEW402" s="121"/>
      <c r="WEX402" s="119"/>
      <c r="WEY402" s="120"/>
      <c r="WEZ402" s="120"/>
      <c r="WFA402" s="120"/>
      <c r="WFB402" s="120"/>
      <c r="WFC402" s="120"/>
      <c r="WFD402" s="121"/>
      <c r="WFE402" s="119"/>
      <c r="WFF402" s="120"/>
      <c r="WFG402" s="120"/>
      <c r="WFH402" s="120"/>
      <c r="WFI402" s="120"/>
      <c r="WFJ402" s="120"/>
      <c r="WFK402" s="121"/>
      <c r="WFL402" s="119"/>
      <c r="WFM402" s="120"/>
      <c r="WFN402" s="120"/>
      <c r="WFO402" s="120"/>
      <c r="WFP402" s="120"/>
      <c r="WFQ402" s="120"/>
      <c r="WFR402" s="121"/>
      <c r="WFS402" s="119"/>
      <c r="WFT402" s="120"/>
      <c r="WFU402" s="120"/>
      <c r="WFV402" s="120"/>
      <c r="WFW402" s="120"/>
      <c r="WFX402" s="120"/>
      <c r="WFY402" s="121"/>
      <c r="WFZ402" s="119"/>
      <c r="WGA402" s="120"/>
      <c r="WGB402" s="120"/>
      <c r="WGC402" s="120"/>
      <c r="WGD402" s="120"/>
      <c r="WGE402" s="120"/>
      <c r="WGF402" s="121"/>
      <c r="WGG402" s="119"/>
      <c r="WGH402" s="120"/>
      <c r="WGI402" s="120"/>
      <c r="WGJ402" s="120"/>
      <c r="WGK402" s="120"/>
      <c r="WGL402" s="120"/>
      <c r="WGM402" s="121"/>
      <c r="WGN402" s="119"/>
      <c r="WGO402" s="120"/>
      <c r="WGP402" s="120"/>
      <c r="WGQ402" s="120"/>
      <c r="WGR402" s="120"/>
      <c r="WGS402" s="120"/>
      <c r="WGT402" s="121"/>
      <c r="WGU402" s="119"/>
      <c r="WGV402" s="120"/>
      <c r="WGW402" s="120"/>
      <c r="WGX402" s="120"/>
      <c r="WGY402" s="120"/>
      <c r="WGZ402" s="120"/>
      <c r="WHA402" s="121"/>
      <c r="WHB402" s="119"/>
      <c r="WHC402" s="120"/>
      <c r="WHD402" s="120"/>
      <c r="WHE402" s="120"/>
      <c r="WHF402" s="120"/>
      <c r="WHG402" s="120"/>
      <c r="WHH402" s="121"/>
      <c r="WHI402" s="119"/>
      <c r="WHJ402" s="120"/>
      <c r="WHK402" s="120"/>
      <c r="WHL402" s="120"/>
      <c r="WHM402" s="120"/>
      <c r="WHN402" s="120"/>
      <c r="WHO402" s="121"/>
      <c r="WHP402" s="119"/>
      <c r="WHQ402" s="120"/>
      <c r="WHR402" s="120"/>
      <c r="WHS402" s="120"/>
      <c r="WHT402" s="120"/>
      <c r="WHU402" s="120"/>
      <c r="WHV402" s="121"/>
      <c r="WHW402" s="119"/>
      <c r="WHX402" s="120"/>
      <c r="WHY402" s="120"/>
      <c r="WHZ402" s="120"/>
      <c r="WIA402" s="120"/>
      <c r="WIB402" s="120"/>
      <c r="WIC402" s="121"/>
      <c r="WID402" s="119"/>
      <c r="WIE402" s="120"/>
      <c r="WIF402" s="120"/>
      <c r="WIG402" s="120"/>
      <c r="WIH402" s="120"/>
      <c r="WII402" s="120"/>
      <c r="WIJ402" s="121"/>
      <c r="WIK402" s="119"/>
      <c r="WIL402" s="120"/>
      <c r="WIM402" s="120"/>
      <c r="WIN402" s="120"/>
      <c r="WIO402" s="120"/>
      <c r="WIP402" s="120"/>
      <c r="WIQ402" s="121"/>
      <c r="WIR402" s="119"/>
      <c r="WIS402" s="120"/>
      <c r="WIT402" s="120"/>
      <c r="WIU402" s="120"/>
      <c r="WIV402" s="120"/>
      <c r="WIW402" s="120"/>
      <c r="WIX402" s="121"/>
      <c r="WIY402" s="119"/>
      <c r="WIZ402" s="120"/>
      <c r="WJA402" s="120"/>
      <c r="WJB402" s="120"/>
      <c r="WJC402" s="120"/>
      <c r="WJD402" s="120"/>
      <c r="WJE402" s="121"/>
      <c r="WJF402" s="119"/>
      <c r="WJG402" s="120"/>
      <c r="WJH402" s="120"/>
      <c r="WJI402" s="120"/>
      <c r="WJJ402" s="120"/>
      <c r="WJK402" s="120"/>
      <c r="WJL402" s="121"/>
      <c r="WJM402" s="119"/>
      <c r="WJN402" s="120"/>
      <c r="WJO402" s="120"/>
      <c r="WJP402" s="120"/>
      <c r="WJQ402" s="120"/>
      <c r="WJR402" s="120"/>
      <c r="WJS402" s="121"/>
      <c r="WJT402" s="119"/>
      <c r="WJU402" s="120"/>
      <c r="WJV402" s="120"/>
      <c r="WJW402" s="120"/>
      <c r="WJX402" s="120"/>
      <c r="WJY402" s="120"/>
      <c r="WJZ402" s="121"/>
      <c r="WKA402" s="119"/>
      <c r="WKB402" s="120"/>
      <c r="WKC402" s="120"/>
      <c r="WKD402" s="120"/>
      <c r="WKE402" s="120"/>
      <c r="WKF402" s="120"/>
      <c r="WKG402" s="121"/>
      <c r="WKH402" s="119"/>
      <c r="WKI402" s="120"/>
      <c r="WKJ402" s="120"/>
      <c r="WKK402" s="120"/>
      <c r="WKL402" s="120"/>
      <c r="WKM402" s="120"/>
      <c r="WKN402" s="121"/>
      <c r="WKO402" s="119"/>
      <c r="WKP402" s="120"/>
      <c r="WKQ402" s="120"/>
      <c r="WKR402" s="120"/>
      <c r="WKS402" s="120"/>
      <c r="WKT402" s="120"/>
      <c r="WKU402" s="121"/>
      <c r="WKV402" s="119"/>
      <c r="WKW402" s="120"/>
      <c r="WKX402" s="120"/>
      <c r="WKY402" s="120"/>
      <c r="WKZ402" s="120"/>
      <c r="WLA402" s="120"/>
      <c r="WLB402" s="121"/>
      <c r="WLC402" s="119"/>
      <c r="WLD402" s="120"/>
      <c r="WLE402" s="120"/>
      <c r="WLF402" s="120"/>
      <c r="WLG402" s="120"/>
      <c r="WLH402" s="120"/>
      <c r="WLI402" s="121"/>
      <c r="WLJ402" s="119"/>
      <c r="WLK402" s="120"/>
      <c r="WLL402" s="120"/>
      <c r="WLM402" s="120"/>
      <c r="WLN402" s="120"/>
      <c r="WLO402" s="120"/>
      <c r="WLP402" s="121"/>
      <c r="WLQ402" s="119"/>
      <c r="WLR402" s="120"/>
      <c r="WLS402" s="120"/>
      <c r="WLT402" s="120"/>
      <c r="WLU402" s="120"/>
      <c r="WLV402" s="120"/>
      <c r="WLW402" s="121"/>
      <c r="WLX402" s="119"/>
      <c r="WLY402" s="120"/>
      <c r="WLZ402" s="120"/>
      <c r="WMA402" s="120"/>
      <c r="WMB402" s="120"/>
      <c r="WMC402" s="120"/>
      <c r="WMD402" s="121"/>
      <c r="WME402" s="119"/>
      <c r="WMF402" s="120"/>
      <c r="WMG402" s="120"/>
      <c r="WMH402" s="120"/>
      <c r="WMI402" s="120"/>
      <c r="WMJ402" s="120"/>
      <c r="WMK402" s="121"/>
      <c r="WML402" s="119"/>
      <c r="WMM402" s="120"/>
      <c r="WMN402" s="120"/>
      <c r="WMO402" s="120"/>
      <c r="WMP402" s="120"/>
      <c r="WMQ402" s="120"/>
      <c r="WMR402" s="121"/>
      <c r="WMS402" s="119"/>
      <c r="WMT402" s="120"/>
      <c r="WMU402" s="120"/>
      <c r="WMV402" s="120"/>
      <c r="WMW402" s="120"/>
      <c r="WMX402" s="120"/>
      <c r="WMY402" s="121"/>
      <c r="WMZ402" s="119"/>
      <c r="WNA402" s="120"/>
      <c r="WNB402" s="120"/>
      <c r="WNC402" s="120"/>
      <c r="WND402" s="120"/>
      <c r="WNE402" s="120"/>
      <c r="WNF402" s="121"/>
      <c r="WNG402" s="119"/>
      <c r="WNH402" s="120"/>
      <c r="WNI402" s="120"/>
      <c r="WNJ402" s="120"/>
      <c r="WNK402" s="120"/>
      <c r="WNL402" s="120"/>
      <c r="WNM402" s="121"/>
      <c r="WNN402" s="119"/>
      <c r="WNO402" s="120"/>
      <c r="WNP402" s="120"/>
      <c r="WNQ402" s="120"/>
      <c r="WNR402" s="120"/>
      <c r="WNS402" s="120"/>
      <c r="WNT402" s="121"/>
      <c r="WNU402" s="119"/>
      <c r="WNV402" s="120"/>
      <c r="WNW402" s="120"/>
      <c r="WNX402" s="120"/>
      <c r="WNY402" s="120"/>
      <c r="WNZ402" s="120"/>
      <c r="WOA402" s="121"/>
      <c r="WOB402" s="119"/>
      <c r="WOC402" s="120"/>
      <c r="WOD402" s="120"/>
      <c r="WOE402" s="120"/>
      <c r="WOF402" s="120"/>
      <c r="WOG402" s="120"/>
      <c r="WOH402" s="121"/>
      <c r="WOI402" s="119"/>
      <c r="WOJ402" s="120"/>
      <c r="WOK402" s="120"/>
      <c r="WOL402" s="120"/>
      <c r="WOM402" s="120"/>
      <c r="WON402" s="120"/>
      <c r="WOO402" s="121"/>
      <c r="WOP402" s="119"/>
      <c r="WOQ402" s="120"/>
      <c r="WOR402" s="120"/>
      <c r="WOS402" s="120"/>
      <c r="WOT402" s="120"/>
      <c r="WOU402" s="120"/>
      <c r="WOV402" s="121"/>
      <c r="WOW402" s="119"/>
      <c r="WOX402" s="120"/>
      <c r="WOY402" s="120"/>
      <c r="WOZ402" s="120"/>
      <c r="WPA402" s="120"/>
      <c r="WPB402" s="120"/>
      <c r="WPC402" s="121"/>
      <c r="WPD402" s="119"/>
      <c r="WPE402" s="120"/>
      <c r="WPF402" s="120"/>
      <c r="WPG402" s="120"/>
      <c r="WPH402" s="120"/>
      <c r="WPI402" s="120"/>
      <c r="WPJ402" s="121"/>
      <c r="WPK402" s="119"/>
      <c r="WPL402" s="120"/>
      <c r="WPM402" s="120"/>
      <c r="WPN402" s="120"/>
      <c r="WPO402" s="120"/>
      <c r="WPP402" s="120"/>
      <c r="WPQ402" s="121"/>
      <c r="WPR402" s="119"/>
      <c r="WPS402" s="120"/>
      <c r="WPT402" s="120"/>
      <c r="WPU402" s="120"/>
      <c r="WPV402" s="120"/>
      <c r="WPW402" s="120"/>
      <c r="WPX402" s="121"/>
      <c r="WPY402" s="119"/>
      <c r="WPZ402" s="120"/>
      <c r="WQA402" s="120"/>
      <c r="WQB402" s="120"/>
      <c r="WQC402" s="120"/>
      <c r="WQD402" s="120"/>
      <c r="WQE402" s="121"/>
      <c r="WQF402" s="119"/>
      <c r="WQG402" s="120"/>
      <c r="WQH402" s="120"/>
      <c r="WQI402" s="120"/>
      <c r="WQJ402" s="120"/>
      <c r="WQK402" s="120"/>
      <c r="WQL402" s="121"/>
      <c r="WQM402" s="119"/>
      <c r="WQN402" s="120"/>
      <c r="WQO402" s="120"/>
      <c r="WQP402" s="120"/>
      <c r="WQQ402" s="120"/>
      <c r="WQR402" s="120"/>
      <c r="WQS402" s="121"/>
      <c r="WQT402" s="119"/>
      <c r="WQU402" s="120"/>
      <c r="WQV402" s="120"/>
      <c r="WQW402" s="120"/>
      <c r="WQX402" s="120"/>
      <c r="WQY402" s="120"/>
      <c r="WQZ402" s="121"/>
      <c r="WRA402" s="119"/>
      <c r="WRB402" s="120"/>
      <c r="WRC402" s="120"/>
      <c r="WRD402" s="120"/>
      <c r="WRE402" s="120"/>
      <c r="WRF402" s="120"/>
      <c r="WRG402" s="121"/>
      <c r="WRH402" s="119"/>
      <c r="WRI402" s="120"/>
      <c r="WRJ402" s="120"/>
      <c r="WRK402" s="120"/>
      <c r="WRL402" s="120"/>
      <c r="WRM402" s="120"/>
      <c r="WRN402" s="121"/>
      <c r="WRO402" s="119"/>
      <c r="WRP402" s="120"/>
      <c r="WRQ402" s="120"/>
      <c r="WRR402" s="120"/>
      <c r="WRS402" s="120"/>
      <c r="WRT402" s="120"/>
      <c r="WRU402" s="121"/>
      <c r="WRV402" s="119"/>
      <c r="WRW402" s="120"/>
      <c r="WRX402" s="120"/>
      <c r="WRY402" s="120"/>
      <c r="WRZ402" s="120"/>
      <c r="WSA402" s="120"/>
      <c r="WSB402" s="121"/>
      <c r="WSC402" s="119"/>
      <c r="WSD402" s="120"/>
      <c r="WSE402" s="120"/>
      <c r="WSF402" s="120"/>
      <c r="WSG402" s="120"/>
      <c r="WSH402" s="120"/>
      <c r="WSI402" s="121"/>
      <c r="WSJ402" s="119"/>
      <c r="WSK402" s="120"/>
      <c r="WSL402" s="120"/>
      <c r="WSM402" s="120"/>
      <c r="WSN402" s="120"/>
      <c r="WSO402" s="120"/>
      <c r="WSP402" s="121"/>
      <c r="WSQ402" s="119"/>
      <c r="WSR402" s="120"/>
      <c r="WSS402" s="120"/>
      <c r="WST402" s="120"/>
      <c r="WSU402" s="120"/>
      <c r="WSV402" s="120"/>
      <c r="WSW402" s="121"/>
      <c r="WSX402" s="119"/>
      <c r="WSY402" s="120"/>
      <c r="WSZ402" s="120"/>
      <c r="WTA402" s="120"/>
      <c r="WTB402" s="120"/>
      <c r="WTC402" s="120"/>
      <c r="WTD402" s="121"/>
      <c r="WTE402" s="119"/>
      <c r="WTF402" s="120"/>
      <c r="WTG402" s="120"/>
      <c r="WTH402" s="120"/>
      <c r="WTI402" s="120"/>
      <c r="WTJ402" s="120"/>
      <c r="WTK402" s="121"/>
      <c r="WTL402" s="119"/>
      <c r="WTM402" s="120"/>
      <c r="WTN402" s="120"/>
      <c r="WTO402" s="120"/>
      <c r="WTP402" s="120"/>
      <c r="WTQ402" s="120"/>
      <c r="WTR402" s="121"/>
      <c r="WTS402" s="119"/>
      <c r="WTT402" s="120"/>
      <c r="WTU402" s="120"/>
      <c r="WTV402" s="120"/>
      <c r="WTW402" s="120"/>
      <c r="WTX402" s="120"/>
      <c r="WTY402" s="121"/>
      <c r="WTZ402" s="119"/>
      <c r="WUA402" s="120"/>
      <c r="WUB402" s="120"/>
      <c r="WUC402" s="120"/>
      <c r="WUD402" s="120"/>
      <c r="WUE402" s="120"/>
      <c r="WUF402" s="121"/>
      <c r="WUG402" s="119"/>
      <c r="WUH402" s="120"/>
      <c r="WUI402" s="120"/>
      <c r="WUJ402" s="120"/>
      <c r="WUK402" s="120"/>
      <c r="WUL402" s="120"/>
      <c r="WUM402" s="121"/>
      <c r="WUN402" s="119"/>
      <c r="WUO402" s="120"/>
      <c r="WUP402" s="120"/>
      <c r="WUQ402" s="120"/>
      <c r="WUR402" s="120"/>
      <c r="WUS402" s="120"/>
      <c r="WUT402" s="121"/>
      <c r="WUU402" s="119"/>
      <c r="WUV402" s="120"/>
      <c r="WUW402" s="120"/>
      <c r="WUX402" s="120"/>
      <c r="WUY402" s="120"/>
      <c r="WUZ402" s="120"/>
      <c r="WVA402" s="121"/>
      <c r="WVB402" s="119"/>
      <c r="WVC402" s="120"/>
      <c r="WVD402" s="120"/>
      <c r="WVE402" s="120"/>
      <c r="WVF402" s="120"/>
      <c r="WVG402" s="120"/>
      <c r="WVH402" s="121"/>
      <c r="WVI402" s="119"/>
      <c r="WVJ402" s="120"/>
      <c r="WVK402" s="120"/>
      <c r="WVL402" s="120"/>
      <c r="WVM402" s="120"/>
      <c r="WVN402" s="120"/>
      <c r="WVO402" s="121"/>
      <c r="WVP402" s="119"/>
      <c r="WVQ402" s="120"/>
      <c r="WVR402" s="120"/>
      <c r="WVS402" s="120"/>
      <c r="WVT402" s="120"/>
      <c r="WVU402" s="120"/>
      <c r="WVV402" s="121"/>
      <c r="WVW402" s="119"/>
      <c r="WVX402" s="120"/>
      <c r="WVY402" s="120"/>
      <c r="WVZ402" s="120"/>
      <c r="WWA402" s="120"/>
      <c r="WWB402" s="120"/>
      <c r="WWC402" s="121"/>
      <c r="WWD402" s="119"/>
      <c r="WWE402" s="120"/>
      <c r="WWF402" s="120"/>
      <c r="WWG402" s="120"/>
      <c r="WWH402" s="120"/>
      <c r="WWI402" s="120"/>
      <c r="WWJ402" s="121"/>
      <c r="WWK402" s="119"/>
      <c r="WWL402" s="120"/>
      <c r="WWM402" s="120"/>
      <c r="WWN402" s="120"/>
      <c r="WWO402" s="120"/>
      <c r="WWP402" s="120"/>
      <c r="WWQ402" s="121"/>
      <c r="WWR402" s="119"/>
      <c r="WWS402" s="120"/>
      <c r="WWT402" s="120"/>
      <c r="WWU402" s="120"/>
      <c r="WWV402" s="120"/>
      <c r="WWW402" s="120"/>
      <c r="WWX402" s="121"/>
      <c r="WWY402" s="119"/>
      <c r="WWZ402" s="120"/>
      <c r="WXA402" s="120"/>
      <c r="WXB402" s="120"/>
      <c r="WXC402" s="120"/>
      <c r="WXD402" s="120"/>
      <c r="WXE402" s="121"/>
      <c r="WXF402" s="119"/>
      <c r="WXG402" s="120"/>
      <c r="WXH402" s="120"/>
      <c r="WXI402" s="120"/>
      <c r="WXJ402" s="120"/>
      <c r="WXK402" s="120"/>
      <c r="WXL402" s="121"/>
      <c r="WXM402" s="119"/>
      <c r="WXN402" s="120"/>
      <c r="WXO402" s="120"/>
      <c r="WXP402" s="120"/>
      <c r="WXQ402" s="120"/>
      <c r="WXR402" s="120"/>
      <c r="WXS402" s="121"/>
      <c r="WXT402" s="119"/>
      <c r="WXU402" s="120"/>
      <c r="WXV402" s="120"/>
      <c r="WXW402" s="120"/>
      <c r="WXX402" s="120"/>
      <c r="WXY402" s="120"/>
      <c r="WXZ402" s="121"/>
      <c r="WYA402" s="119"/>
      <c r="WYB402" s="120"/>
      <c r="WYC402" s="120"/>
      <c r="WYD402" s="120"/>
      <c r="WYE402" s="120"/>
      <c r="WYF402" s="120"/>
      <c r="WYG402" s="121"/>
      <c r="WYH402" s="119"/>
      <c r="WYI402" s="120"/>
      <c r="WYJ402" s="120"/>
      <c r="WYK402" s="120"/>
      <c r="WYL402" s="120"/>
      <c r="WYM402" s="120"/>
      <c r="WYN402" s="121"/>
      <c r="WYO402" s="119"/>
      <c r="WYP402" s="120"/>
      <c r="WYQ402" s="120"/>
      <c r="WYR402" s="120"/>
      <c r="WYS402" s="120"/>
      <c r="WYT402" s="120"/>
      <c r="WYU402" s="121"/>
      <c r="WYV402" s="119"/>
      <c r="WYW402" s="120"/>
      <c r="WYX402" s="120"/>
      <c r="WYY402" s="120"/>
      <c r="WYZ402" s="120"/>
      <c r="WZA402" s="120"/>
      <c r="WZB402" s="121"/>
      <c r="WZC402" s="119"/>
      <c r="WZD402" s="120"/>
      <c r="WZE402" s="120"/>
      <c r="WZF402" s="120"/>
      <c r="WZG402" s="120"/>
      <c r="WZH402" s="120"/>
      <c r="WZI402" s="121"/>
      <c r="WZJ402" s="119"/>
      <c r="WZK402" s="120"/>
      <c r="WZL402" s="120"/>
      <c r="WZM402" s="120"/>
      <c r="WZN402" s="120"/>
      <c r="WZO402" s="120"/>
      <c r="WZP402" s="121"/>
      <c r="WZQ402" s="119"/>
      <c r="WZR402" s="120"/>
      <c r="WZS402" s="120"/>
      <c r="WZT402" s="120"/>
      <c r="WZU402" s="120"/>
      <c r="WZV402" s="120"/>
      <c r="WZW402" s="121"/>
      <c r="WZX402" s="119"/>
      <c r="WZY402" s="120"/>
      <c r="WZZ402" s="120"/>
      <c r="XAA402" s="120"/>
      <c r="XAB402" s="120"/>
      <c r="XAC402" s="120"/>
      <c r="XAD402" s="121"/>
      <c r="XAE402" s="119"/>
      <c r="XAF402" s="120"/>
      <c r="XAG402" s="120"/>
      <c r="XAH402" s="120"/>
      <c r="XAI402" s="120"/>
      <c r="XAJ402" s="120"/>
      <c r="XAK402" s="121"/>
      <c r="XAL402" s="119"/>
      <c r="XAM402" s="120"/>
      <c r="XAN402" s="120"/>
      <c r="XAO402" s="120"/>
      <c r="XAP402" s="120"/>
      <c r="XAQ402" s="120"/>
      <c r="XAR402" s="121"/>
      <c r="XAS402" s="119"/>
      <c r="XAT402" s="120"/>
      <c r="XAU402" s="120"/>
      <c r="XAV402" s="120"/>
      <c r="XAW402" s="120"/>
      <c r="XAX402" s="120"/>
      <c r="XAY402" s="121"/>
      <c r="XAZ402" s="119"/>
      <c r="XBA402" s="120"/>
      <c r="XBB402" s="120"/>
      <c r="XBC402" s="120"/>
      <c r="XBD402" s="120"/>
      <c r="XBE402" s="120"/>
      <c r="XBF402" s="121"/>
      <c r="XBG402" s="119"/>
      <c r="XBH402" s="120"/>
      <c r="XBI402" s="120"/>
      <c r="XBJ402" s="120"/>
      <c r="XBK402" s="120"/>
      <c r="XBL402" s="120"/>
      <c r="XBM402" s="121"/>
      <c r="XBN402" s="119"/>
      <c r="XBO402" s="120"/>
      <c r="XBP402" s="120"/>
      <c r="XBQ402" s="120"/>
      <c r="XBR402" s="120"/>
      <c r="XBS402" s="120"/>
      <c r="XBT402" s="121"/>
      <c r="XBU402" s="119"/>
      <c r="XBV402" s="120"/>
      <c r="XBW402" s="120"/>
      <c r="XBX402" s="120"/>
      <c r="XBY402" s="120"/>
      <c r="XBZ402" s="120"/>
      <c r="XCA402" s="121"/>
      <c r="XCB402" s="119"/>
      <c r="XCC402" s="120"/>
      <c r="XCD402" s="120"/>
      <c r="XCE402" s="120"/>
      <c r="XCF402" s="120"/>
      <c r="XCG402" s="120"/>
      <c r="XCH402" s="121"/>
      <c r="XCI402" s="119"/>
      <c r="XCJ402" s="120"/>
      <c r="XCK402" s="120"/>
      <c r="XCL402" s="120"/>
      <c r="XCM402" s="120"/>
      <c r="XCN402" s="120"/>
      <c r="XCO402" s="121"/>
      <c r="XCP402" s="119"/>
      <c r="XCQ402" s="120"/>
      <c r="XCR402" s="120"/>
      <c r="XCS402" s="120"/>
      <c r="XCT402" s="120"/>
      <c r="XCU402" s="120"/>
      <c r="XCV402" s="121"/>
      <c r="XCW402" s="119"/>
      <c r="XCX402" s="120"/>
      <c r="XCY402" s="120"/>
      <c r="XCZ402" s="120"/>
      <c r="XDA402" s="120"/>
      <c r="XDB402" s="120"/>
      <c r="XDC402" s="121"/>
      <c r="XDD402" s="119"/>
      <c r="XDE402" s="120"/>
      <c r="XDF402" s="120"/>
      <c r="XDG402" s="120"/>
      <c r="XDH402" s="120"/>
      <c r="XDI402" s="120"/>
      <c r="XDJ402" s="121"/>
      <c r="XDK402" s="119"/>
      <c r="XDL402" s="120"/>
      <c r="XDM402" s="120"/>
      <c r="XDN402" s="120"/>
      <c r="XDO402" s="120"/>
      <c r="XDP402" s="120"/>
      <c r="XDQ402" s="121"/>
      <c r="XDR402" s="119"/>
      <c r="XDS402" s="120"/>
      <c r="XDT402" s="120"/>
      <c r="XDU402" s="120"/>
      <c r="XDV402" s="120"/>
      <c r="XDW402" s="120"/>
      <c r="XDX402" s="121"/>
      <c r="XDY402" s="119"/>
      <c r="XDZ402" s="120"/>
      <c r="XEA402" s="120"/>
      <c r="XEB402" s="120"/>
      <c r="XEC402" s="120"/>
      <c r="XED402" s="120"/>
      <c r="XEE402" s="121"/>
      <c r="XEF402" s="119"/>
      <c r="XEG402" s="120"/>
      <c r="XEH402" s="120"/>
      <c r="XEI402" s="120"/>
      <c r="XEJ402" s="120"/>
      <c r="XEK402" s="120"/>
      <c r="XEL402" s="121"/>
      <c r="XEM402" s="119"/>
      <c r="XEN402" s="120"/>
      <c r="XEO402" s="120"/>
      <c r="XEP402" s="120"/>
      <c r="XEQ402" s="120"/>
      <c r="XER402" s="120"/>
      <c r="XES402" s="121"/>
      <c r="XET402" s="119"/>
      <c r="XEU402" s="120"/>
      <c r="XEV402" s="120"/>
      <c r="XEW402" s="120"/>
      <c r="XEX402" s="120"/>
      <c r="XEY402" s="120"/>
      <c r="XEZ402" s="121"/>
      <c r="XFA402" s="119"/>
      <c r="XFB402" s="120"/>
      <c r="XFC402" s="120"/>
      <c r="XFD402" s="120"/>
    </row>
    <row r="403" spans="1:16384" s="13" customFormat="1" x14ac:dyDescent="0.2">
      <c r="A403" s="43"/>
      <c r="B403" s="44"/>
      <c r="C403" s="50"/>
      <c r="D403" s="44"/>
      <c r="E403" s="44"/>
      <c r="F403" s="46"/>
      <c r="G403" s="47"/>
      <c r="H403" s="57"/>
    </row>
    <row r="404" spans="1:16384" s="13" customFormat="1" x14ac:dyDescent="0.2">
      <c r="A404" s="43"/>
      <c r="B404" s="44"/>
      <c r="C404" s="50"/>
      <c r="D404" s="44"/>
      <c r="E404" s="44"/>
      <c r="F404" s="46"/>
      <c r="G404" s="47"/>
      <c r="H404" s="57"/>
    </row>
    <row r="405" spans="1:16384" s="13" customFormat="1" x14ac:dyDescent="0.2">
      <c r="A405" s="43"/>
      <c r="B405" s="14"/>
      <c r="C405" s="49"/>
      <c r="D405" s="57"/>
      <c r="E405" s="15"/>
      <c r="F405" s="47"/>
      <c r="G405" s="15"/>
      <c r="H405" s="15"/>
    </row>
    <row r="406" spans="1:16384" s="13" customFormat="1" x14ac:dyDescent="0.2">
      <c r="A406" s="43"/>
      <c r="B406" s="44"/>
      <c r="C406" s="50"/>
      <c r="D406" s="44"/>
      <c r="E406" s="44"/>
      <c r="F406" s="46"/>
      <c r="G406" s="47"/>
      <c r="H406" s="15"/>
    </row>
    <row r="407" spans="1:16384" s="13" customFormat="1" x14ac:dyDescent="0.2">
      <c r="A407" s="43"/>
      <c r="B407" s="44"/>
      <c r="C407" s="50"/>
      <c r="D407" s="44"/>
      <c r="E407" s="44"/>
      <c r="F407" s="46"/>
      <c r="G407" s="47"/>
      <c r="H407" s="15"/>
    </row>
    <row r="408" spans="1:16384" s="13" customFormat="1" x14ac:dyDescent="0.2">
      <c r="A408" s="43"/>
      <c r="B408" s="44"/>
      <c r="C408" s="50"/>
      <c r="D408" s="44"/>
      <c r="E408" s="44"/>
      <c r="F408" s="46"/>
      <c r="G408" s="47"/>
      <c r="H408" s="57"/>
    </row>
    <row r="409" spans="1:16384" s="13" customFormat="1" x14ac:dyDescent="0.2">
      <c r="A409" s="119"/>
      <c r="B409" s="120"/>
      <c r="C409" s="120"/>
      <c r="D409" s="120"/>
      <c r="E409" s="120"/>
      <c r="F409" s="120"/>
      <c r="G409" s="121"/>
      <c r="H409" s="16"/>
      <c r="O409" s="119"/>
      <c r="P409" s="120"/>
      <c r="Q409" s="120"/>
      <c r="R409" s="120"/>
      <c r="S409" s="120"/>
      <c r="T409" s="120"/>
      <c r="U409" s="121"/>
      <c r="V409" s="119"/>
      <c r="W409" s="120"/>
      <c r="X409" s="120"/>
      <c r="Y409" s="120"/>
      <c r="Z409" s="120"/>
      <c r="AA409" s="120"/>
      <c r="AB409" s="121"/>
      <c r="AC409" s="119"/>
      <c r="AD409" s="120"/>
      <c r="AE409" s="120"/>
      <c r="AF409" s="120"/>
      <c r="AG409" s="120"/>
      <c r="AH409" s="120"/>
      <c r="AI409" s="121"/>
      <c r="AJ409" s="119"/>
      <c r="AK409" s="120"/>
      <c r="AL409" s="120"/>
      <c r="AM409" s="120"/>
      <c r="AN409" s="120"/>
      <c r="AO409" s="120"/>
      <c r="AP409" s="121"/>
      <c r="AQ409" s="119"/>
      <c r="AR409" s="120"/>
      <c r="AS409" s="120"/>
      <c r="AT409" s="120"/>
      <c r="AU409" s="120"/>
      <c r="AV409" s="120"/>
      <c r="AW409" s="121"/>
      <c r="AX409" s="119"/>
      <c r="AY409" s="120"/>
      <c r="AZ409" s="120"/>
      <c r="BA409" s="120"/>
      <c r="BB409" s="120"/>
      <c r="BC409" s="120"/>
      <c r="BD409" s="121"/>
      <c r="BE409" s="119"/>
      <c r="BF409" s="120"/>
      <c r="BG409" s="120"/>
      <c r="BH409" s="120"/>
      <c r="BI409" s="120"/>
      <c r="BJ409" s="120"/>
      <c r="BK409" s="121"/>
      <c r="BL409" s="119"/>
      <c r="BM409" s="120"/>
      <c r="BN409" s="120"/>
      <c r="BO409" s="120"/>
      <c r="BP409" s="120"/>
      <c r="BQ409" s="120"/>
      <c r="BR409" s="121"/>
      <c r="BS409" s="119"/>
      <c r="BT409" s="120"/>
      <c r="BU409" s="120"/>
      <c r="BV409" s="120"/>
      <c r="BW409" s="120"/>
      <c r="BX409" s="120"/>
      <c r="BY409" s="121"/>
      <c r="BZ409" s="119"/>
      <c r="CA409" s="120"/>
      <c r="CB409" s="120"/>
      <c r="CC409" s="120"/>
      <c r="CD409" s="120"/>
      <c r="CE409" s="120"/>
      <c r="CF409" s="121"/>
      <c r="CG409" s="119"/>
      <c r="CH409" s="120"/>
      <c r="CI409" s="120"/>
      <c r="CJ409" s="120"/>
      <c r="CK409" s="120"/>
      <c r="CL409" s="120"/>
      <c r="CM409" s="121"/>
      <c r="CN409" s="119"/>
      <c r="CO409" s="120"/>
      <c r="CP409" s="120"/>
      <c r="CQ409" s="120"/>
      <c r="CR409" s="120"/>
      <c r="CS409" s="120"/>
      <c r="CT409" s="121"/>
      <c r="CU409" s="119"/>
      <c r="CV409" s="120"/>
      <c r="CW409" s="120"/>
      <c r="CX409" s="120"/>
      <c r="CY409" s="120"/>
      <c r="CZ409" s="120"/>
      <c r="DA409" s="121"/>
      <c r="DB409" s="119"/>
      <c r="DC409" s="120"/>
      <c r="DD409" s="120"/>
      <c r="DE409" s="120"/>
      <c r="DF409" s="120"/>
      <c r="DG409" s="120"/>
      <c r="DH409" s="121"/>
      <c r="DI409" s="119"/>
      <c r="DJ409" s="120"/>
      <c r="DK409" s="120"/>
      <c r="DL409" s="120"/>
      <c r="DM409" s="120"/>
      <c r="DN409" s="120"/>
      <c r="DO409" s="121"/>
      <c r="DP409" s="119"/>
      <c r="DQ409" s="120"/>
      <c r="DR409" s="120"/>
      <c r="DS409" s="120"/>
      <c r="DT409" s="120"/>
      <c r="DU409" s="120"/>
      <c r="DV409" s="121"/>
      <c r="DW409" s="119"/>
      <c r="DX409" s="120"/>
      <c r="DY409" s="120"/>
      <c r="DZ409" s="120"/>
      <c r="EA409" s="120"/>
      <c r="EB409" s="120"/>
      <c r="EC409" s="121"/>
      <c r="ED409" s="119"/>
      <c r="EE409" s="120"/>
      <c r="EF409" s="120"/>
      <c r="EG409" s="120"/>
      <c r="EH409" s="120"/>
      <c r="EI409" s="120"/>
      <c r="EJ409" s="121"/>
      <c r="EK409" s="119"/>
      <c r="EL409" s="120"/>
      <c r="EM409" s="120"/>
      <c r="EN409" s="120"/>
      <c r="EO409" s="120"/>
      <c r="EP409" s="120"/>
      <c r="EQ409" s="121"/>
      <c r="ER409" s="119"/>
      <c r="ES409" s="120"/>
      <c r="ET409" s="120"/>
      <c r="EU409" s="120"/>
      <c r="EV409" s="120"/>
      <c r="EW409" s="120"/>
      <c r="EX409" s="121"/>
      <c r="EY409" s="119"/>
      <c r="EZ409" s="120"/>
      <c r="FA409" s="120"/>
      <c r="FB409" s="120"/>
      <c r="FC409" s="120"/>
      <c r="FD409" s="120"/>
      <c r="FE409" s="121"/>
      <c r="FF409" s="119"/>
      <c r="FG409" s="120"/>
      <c r="FH409" s="120"/>
      <c r="FI409" s="120"/>
      <c r="FJ409" s="120"/>
      <c r="FK409" s="120"/>
      <c r="FL409" s="121"/>
      <c r="FM409" s="119"/>
      <c r="FN409" s="120"/>
      <c r="FO409" s="120"/>
      <c r="FP409" s="120"/>
      <c r="FQ409" s="120"/>
      <c r="FR409" s="120"/>
      <c r="FS409" s="121"/>
      <c r="FT409" s="119"/>
      <c r="FU409" s="120"/>
      <c r="FV409" s="120"/>
      <c r="FW409" s="120"/>
      <c r="FX409" s="120"/>
      <c r="FY409" s="120"/>
      <c r="FZ409" s="121"/>
      <c r="GA409" s="119"/>
      <c r="GB409" s="120"/>
      <c r="GC409" s="120"/>
      <c r="GD409" s="120"/>
      <c r="GE409" s="120"/>
      <c r="GF409" s="120"/>
      <c r="GG409" s="121"/>
      <c r="GH409" s="119"/>
      <c r="GI409" s="120"/>
      <c r="GJ409" s="120"/>
      <c r="GK409" s="120"/>
      <c r="GL409" s="120"/>
      <c r="GM409" s="120"/>
      <c r="GN409" s="121"/>
      <c r="GO409" s="119"/>
      <c r="GP409" s="120"/>
      <c r="GQ409" s="120"/>
      <c r="GR409" s="120"/>
      <c r="GS409" s="120"/>
      <c r="GT409" s="120"/>
      <c r="GU409" s="121"/>
      <c r="GV409" s="119"/>
      <c r="GW409" s="120"/>
      <c r="GX409" s="120"/>
      <c r="GY409" s="120"/>
      <c r="GZ409" s="120"/>
      <c r="HA409" s="120"/>
      <c r="HB409" s="121"/>
      <c r="HC409" s="119"/>
      <c r="HD409" s="120"/>
      <c r="HE409" s="120"/>
      <c r="HF409" s="120"/>
      <c r="HG409" s="120"/>
      <c r="HH409" s="120"/>
      <c r="HI409" s="121"/>
      <c r="HJ409" s="119"/>
      <c r="HK409" s="120"/>
      <c r="HL409" s="120"/>
      <c r="HM409" s="120"/>
      <c r="HN409" s="120"/>
      <c r="HO409" s="120"/>
      <c r="HP409" s="121"/>
      <c r="HQ409" s="119"/>
      <c r="HR409" s="120"/>
      <c r="HS409" s="120"/>
      <c r="HT409" s="120"/>
      <c r="HU409" s="120"/>
      <c r="HV409" s="120"/>
      <c r="HW409" s="121"/>
      <c r="HX409" s="119"/>
      <c r="HY409" s="120"/>
      <c r="HZ409" s="120"/>
      <c r="IA409" s="120"/>
      <c r="IB409" s="120"/>
      <c r="IC409" s="120"/>
      <c r="ID409" s="121"/>
      <c r="IE409" s="119"/>
      <c r="IF409" s="120"/>
      <c r="IG409" s="120"/>
      <c r="IH409" s="120"/>
      <c r="II409" s="120"/>
      <c r="IJ409" s="120"/>
      <c r="IK409" s="121"/>
      <c r="IL409" s="119"/>
      <c r="IM409" s="120"/>
      <c r="IN409" s="120"/>
      <c r="IO409" s="120"/>
      <c r="IP409" s="120"/>
      <c r="IQ409" s="120"/>
      <c r="IR409" s="121"/>
      <c r="IS409" s="119"/>
      <c r="IT409" s="120"/>
      <c r="IU409" s="120"/>
      <c r="IV409" s="120"/>
      <c r="IW409" s="120"/>
      <c r="IX409" s="120"/>
      <c r="IY409" s="121"/>
      <c r="IZ409" s="119"/>
      <c r="JA409" s="120"/>
      <c r="JB409" s="120"/>
      <c r="JC409" s="120"/>
      <c r="JD409" s="120"/>
      <c r="JE409" s="120"/>
      <c r="JF409" s="121"/>
      <c r="JG409" s="119"/>
      <c r="JH409" s="120"/>
      <c r="JI409" s="120"/>
      <c r="JJ409" s="120"/>
      <c r="JK409" s="120"/>
      <c r="JL409" s="120"/>
      <c r="JM409" s="121"/>
      <c r="JN409" s="119"/>
      <c r="JO409" s="120"/>
      <c r="JP409" s="120"/>
      <c r="JQ409" s="120"/>
      <c r="JR409" s="120"/>
      <c r="JS409" s="120"/>
      <c r="JT409" s="121"/>
      <c r="JU409" s="119"/>
      <c r="JV409" s="120"/>
      <c r="JW409" s="120"/>
      <c r="JX409" s="120"/>
      <c r="JY409" s="120"/>
      <c r="JZ409" s="120"/>
      <c r="KA409" s="121"/>
      <c r="KB409" s="119"/>
      <c r="KC409" s="120"/>
      <c r="KD409" s="120"/>
      <c r="KE409" s="120"/>
      <c r="KF409" s="120"/>
      <c r="KG409" s="120"/>
      <c r="KH409" s="121"/>
      <c r="KI409" s="119"/>
      <c r="KJ409" s="120"/>
      <c r="KK409" s="120"/>
      <c r="KL409" s="120"/>
      <c r="KM409" s="120"/>
      <c r="KN409" s="120"/>
      <c r="KO409" s="121"/>
      <c r="KP409" s="119"/>
      <c r="KQ409" s="120"/>
      <c r="KR409" s="120"/>
      <c r="KS409" s="120"/>
      <c r="KT409" s="120"/>
      <c r="KU409" s="120"/>
      <c r="KV409" s="121"/>
      <c r="KW409" s="119"/>
      <c r="KX409" s="120"/>
      <c r="KY409" s="120"/>
      <c r="KZ409" s="120"/>
      <c r="LA409" s="120"/>
      <c r="LB409" s="120"/>
      <c r="LC409" s="121"/>
      <c r="LD409" s="119"/>
      <c r="LE409" s="120"/>
      <c r="LF409" s="120"/>
      <c r="LG409" s="120"/>
      <c r="LH409" s="120"/>
      <c r="LI409" s="120"/>
      <c r="LJ409" s="121"/>
      <c r="LK409" s="119"/>
      <c r="LL409" s="120"/>
      <c r="LM409" s="120"/>
      <c r="LN409" s="120"/>
      <c r="LO409" s="120"/>
      <c r="LP409" s="120"/>
      <c r="LQ409" s="121"/>
      <c r="LR409" s="119"/>
      <c r="LS409" s="120"/>
      <c r="LT409" s="120"/>
      <c r="LU409" s="120"/>
      <c r="LV409" s="120"/>
      <c r="LW409" s="120"/>
      <c r="LX409" s="121"/>
      <c r="LY409" s="119"/>
      <c r="LZ409" s="120"/>
      <c r="MA409" s="120"/>
      <c r="MB409" s="120"/>
      <c r="MC409" s="120"/>
      <c r="MD409" s="120"/>
      <c r="ME409" s="121"/>
      <c r="MF409" s="119"/>
      <c r="MG409" s="120"/>
      <c r="MH409" s="120"/>
      <c r="MI409" s="120"/>
      <c r="MJ409" s="120"/>
      <c r="MK409" s="120"/>
      <c r="ML409" s="121"/>
      <c r="MM409" s="119"/>
      <c r="MN409" s="120"/>
      <c r="MO409" s="120"/>
      <c r="MP409" s="120"/>
      <c r="MQ409" s="120"/>
      <c r="MR409" s="120"/>
      <c r="MS409" s="121"/>
      <c r="MT409" s="119"/>
      <c r="MU409" s="120"/>
      <c r="MV409" s="120"/>
      <c r="MW409" s="120"/>
      <c r="MX409" s="120"/>
      <c r="MY409" s="120"/>
      <c r="MZ409" s="121"/>
      <c r="NA409" s="119"/>
      <c r="NB409" s="120"/>
      <c r="NC409" s="120"/>
      <c r="ND409" s="120"/>
      <c r="NE409" s="120"/>
      <c r="NF409" s="120"/>
      <c r="NG409" s="121"/>
      <c r="NH409" s="119"/>
      <c r="NI409" s="120"/>
      <c r="NJ409" s="120"/>
      <c r="NK409" s="120"/>
      <c r="NL409" s="120"/>
      <c r="NM409" s="120"/>
      <c r="NN409" s="121"/>
      <c r="NO409" s="119"/>
      <c r="NP409" s="120"/>
      <c r="NQ409" s="120"/>
      <c r="NR409" s="120"/>
      <c r="NS409" s="120"/>
      <c r="NT409" s="120"/>
      <c r="NU409" s="121"/>
      <c r="NV409" s="119"/>
      <c r="NW409" s="120"/>
      <c r="NX409" s="120"/>
      <c r="NY409" s="120"/>
      <c r="NZ409" s="120"/>
      <c r="OA409" s="120"/>
      <c r="OB409" s="121"/>
      <c r="OC409" s="119"/>
      <c r="OD409" s="120"/>
      <c r="OE409" s="120"/>
      <c r="OF409" s="120"/>
      <c r="OG409" s="120"/>
      <c r="OH409" s="120"/>
      <c r="OI409" s="121"/>
      <c r="OJ409" s="119"/>
      <c r="OK409" s="120"/>
      <c r="OL409" s="120"/>
      <c r="OM409" s="120"/>
      <c r="ON409" s="120"/>
      <c r="OO409" s="120"/>
      <c r="OP409" s="121"/>
      <c r="OQ409" s="119"/>
      <c r="OR409" s="120"/>
      <c r="OS409" s="120"/>
      <c r="OT409" s="120"/>
      <c r="OU409" s="120"/>
      <c r="OV409" s="120"/>
      <c r="OW409" s="121"/>
      <c r="OX409" s="119"/>
      <c r="OY409" s="120"/>
      <c r="OZ409" s="120"/>
      <c r="PA409" s="120"/>
      <c r="PB409" s="120"/>
      <c r="PC409" s="120"/>
      <c r="PD409" s="121"/>
      <c r="PE409" s="119"/>
      <c r="PF409" s="120"/>
      <c r="PG409" s="120"/>
      <c r="PH409" s="120"/>
      <c r="PI409" s="120"/>
      <c r="PJ409" s="120"/>
      <c r="PK409" s="121"/>
      <c r="PL409" s="119"/>
      <c r="PM409" s="120"/>
      <c r="PN409" s="120"/>
      <c r="PO409" s="120"/>
      <c r="PP409" s="120"/>
      <c r="PQ409" s="120"/>
      <c r="PR409" s="121"/>
      <c r="PS409" s="119"/>
      <c r="PT409" s="120"/>
      <c r="PU409" s="120"/>
      <c r="PV409" s="120"/>
      <c r="PW409" s="120"/>
      <c r="PX409" s="120"/>
      <c r="PY409" s="121"/>
      <c r="PZ409" s="119"/>
      <c r="QA409" s="120"/>
      <c r="QB409" s="120"/>
      <c r="QC409" s="120"/>
      <c r="QD409" s="120"/>
      <c r="QE409" s="120"/>
      <c r="QF409" s="121"/>
      <c r="QG409" s="119"/>
      <c r="QH409" s="120"/>
      <c r="QI409" s="120"/>
      <c r="QJ409" s="120"/>
      <c r="QK409" s="120"/>
      <c r="QL409" s="120"/>
      <c r="QM409" s="121"/>
      <c r="QN409" s="119"/>
      <c r="QO409" s="120"/>
      <c r="QP409" s="120"/>
      <c r="QQ409" s="120"/>
      <c r="QR409" s="120"/>
      <c r="QS409" s="120"/>
      <c r="QT409" s="121"/>
      <c r="QU409" s="119"/>
      <c r="QV409" s="120"/>
      <c r="QW409" s="120"/>
      <c r="QX409" s="120"/>
      <c r="QY409" s="120"/>
      <c r="QZ409" s="120"/>
      <c r="RA409" s="121"/>
      <c r="RB409" s="119"/>
      <c r="RC409" s="120"/>
      <c r="RD409" s="120"/>
      <c r="RE409" s="120"/>
      <c r="RF409" s="120"/>
      <c r="RG409" s="120"/>
      <c r="RH409" s="121"/>
      <c r="RI409" s="119"/>
      <c r="RJ409" s="120"/>
      <c r="RK409" s="120"/>
      <c r="RL409" s="120"/>
      <c r="RM409" s="120"/>
      <c r="RN409" s="120"/>
      <c r="RO409" s="121"/>
      <c r="RP409" s="119"/>
      <c r="RQ409" s="120"/>
      <c r="RR409" s="120"/>
      <c r="RS409" s="120"/>
      <c r="RT409" s="120"/>
      <c r="RU409" s="120"/>
      <c r="RV409" s="121"/>
      <c r="RW409" s="119"/>
      <c r="RX409" s="120"/>
      <c r="RY409" s="120"/>
      <c r="RZ409" s="120"/>
      <c r="SA409" s="120"/>
      <c r="SB409" s="120"/>
      <c r="SC409" s="121"/>
      <c r="SD409" s="119"/>
      <c r="SE409" s="120"/>
      <c r="SF409" s="120"/>
      <c r="SG409" s="120"/>
      <c r="SH409" s="120"/>
      <c r="SI409" s="120"/>
      <c r="SJ409" s="121"/>
      <c r="SK409" s="119"/>
      <c r="SL409" s="120"/>
      <c r="SM409" s="120"/>
      <c r="SN409" s="120"/>
      <c r="SO409" s="120"/>
      <c r="SP409" s="120"/>
      <c r="SQ409" s="121"/>
      <c r="SR409" s="119"/>
      <c r="SS409" s="120"/>
      <c r="ST409" s="120"/>
      <c r="SU409" s="120"/>
      <c r="SV409" s="120"/>
      <c r="SW409" s="120"/>
      <c r="SX409" s="121"/>
      <c r="SY409" s="119"/>
      <c r="SZ409" s="120"/>
      <c r="TA409" s="120"/>
      <c r="TB409" s="120"/>
      <c r="TC409" s="120"/>
      <c r="TD409" s="120"/>
      <c r="TE409" s="121"/>
      <c r="TF409" s="119"/>
      <c r="TG409" s="120"/>
      <c r="TH409" s="120"/>
      <c r="TI409" s="120"/>
      <c r="TJ409" s="120"/>
      <c r="TK409" s="120"/>
      <c r="TL409" s="121"/>
      <c r="TM409" s="119"/>
      <c r="TN409" s="120"/>
      <c r="TO409" s="120"/>
      <c r="TP409" s="120"/>
      <c r="TQ409" s="120"/>
      <c r="TR409" s="120"/>
      <c r="TS409" s="121"/>
      <c r="TT409" s="119"/>
      <c r="TU409" s="120"/>
      <c r="TV409" s="120"/>
      <c r="TW409" s="120"/>
      <c r="TX409" s="120"/>
      <c r="TY409" s="120"/>
      <c r="TZ409" s="121"/>
      <c r="UA409" s="119"/>
      <c r="UB409" s="120"/>
      <c r="UC409" s="120"/>
      <c r="UD409" s="120"/>
      <c r="UE409" s="120"/>
      <c r="UF409" s="120"/>
      <c r="UG409" s="121"/>
      <c r="UH409" s="119"/>
      <c r="UI409" s="120"/>
      <c r="UJ409" s="120"/>
      <c r="UK409" s="120"/>
      <c r="UL409" s="120"/>
      <c r="UM409" s="120"/>
      <c r="UN409" s="121"/>
      <c r="UO409" s="119"/>
      <c r="UP409" s="120"/>
      <c r="UQ409" s="120"/>
      <c r="UR409" s="120"/>
      <c r="US409" s="120"/>
      <c r="UT409" s="120"/>
      <c r="UU409" s="121"/>
      <c r="UV409" s="119"/>
      <c r="UW409" s="120"/>
      <c r="UX409" s="120"/>
      <c r="UY409" s="120"/>
      <c r="UZ409" s="120"/>
      <c r="VA409" s="120"/>
      <c r="VB409" s="121"/>
      <c r="VC409" s="119"/>
      <c r="VD409" s="120"/>
      <c r="VE409" s="120"/>
      <c r="VF409" s="120"/>
      <c r="VG409" s="120"/>
      <c r="VH409" s="120"/>
      <c r="VI409" s="121"/>
      <c r="VJ409" s="119"/>
      <c r="VK409" s="120"/>
      <c r="VL409" s="120"/>
      <c r="VM409" s="120"/>
      <c r="VN409" s="120"/>
      <c r="VO409" s="120"/>
      <c r="VP409" s="121"/>
      <c r="VQ409" s="119"/>
      <c r="VR409" s="120"/>
      <c r="VS409" s="120"/>
      <c r="VT409" s="120"/>
      <c r="VU409" s="120"/>
      <c r="VV409" s="120"/>
      <c r="VW409" s="121"/>
      <c r="VX409" s="119"/>
      <c r="VY409" s="120"/>
      <c r="VZ409" s="120"/>
      <c r="WA409" s="120"/>
      <c r="WB409" s="120"/>
      <c r="WC409" s="120"/>
      <c r="WD409" s="121"/>
      <c r="WE409" s="119"/>
      <c r="WF409" s="120"/>
      <c r="WG409" s="120"/>
      <c r="WH409" s="120"/>
      <c r="WI409" s="120"/>
      <c r="WJ409" s="120"/>
      <c r="WK409" s="121"/>
      <c r="WL409" s="119"/>
      <c r="WM409" s="120"/>
      <c r="WN409" s="120"/>
      <c r="WO409" s="120"/>
      <c r="WP409" s="120"/>
      <c r="WQ409" s="120"/>
      <c r="WR409" s="121"/>
      <c r="WS409" s="119"/>
      <c r="WT409" s="120"/>
      <c r="WU409" s="120"/>
      <c r="WV409" s="120"/>
      <c r="WW409" s="120"/>
      <c r="WX409" s="120"/>
      <c r="WY409" s="121"/>
      <c r="WZ409" s="119"/>
      <c r="XA409" s="120"/>
      <c r="XB409" s="120"/>
      <c r="XC409" s="120"/>
      <c r="XD409" s="120"/>
      <c r="XE409" s="120"/>
      <c r="XF409" s="121"/>
      <c r="XG409" s="119"/>
      <c r="XH409" s="120"/>
      <c r="XI409" s="120"/>
      <c r="XJ409" s="120"/>
      <c r="XK409" s="120"/>
      <c r="XL409" s="120"/>
      <c r="XM409" s="121"/>
      <c r="XN409" s="119"/>
      <c r="XO409" s="120"/>
      <c r="XP409" s="120"/>
      <c r="XQ409" s="120"/>
      <c r="XR409" s="120"/>
      <c r="XS409" s="120"/>
      <c r="XT409" s="121"/>
      <c r="XU409" s="119"/>
      <c r="XV409" s="120"/>
      <c r="XW409" s="120"/>
      <c r="XX409" s="120"/>
      <c r="XY409" s="120"/>
      <c r="XZ409" s="120"/>
      <c r="YA409" s="121"/>
      <c r="YB409" s="119"/>
      <c r="YC409" s="120"/>
      <c r="YD409" s="120"/>
      <c r="YE409" s="120"/>
      <c r="YF409" s="120"/>
      <c r="YG409" s="120"/>
      <c r="YH409" s="121"/>
      <c r="YI409" s="119"/>
      <c r="YJ409" s="120"/>
      <c r="YK409" s="120"/>
      <c r="YL409" s="120"/>
      <c r="YM409" s="120"/>
      <c r="YN409" s="120"/>
      <c r="YO409" s="121"/>
      <c r="YP409" s="119"/>
      <c r="YQ409" s="120"/>
      <c r="YR409" s="120"/>
      <c r="YS409" s="120"/>
      <c r="YT409" s="120"/>
      <c r="YU409" s="120"/>
      <c r="YV409" s="121"/>
      <c r="YW409" s="119"/>
      <c r="YX409" s="120"/>
      <c r="YY409" s="120"/>
      <c r="YZ409" s="120"/>
      <c r="ZA409" s="120"/>
      <c r="ZB409" s="120"/>
      <c r="ZC409" s="121"/>
      <c r="ZD409" s="119"/>
      <c r="ZE409" s="120"/>
      <c r="ZF409" s="120"/>
      <c r="ZG409" s="120"/>
      <c r="ZH409" s="120"/>
      <c r="ZI409" s="120"/>
      <c r="ZJ409" s="121"/>
      <c r="ZK409" s="119"/>
      <c r="ZL409" s="120"/>
      <c r="ZM409" s="120"/>
      <c r="ZN409" s="120"/>
      <c r="ZO409" s="120"/>
      <c r="ZP409" s="120"/>
      <c r="ZQ409" s="121"/>
      <c r="ZR409" s="119"/>
      <c r="ZS409" s="120"/>
      <c r="ZT409" s="120"/>
      <c r="ZU409" s="120"/>
      <c r="ZV409" s="120"/>
      <c r="ZW409" s="120"/>
      <c r="ZX409" s="121"/>
      <c r="ZY409" s="119"/>
      <c r="ZZ409" s="120"/>
      <c r="AAA409" s="120"/>
      <c r="AAB409" s="120"/>
      <c r="AAC409" s="120"/>
      <c r="AAD409" s="120"/>
      <c r="AAE409" s="121"/>
      <c r="AAF409" s="119"/>
      <c r="AAG409" s="120"/>
      <c r="AAH409" s="120"/>
      <c r="AAI409" s="120"/>
      <c r="AAJ409" s="120"/>
      <c r="AAK409" s="120"/>
      <c r="AAL409" s="121"/>
      <c r="AAM409" s="119"/>
      <c r="AAN409" s="120"/>
      <c r="AAO409" s="120"/>
      <c r="AAP409" s="120"/>
      <c r="AAQ409" s="120"/>
      <c r="AAR409" s="120"/>
      <c r="AAS409" s="121"/>
      <c r="AAT409" s="119"/>
      <c r="AAU409" s="120"/>
      <c r="AAV409" s="120"/>
      <c r="AAW409" s="120"/>
      <c r="AAX409" s="120"/>
      <c r="AAY409" s="120"/>
      <c r="AAZ409" s="121"/>
      <c r="ABA409" s="119"/>
      <c r="ABB409" s="120"/>
      <c r="ABC409" s="120"/>
      <c r="ABD409" s="120"/>
      <c r="ABE409" s="120"/>
      <c r="ABF409" s="120"/>
      <c r="ABG409" s="121"/>
      <c r="ABH409" s="119"/>
      <c r="ABI409" s="120"/>
      <c r="ABJ409" s="120"/>
      <c r="ABK409" s="120"/>
      <c r="ABL409" s="120"/>
      <c r="ABM409" s="120"/>
      <c r="ABN409" s="121"/>
      <c r="ABO409" s="119"/>
      <c r="ABP409" s="120"/>
      <c r="ABQ409" s="120"/>
      <c r="ABR409" s="120"/>
      <c r="ABS409" s="120"/>
      <c r="ABT409" s="120"/>
      <c r="ABU409" s="121"/>
      <c r="ABV409" s="119"/>
      <c r="ABW409" s="120"/>
      <c r="ABX409" s="120"/>
      <c r="ABY409" s="120"/>
      <c r="ABZ409" s="120"/>
      <c r="ACA409" s="120"/>
      <c r="ACB409" s="121"/>
      <c r="ACC409" s="119"/>
      <c r="ACD409" s="120"/>
      <c r="ACE409" s="120"/>
      <c r="ACF409" s="120"/>
      <c r="ACG409" s="120"/>
      <c r="ACH409" s="120"/>
      <c r="ACI409" s="121"/>
      <c r="ACJ409" s="119"/>
      <c r="ACK409" s="120"/>
      <c r="ACL409" s="120"/>
      <c r="ACM409" s="120"/>
      <c r="ACN409" s="120"/>
      <c r="ACO409" s="120"/>
      <c r="ACP409" s="121"/>
      <c r="ACQ409" s="119"/>
      <c r="ACR409" s="120"/>
      <c r="ACS409" s="120"/>
      <c r="ACT409" s="120"/>
      <c r="ACU409" s="120"/>
      <c r="ACV409" s="120"/>
      <c r="ACW409" s="121"/>
      <c r="ACX409" s="119"/>
      <c r="ACY409" s="120"/>
      <c r="ACZ409" s="120"/>
      <c r="ADA409" s="120"/>
      <c r="ADB409" s="120"/>
      <c r="ADC409" s="120"/>
      <c r="ADD409" s="121"/>
      <c r="ADE409" s="119"/>
      <c r="ADF409" s="120"/>
      <c r="ADG409" s="120"/>
      <c r="ADH409" s="120"/>
      <c r="ADI409" s="120"/>
      <c r="ADJ409" s="120"/>
      <c r="ADK409" s="121"/>
      <c r="ADL409" s="119"/>
      <c r="ADM409" s="120"/>
      <c r="ADN409" s="120"/>
      <c r="ADO409" s="120"/>
      <c r="ADP409" s="120"/>
      <c r="ADQ409" s="120"/>
      <c r="ADR409" s="121"/>
      <c r="ADS409" s="119"/>
      <c r="ADT409" s="120"/>
      <c r="ADU409" s="120"/>
      <c r="ADV409" s="120"/>
      <c r="ADW409" s="120"/>
      <c r="ADX409" s="120"/>
      <c r="ADY409" s="121"/>
      <c r="ADZ409" s="119"/>
      <c r="AEA409" s="120"/>
      <c r="AEB409" s="120"/>
      <c r="AEC409" s="120"/>
      <c r="AED409" s="120"/>
      <c r="AEE409" s="120"/>
      <c r="AEF409" s="121"/>
      <c r="AEG409" s="119"/>
      <c r="AEH409" s="120"/>
      <c r="AEI409" s="120"/>
      <c r="AEJ409" s="120"/>
      <c r="AEK409" s="120"/>
      <c r="AEL409" s="120"/>
      <c r="AEM409" s="121"/>
      <c r="AEN409" s="119"/>
      <c r="AEO409" s="120"/>
      <c r="AEP409" s="120"/>
      <c r="AEQ409" s="120"/>
      <c r="AER409" s="120"/>
      <c r="AES409" s="120"/>
      <c r="AET409" s="121"/>
      <c r="AEU409" s="119"/>
      <c r="AEV409" s="120"/>
      <c r="AEW409" s="120"/>
      <c r="AEX409" s="120"/>
      <c r="AEY409" s="120"/>
      <c r="AEZ409" s="120"/>
      <c r="AFA409" s="121"/>
      <c r="AFB409" s="119"/>
      <c r="AFC409" s="120"/>
      <c r="AFD409" s="120"/>
      <c r="AFE409" s="120"/>
      <c r="AFF409" s="120"/>
      <c r="AFG409" s="120"/>
      <c r="AFH409" s="121"/>
      <c r="AFI409" s="119"/>
      <c r="AFJ409" s="120"/>
      <c r="AFK409" s="120"/>
      <c r="AFL409" s="120"/>
      <c r="AFM409" s="120"/>
      <c r="AFN409" s="120"/>
      <c r="AFO409" s="121"/>
      <c r="AFP409" s="119"/>
      <c r="AFQ409" s="120"/>
      <c r="AFR409" s="120"/>
      <c r="AFS409" s="120"/>
      <c r="AFT409" s="120"/>
      <c r="AFU409" s="120"/>
      <c r="AFV409" s="121"/>
      <c r="AFW409" s="119"/>
      <c r="AFX409" s="120"/>
      <c r="AFY409" s="120"/>
      <c r="AFZ409" s="120"/>
      <c r="AGA409" s="120"/>
      <c r="AGB409" s="120"/>
      <c r="AGC409" s="121"/>
      <c r="AGD409" s="119"/>
      <c r="AGE409" s="120"/>
      <c r="AGF409" s="120"/>
      <c r="AGG409" s="120"/>
      <c r="AGH409" s="120"/>
      <c r="AGI409" s="120"/>
      <c r="AGJ409" s="121"/>
      <c r="AGK409" s="119"/>
      <c r="AGL409" s="120"/>
      <c r="AGM409" s="120"/>
      <c r="AGN409" s="120"/>
      <c r="AGO409" s="120"/>
      <c r="AGP409" s="120"/>
      <c r="AGQ409" s="121"/>
      <c r="AGR409" s="119"/>
      <c r="AGS409" s="120"/>
      <c r="AGT409" s="120"/>
      <c r="AGU409" s="120"/>
      <c r="AGV409" s="120"/>
      <c r="AGW409" s="120"/>
      <c r="AGX409" s="121"/>
      <c r="AGY409" s="119"/>
      <c r="AGZ409" s="120"/>
      <c r="AHA409" s="120"/>
      <c r="AHB409" s="120"/>
      <c r="AHC409" s="120"/>
      <c r="AHD409" s="120"/>
      <c r="AHE409" s="121"/>
      <c r="AHF409" s="119"/>
      <c r="AHG409" s="120"/>
      <c r="AHH409" s="120"/>
      <c r="AHI409" s="120"/>
      <c r="AHJ409" s="120"/>
      <c r="AHK409" s="120"/>
      <c r="AHL409" s="121"/>
      <c r="AHM409" s="119"/>
      <c r="AHN409" s="120"/>
      <c r="AHO409" s="120"/>
      <c r="AHP409" s="120"/>
      <c r="AHQ409" s="120"/>
      <c r="AHR409" s="120"/>
      <c r="AHS409" s="121"/>
      <c r="AHT409" s="119"/>
      <c r="AHU409" s="120"/>
      <c r="AHV409" s="120"/>
      <c r="AHW409" s="120"/>
      <c r="AHX409" s="120"/>
      <c r="AHY409" s="120"/>
      <c r="AHZ409" s="121"/>
      <c r="AIA409" s="119"/>
      <c r="AIB409" s="120"/>
      <c r="AIC409" s="120"/>
      <c r="AID409" s="120"/>
      <c r="AIE409" s="120"/>
      <c r="AIF409" s="120"/>
      <c r="AIG409" s="121"/>
      <c r="AIH409" s="119"/>
      <c r="AII409" s="120"/>
      <c r="AIJ409" s="120"/>
      <c r="AIK409" s="120"/>
      <c r="AIL409" s="120"/>
      <c r="AIM409" s="120"/>
      <c r="AIN409" s="121"/>
      <c r="AIO409" s="119"/>
      <c r="AIP409" s="120"/>
      <c r="AIQ409" s="120"/>
      <c r="AIR409" s="120"/>
      <c r="AIS409" s="120"/>
      <c r="AIT409" s="120"/>
      <c r="AIU409" s="121"/>
      <c r="AIV409" s="119"/>
      <c r="AIW409" s="120"/>
      <c r="AIX409" s="120"/>
      <c r="AIY409" s="120"/>
      <c r="AIZ409" s="120"/>
      <c r="AJA409" s="120"/>
      <c r="AJB409" s="121"/>
      <c r="AJC409" s="119"/>
      <c r="AJD409" s="120"/>
      <c r="AJE409" s="120"/>
      <c r="AJF409" s="120"/>
      <c r="AJG409" s="120"/>
      <c r="AJH409" s="120"/>
      <c r="AJI409" s="121"/>
      <c r="AJJ409" s="119"/>
      <c r="AJK409" s="120"/>
      <c r="AJL409" s="120"/>
      <c r="AJM409" s="120"/>
      <c r="AJN409" s="120"/>
      <c r="AJO409" s="120"/>
      <c r="AJP409" s="121"/>
      <c r="AJQ409" s="119"/>
      <c r="AJR409" s="120"/>
      <c r="AJS409" s="120"/>
      <c r="AJT409" s="120"/>
      <c r="AJU409" s="120"/>
      <c r="AJV409" s="120"/>
      <c r="AJW409" s="121"/>
      <c r="AJX409" s="119"/>
      <c r="AJY409" s="120"/>
      <c r="AJZ409" s="120"/>
      <c r="AKA409" s="120"/>
      <c r="AKB409" s="120"/>
      <c r="AKC409" s="120"/>
      <c r="AKD409" s="121"/>
      <c r="AKE409" s="119"/>
      <c r="AKF409" s="120"/>
      <c r="AKG409" s="120"/>
      <c r="AKH409" s="120"/>
      <c r="AKI409" s="120"/>
      <c r="AKJ409" s="120"/>
      <c r="AKK409" s="121"/>
      <c r="AKL409" s="119"/>
      <c r="AKM409" s="120"/>
      <c r="AKN409" s="120"/>
      <c r="AKO409" s="120"/>
      <c r="AKP409" s="120"/>
      <c r="AKQ409" s="120"/>
      <c r="AKR409" s="121"/>
      <c r="AKS409" s="119"/>
      <c r="AKT409" s="120"/>
      <c r="AKU409" s="120"/>
      <c r="AKV409" s="120"/>
      <c r="AKW409" s="120"/>
      <c r="AKX409" s="120"/>
      <c r="AKY409" s="121"/>
      <c r="AKZ409" s="119"/>
      <c r="ALA409" s="120"/>
      <c r="ALB409" s="120"/>
      <c r="ALC409" s="120"/>
      <c r="ALD409" s="120"/>
      <c r="ALE409" s="120"/>
      <c r="ALF409" s="121"/>
      <c r="ALG409" s="119"/>
      <c r="ALH409" s="120"/>
      <c r="ALI409" s="120"/>
      <c r="ALJ409" s="120"/>
      <c r="ALK409" s="120"/>
      <c r="ALL409" s="120"/>
      <c r="ALM409" s="121"/>
      <c r="ALN409" s="119"/>
      <c r="ALO409" s="120"/>
      <c r="ALP409" s="120"/>
      <c r="ALQ409" s="120"/>
      <c r="ALR409" s="120"/>
      <c r="ALS409" s="120"/>
      <c r="ALT409" s="121"/>
      <c r="ALU409" s="119"/>
      <c r="ALV409" s="120"/>
      <c r="ALW409" s="120"/>
      <c r="ALX409" s="120"/>
      <c r="ALY409" s="120"/>
      <c r="ALZ409" s="120"/>
      <c r="AMA409" s="121"/>
      <c r="AMB409" s="119"/>
      <c r="AMC409" s="120"/>
      <c r="AMD409" s="120"/>
      <c r="AME409" s="120"/>
      <c r="AMF409" s="120"/>
      <c r="AMG409" s="120"/>
      <c r="AMH409" s="121"/>
      <c r="AMI409" s="119"/>
      <c r="AMJ409" s="120"/>
      <c r="AMK409" s="120"/>
      <c r="AML409" s="120"/>
      <c r="AMM409" s="120"/>
      <c r="AMN409" s="120"/>
      <c r="AMO409" s="121"/>
      <c r="AMP409" s="119"/>
      <c r="AMQ409" s="120"/>
      <c r="AMR409" s="120"/>
      <c r="AMS409" s="120"/>
      <c r="AMT409" s="120"/>
      <c r="AMU409" s="120"/>
      <c r="AMV409" s="121"/>
      <c r="AMW409" s="119"/>
      <c r="AMX409" s="120"/>
      <c r="AMY409" s="120"/>
      <c r="AMZ409" s="120"/>
      <c r="ANA409" s="120"/>
      <c r="ANB409" s="120"/>
      <c r="ANC409" s="121"/>
      <c r="AND409" s="119"/>
      <c r="ANE409" s="120"/>
      <c r="ANF409" s="120"/>
      <c r="ANG409" s="120"/>
      <c r="ANH409" s="120"/>
      <c r="ANI409" s="120"/>
      <c r="ANJ409" s="121"/>
      <c r="ANK409" s="119"/>
      <c r="ANL409" s="120"/>
      <c r="ANM409" s="120"/>
      <c r="ANN409" s="120"/>
      <c r="ANO409" s="120"/>
      <c r="ANP409" s="120"/>
      <c r="ANQ409" s="121"/>
      <c r="ANR409" s="119"/>
      <c r="ANS409" s="120"/>
      <c r="ANT409" s="120"/>
      <c r="ANU409" s="120"/>
      <c r="ANV409" s="120"/>
      <c r="ANW409" s="120"/>
      <c r="ANX409" s="121"/>
      <c r="ANY409" s="119"/>
      <c r="ANZ409" s="120"/>
      <c r="AOA409" s="120"/>
      <c r="AOB409" s="120"/>
      <c r="AOC409" s="120"/>
      <c r="AOD409" s="120"/>
      <c r="AOE409" s="121"/>
      <c r="AOF409" s="119"/>
      <c r="AOG409" s="120"/>
      <c r="AOH409" s="120"/>
      <c r="AOI409" s="120"/>
      <c r="AOJ409" s="120"/>
      <c r="AOK409" s="120"/>
      <c r="AOL409" s="121"/>
      <c r="AOM409" s="119"/>
      <c r="AON409" s="120"/>
      <c r="AOO409" s="120"/>
      <c r="AOP409" s="120"/>
      <c r="AOQ409" s="120"/>
      <c r="AOR409" s="120"/>
      <c r="AOS409" s="121"/>
      <c r="AOT409" s="119"/>
      <c r="AOU409" s="120"/>
      <c r="AOV409" s="120"/>
      <c r="AOW409" s="120"/>
      <c r="AOX409" s="120"/>
      <c r="AOY409" s="120"/>
      <c r="AOZ409" s="121"/>
      <c r="APA409" s="119"/>
      <c r="APB409" s="120"/>
      <c r="APC409" s="120"/>
      <c r="APD409" s="120"/>
      <c r="APE409" s="120"/>
      <c r="APF409" s="120"/>
      <c r="APG409" s="121"/>
      <c r="APH409" s="119"/>
      <c r="API409" s="120"/>
      <c r="APJ409" s="120"/>
      <c r="APK409" s="120"/>
      <c r="APL409" s="120"/>
      <c r="APM409" s="120"/>
      <c r="APN409" s="121"/>
      <c r="APO409" s="119"/>
      <c r="APP409" s="120"/>
      <c r="APQ409" s="120"/>
      <c r="APR409" s="120"/>
      <c r="APS409" s="120"/>
      <c r="APT409" s="120"/>
      <c r="APU409" s="121"/>
      <c r="APV409" s="119"/>
      <c r="APW409" s="120"/>
      <c r="APX409" s="120"/>
      <c r="APY409" s="120"/>
      <c r="APZ409" s="120"/>
      <c r="AQA409" s="120"/>
      <c r="AQB409" s="121"/>
      <c r="AQC409" s="119"/>
      <c r="AQD409" s="120"/>
      <c r="AQE409" s="120"/>
      <c r="AQF409" s="120"/>
      <c r="AQG409" s="120"/>
      <c r="AQH409" s="120"/>
      <c r="AQI409" s="121"/>
      <c r="AQJ409" s="119"/>
      <c r="AQK409" s="120"/>
      <c r="AQL409" s="120"/>
      <c r="AQM409" s="120"/>
      <c r="AQN409" s="120"/>
      <c r="AQO409" s="120"/>
      <c r="AQP409" s="121"/>
      <c r="AQQ409" s="119"/>
      <c r="AQR409" s="120"/>
      <c r="AQS409" s="120"/>
      <c r="AQT409" s="120"/>
      <c r="AQU409" s="120"/>
      <c r="AQV409" s="120"/>
      <c r="AQW409" s="121"/>
      <c r="AQX409" s="119"/>
      <c r="AQY409" s="120"/>
      <c r="AQZ409" s="120"/>
      <c r="ARA409" s="120"/>
      <c r="ARB409" s="120"/>
      <c r="ARC409" s="120"/>
      <c r="ARD409" s="121"/>
      <c r="ARE409" s="119"/>
      <c r="ARF409" s="120"/>
      <c r="ARG409" s="120"/>
      <c r="ARH409" s="120"/>
      <c r="ARI409" s="120"/>
      <c r="ARJ409" s="120"/>
      <c r="ARK409" s="121"/>
      <c r="ARL409" s="119"/>
      <c r="ARM409" s="120"/>
      <c r="ARN409" s="120"/>
      <c r="ARO409" s="120"/>
      <c r="ARP409" s="120"/>
      <c r="ARQ409" s="120"/>
      <c r="ARR409" s="121"/>
      <c r="ARS409" s="119"/>
      <c r="ART409" s="120"/>
      <c r="ARU409" s="120"/>
      <c r="ARV409" s="120"/>
      <c r="ARW409" s="120"/>
      <c r="ARX409" s="120"/>
      <c r="ARY409" s="121"/>
      <c r="ARZ409" s="119"/>
      <c r="ASA409" s="120"/>
      <c r="ASB409" s="120"/>
      <c r="ASC409" s="120"/>
      <c r="ASD409" s="120"/>
      <c r="ASE409" s="120"/>
      <c r="ASF409" s="121"/>
      <c r="ASG409" s="119"/>
      <c r="ASH409" s="120"/>
      <c r="ASI409" s="120"/>
      <c r="ASJ409" s="120"/>
      <c r="ASK409" s="120"/>
      <c r="ASL409" s="120"/>
      <c r="ASM409" s="121"/>
      <c r="ASN409" s="119"/>
      <c r="ASO409" s="120"/>
      <c r="ASP409" s="120"/>
      <c r="ASQ409" s="120"/>
      <c r="ASR409" s="120"/>
      <c r="ASS409" s="120"/>
      <c r="AST409" s="121"/>
      <c r="ASU409" s="119"/>
      <c r="ASV409" s="120"/>
      <c r="ASW409" s="120"/>
      <c r="ASX409" s="120"/>
      <c r="ASY409" s="120"/>
      <c r="ASZ409" s="120"/>
      <c r="ATA409" s="121"/>
      <c r="ATB409" s="119"/>
      <c r="ATC409" s="120"/>
      <c r="ATD409" s="120"/>
      <c r="ATE409" s="120"/>
      <c r="ATF409" s="120"/>
      <c r="ATG409" s="120"/>
      <c r="ATH409" s="121"/>
      <c r="ATI409" s="119"/>
      <c r="ATJ409" s="120"/>
      <c r="ATK409" s="120"/>
      <c r="ATL409" s="120"/>
      <c r="ATM409" s="120"/>
      <c r="ATN409" s="120"/>
      <c r="ATO409" s="121"/>
      <c r="ATP409" s="119"/>
      <c r="ATQ409" s="120"/>
      <c r="ATR409" s="120"/>
      <c r="ATS409" s="120"/>
      <c r="ATT409" s="120"/>
      <c r="ATU409" s="120"/>
      <c r="ATV409" s="121"/>
      <c r="ATW409" s="119"/>
      <c r="ATX409" s="120"/>
      <c r="ATY409" s="120"/>
      <c r="ATZ409" s="120"/>
      <c r="AUA409" s="120"/>
      <c r="AUB409" s="120"/>
      <c r="AUC409" s="121"/>
      <c r="AUD409" s="119"/>
      <c r="AUE409" s="120"/>
      <c r="AUF409" s="120"/>
      <c r="AUG409" s="120"/>
      <c r="AUH409" s="120"/>
      <c r="AUI409" s="120"/>
      <c r="AUJ409" s="121"/>
      <c r="AUK409" s="119"/>
      <c r="AUL409" s="120"/>
      <c r="AUM409" s="120"/>
      <c r="AUN409" s="120"/>
      <c r="AUO409" s="120"/>
      <c r="AUP409" s="120"/>
      <c r="AUQ409" s="121"/>
      <c r="AUR409" s="119"/>
      <c r="AUS409" s="120"/>
      <c r="AUT409" s="120"/>
      <c r="AUU409" s="120"/>
      <c r="AUV409" s="120"/>
      <c r="AUW409" s="120"/>
      <c r="AUX409" s="121"/>
      <c r="AUY409" s="119"/>
      <c r="AUZ409" s="120"/>
      <c r="AVA409" s="120"/>
      <c r="AVB409" s="120"/>
      <c r="AVC409" s="120"/>
      <c r="AVD409" s="120"/>
      <c r="AVE409" s="121"/>
      <c r="AVF409" s="119"/>
      <c r="AVG409" s="120"/>
      <c r="AVH409" s="120"/>
      <c r="AVI409" s="120"/>
      <c r="AVJ409" s="120"/>
      <c r="AVK409" s="120"/>
      <c r="AVL409" s="121"/>
      <c r="AVM409" s="119"/>
      <c r="AVN409" s="120"/>
      <c r="AVO409" s="120"/>
      <c r="AVP409" s="120"/>
      <c r="AVQ409" s="120"/>
      <c r="AVR409" s="120"/>
      <c r="AVS409" s="121"/>
      <c r="AVT409" s="119"/>
      <c r="AVU409" s="120"/>
      <c r="AVV409" s="120"/>
      <c r="AVW409" s="120"/>
      <c r="AVX409" s="120"/>
      <c r="AVY409" s="120"/>
      <c r="AVZ409" s="121"/>
      <c r="AWA409" s="119"/>
      <c r="AWB409" s="120"/>
      <c r="AWC409" s="120"/>
      <c r="AWD409" s="120"/>
      <c r="AWE409" s="120"/>
      <c r="AWF409" s="120"/>
      <c r="AWG409" s="121"/>
      <c r="AWH409" s="119"/>
      <c r="AWI409" s="120"/>
      <c r="AWJ409" s="120"/>
      <c r="AWK409" s="120"/>
      <c r="AWL409" s="120"/>
      <c r="AWM409" s="120"/>
      <c r="AWN409" s="121"/>
      <c r="AWO409" s="119"/>
      <c r="AWP409" s="120"/>
      <c r="AWQ409" s="120"/>
      <c r="AWR409" s="120"/>
      <c r="AWS409" s="120"/>
      <c r="AWT409" s="120"/>
      <c r="AWU409" s="121"/>
      <c r="AWV409" s="119"/>
      <c r="AWW409" s="120"/>
      <c r="AWX409" s="120"/>
      <c r="AWY409" s="120"/>
      <c r="AWZ409" s="120"/>
      <c r="AXA409" s="120"/>
      <c r="AXB409" s="121"/>
      <c r="AXC409" s="119"/>
      <c r="AXD409" s="120"/>
      <c r="AXE409" s="120"/>
      <c r="AXF409" s="120"/>
      <c r="AXG409" s="120"/>
      <c r="AXH409" s="120"/>
      <c r="AXI409" s="121"/>
      <c r="AXJ409" s="119"/>
      <c r="AXK409" s="120"/>
      <c r="AXL409" s="120"/>
      <c r="AXM409" s="120"/>
      <c r="AXN409" s="120"/>
      <c r="AXO409" s="120"/>
      <c r="AXP409" s="121"/>
      <c r="AXQ409" s="119"/>
      <c r="AXR409" s="120"/>
      <c r="AXS409" s="120"/>
      <c r="AXT409" s="120"/>
      <c r="AXU409" s="120"/>
      <c r="AXV409" s="120"/>
      <c r="AXW409" s="121"/>
      <c r="AXX409" s="119"/>
      <c r="AXY409" s="120"/>
      <c r="AXZ409" s="120"/>
      <c r="AYA409" s="120"/>
      <c r="AYB409" s="120"/>
      <c r="AYC409" s="120"/>
      <c r="AYD409" s="121"/>
      <c r="AYE409" s="119"/>
      <c r="AYF409" s="120"/>
      <c r="AYG409" s="120"/>
      <c r="AYH409" s="120"/>
      <c r="AYI409" s="120"/>
      <c r="AYJ409" s="120"/>
      <c r="AYK409" s="121"/>
      <c r="AYL409" s="119"/>
      <c r="AYM409" s="120"/>
      <c r="AYN409" s="120"/>
      <c r="AYO409" s="120"/>
      <c r="AYP409" s="120"/>
      <c r="AYQ409" s="120"/>
      <c r="AYR409" s="121"/>
      <c r="AYS409" s="119"/>
      <c r="AYT409" s="120"/>
      <c r="AYU409" s="120"/>
      <c r="AYV409" s="120"/>
      <c r="AYW409" s="120"/>
      <c r="AYX409" s="120"/>
      <c r="AYY409" s="121"/>
      <c r="AYZ409" s="119"/>
      <c r="AZA409" s="120"/>
      <c r="AZB409" s="120"/>
      <c r="AZC409" s="120"/>
      <c r="AZD409" s="120"/>
      <c r="AZE409" s="120"/>
      <c r="AZF409" s="121"/>
      <c r="AZG409" s="119"/>
      <c r="AZH409" s="120"/>
      <c r="AZI409" s="120"/>
      <c r="AZJ409" s="120"/>
      <c r="AZK409" s="120"/>
      <c r="AZL409" s="120"/>
      <c r="AZM409" s="121"/>
      <c r="AZN409" s="119"/>
      <c r="AZO409" s="120"/>
      <c r="AZP409" s="120"/>
      <c r="AZQ409" s="120"/>
      <c r="AZR409" s="120"/>
      <c r="AZS409" s="120"/>
      <c r="AZT409" s="121"/>
      <c r="AZU409" s="119"/>
      <c r="AZV409" s="120"/>
      <c r="AZW409" s="120"/>
      <c r="AZX409" s="120"/>
      <c r="AZY409" s="120"/>
      <c r="AZZ409" s="120"/>
      <c r="BAA409" s="121"/>
      <c r="BAB409" s="119"/>
      <c r="BAC409" s="120"/>
      <c r="BAD409" s="120"/>
      <c r="BAE409" s="120"/>
      <c r="BAF409" s="120"/>
      <c r="BAG409" s="120"/>
      <c r="BAH409" s="121"/>
      <c r="BAI409" s="119"/>
      <c r="BAJ409" s="120"/>
      <c r="BAK409" s="120"/>
      <c r="BAL409" s="120"/>
      <c r="BAM409" s="120"/>
      <c r="BAN409" s="120"/>
      <c r="BAO409" s="121"/>
      <c r="BAP409" s="119"/>
      <c r="BAQ409" s="120"/>
      <c r="BAR409" s="120"/>
      <c r="BAS409" s="120"/>
      <c r="BAT409" s="120"/>
      <c r="BAU409" s="120"/>
      <c r="BAV409" s="121"/>
      <c r="BAW409" s="119"/>
      <c r="BAX409" s="120"/>
      <c r="BAY409" s="120"/>
      <c r="BAZ409" s="120"/>
      <c r="BBA409" s="120"/>
      <c r="BBB409" s="120"/>
      <c r="BBC409" s="121"/>
      <c r="BBD409" s="119"/>
      <c r="BBE409" s="120"/>
      <c r="BBF409" s="120"/>
      <c r="BBG409" s="120"/>
      <c r="BBH409" s="120"/>
      <c r="BBI409" s="120"/>
      <c r="BBJ409" s="121"/>
      <c r="BBK409" s="119"/>
      <c r="BBL409" s="120"/>
      <c r="BBM409" s="120"/>
      <c r="BBN409" s="120"/>
      <c r="BBO409" s="120"/>
      <c r="BBP409" s="120"/>
      <c r="BBQ409" s="121"/>
      <c r="BBR409" s="119"/>
      <c r="BBS409" s="120"/>
      <c r="BBT409" s="120"/>
      <c r="BBU409" s="120"/>
      <c r="BBV409" s="120"/>
      <c r="BBW409" s="120"/>
      <c r="BBX409" s="121"/>
      <c r="BBY409" s="119"/>
      <c r="BBZ409" s="120"/>
      <c r="BCA409" s="120"/>
      <c r="BCB409" s="120"/>
      <c r="BCC409" s="120"/>
      <c r="BCD409" s="120"/>
      <c r="BCE409" s="121"/>
      <c r="BCF409" s="119"/>
      <c r="BCG409" s="120"/>
      <c r="BCH409" s="120"/>
      <c r="BCI409" s="120"/>
      <c r="BCJ409" s="120"/>
      <c r="BCK409" s="120"/>
      <c r="BCL409" s="121"/>
      <c r="BCM409" s="119"/>
      <c r="BCN409" s="120"/>
      <c r="BCO409" s="120"/>
      <c r="BCP409" s="120"/>
      <c r="BCQ409" s="120"/>
      <c r="BCR409" s="120"/>
      <c r="BCS409" s="121"/>
      <c r="BCT409" s="119"/>
      <c r="BCU409" s="120"/>
      <c r="BCV409" s="120"/>
      <c r="BCW409" s="120"/>
      <c r="BCX409" s="120"/>
      <c r="BCY409" s="120"/>
      <c r="BCZ409" s="121"/>
      <c r="BDA409" s="119"/>
      <c r="BDB409" s="120"/>
      <c r="BDC409" s="120"/>
      <c r="BDD409" s="120"/>
      <c r="BDE409" s="120"/>
      <c r="BDF409" s="120"/>
      <c r="BDG409" s="121"/>
      <c r="BDH409" s="119"/>
      <c r="BDI409" s="120"/>
      <c r="BDJ409" s="120"/>
      <c r="BDK409" s="120"/>
      <c r="BDL409" s="120"/>
      <c r="BDM409" s="120"/>
      <c r="BDN409" s="121"/>
      <c r="BDO409" s="119"/>
      <c r="BDP409" s="120"/>
      <c r="BDQ409" s="120"/>
      <c r="BDR409" s="120"/>
      <c r="BDS409" s="120"/>
      <c r="BDT409" s="120"/>
      <c r="BDU409" s="121"/>
      <c r="BDV409" s="119"/>
      <c r="BDW409" s="120"/>
      <c r="BDX409" s="120"/>
      <c r="BDY409" s="120"/>
      <c r="BDZ409" s="120"/>
      <c r="BEA409" s="120"/>
      <c r="BEB409" s="121"/>
      <c r="BEC409" s="119"/>
      <c r="BED409" s="120"/>
      <c r="BEE409" s="120"/>
      <c r="BEF409" s="120"/>
      <c r="BEG409" s="120"/>
      <c r="BEH409" s="120"/>
      <c r="BEI409" s="121"/>
      <c r="BEJ409" s="119"/>
      <c r="BEK409" s="120"/>
      <c r="BEL409" s="120"/>
      <c r="BEM409" s="120"/>
      <c r="BEN409" s="120"/>
      <c r="BEO409" s="120"/>
      <c r="BEP409" s="121"/>
      <c r="BEQ409" s="119"/>
      <c r="BER409" s="120"/>
      <c r="BES409" s="120"/>
      <c r="BET409" s="120"/>
      <c r="BEU409" s="120"/>
      <c r="BEV409" s="120"/>
      <c r="BEW409" s="121"/>
      <c r="BEX409" s="119"/>
      <c r="BEY409" s="120"/>
      <c r="BEZ409" s="120"/>
      <c r="BFA409" s="120"/>
      <c r="BFB409" s="120"/>
      <c r="BFC409" s="120"/>
      <c r="BFD409" s="121"/>
      <c r="BFE409" s="119"/>
      <c r="BFF409" s="120"/>
      <c r="BFG409" s="120"/>
      <c r="BFH409" s="120"/>
      <c r="BFI409" s="120"/>
      <c r="BFJ409" s="120"/>
      <c r="BFK409" s="121"/>
      <c r="BFL409" s="119"/>
      <c r="BFM409" s="120"/>
      <c r="BFN409" s="120"/>
      <c r="BFO409" s="120"/>
      <c r="BFP409" s="120"/>
      <c r="BFQ409" s="120"/>
      <c r="BFR409" s="121"/>
      <c r="BFS409" s="119"/>
      <c r="BFT409" s="120"/>
      <c r="BFU409" s="120"/>
      <c r="BFV409" s="120"/>
      <c r="BFW409" s="120"/>
      <c r="BFX409" s="120"/>
      <c r="BFY409" s="121"/>
      <c r="BFZ409" s="119"/>
      <c r="BGA409" s="120"/>
      <c r="BGB409" s="120"/>
      <c r="BGC409" s="120"/>
      <c r="BGD409" s="120"/>
      <c r="BGE409" s="120"/>
      <c r="BGF409" s="121"/>
      <c r="BGG409" s="119"/>
      <c r="BGH409" s="120"/>
      <c r="BGI409" s="120"/>
      <c r="BGJ409" s="120"/>
      <c r="BGK409" s="120"/>
      <c r="BGL409" s="120"/>
      <c r="BGM409" s="121"/>
      <c r="BGN409" s="119"/>
      <c r="BGO409" s="120"/>
      <c r="BGP409" s="120"/>
      <c r="BGQ409" s="120"/>
      <c r="BGR409" s="120"/>
      <c r="BGS409" s="120"/>
      <c r="BGT409" s="121"/>
      <c r="BGU409" s="119"/>
      <c r="BGV409" s="120"/>
      <c r="BGW409" s="120"/>
      <c r="BGX409" s="120"/>
      <c r="BGY409" s="120"/>
      <c r="BGZ409" s="120"/>
      <c r="BHA409" s="121"/>
      <c r="BHB409" s="119"/>
      <c r="BHC409" s="120"/>
      <c r="BHD409" s="120"/>
      <c r="BHE409" s="120"/>
      <c r="BHF409" s="120"/>
      <c r="BHG409" s="120"/>
      <c r="BHH409" s="121"/>
      <c r="BHI409" s="119"/>
      <c r="BHJ409" s="120"/>
      <c r="BHK409" s="120"/>
      <c r="BHL409" s="120"/>
      <c r="BHM409" s="120"/>
      <c r="BHN409" s="120"/>
      <c r="BHO409" s="121"/>
      <c r="BHP409" s="119"/>
      <c r="BHQ409" s="120"/>
      <c r="BHR409" s="120"/>
      <c r="BHS409" s="120"/>
      <c r="BHT409" s="120"/>
      <c r="BHU409" s="120"/>
      <c r="BHV409" s="121"/>
      <c r="BHW409" s="119"/>
      <c r="BHX409" s="120"/>
      <c r="BHY409" s="120"/>
      <c r="BHZ409" s="120"/>
      <c r="BIA409" s="120"/>
      <c r="BIB409" s="120"/>
      <c r="BIC409" s="121"/>
      <c r="BID409" s="119"/>
      <c r="BIE409" s="120"/>
      <c r="BIF409" s="120"/>
      <c r="BIG409" s="120"/>
      <c r="BIH409" s="120"/>
      <c r="BII409" s="120"/>
      <c r="BIJ409" s="121"/>
      <c r="BIK409" s="119"/>
      <c r="BIL409" s="120"/>
      <c r="BIM409" s="120"/>
      <c r="BIN409" s="120"/>
      <c r="BIO409" s="120"/>
      <c r="BIP409" s="120"/>
      <c r="BIQ409" s="121"/>
      <c r="BIR409" s="119"/>
      <c r="BIS409" s="120"/>
      <c r="BIT409" s="120"/>
      <c r="BIU409" s="120"/>
      <c r="BIV409" s="120"/>
      <c r="BIW409" s="120"/>
      <c r="BIX409" s="121"/>
      <c r="BIY409" s="119"/>
      <c r="BIZ409" s="120"/>
      <c r="BJA409" s="120"/>
      <c r="BJB409" s="120"/>
      <c r="BJC409" s="120"/>
      <c r="BJD409" s="120"/>
      <c r="BJE409" s="121"/>
      <c r="BJF409" s="119"/>
      <c r="BJG409" s="120"/>
      <c r="BJH409" s="120"/>
      <c r="BJI409" s="120"/>
      <c r="BJJ409" s="120"/>
      <c r="BJK409" s="120"/>
      <c r="BJL409" s="121"/>
      <c r="BJM409" s="119"/>
      <c r="BJN409" s="120"/>
      <c r="BJO409" s="120"/>
      <c r="BJP409" s="120"/>
      <c r="BJQ409" s="120"/>
      <c r="BJR409" s="120"/>
      <c r="BJS409" s="121"/>
      <c r="BJT409" s="119"/>
      <c r="BJU409" s="120"/>
      <c r="BJV409" s="120"/>
      <c r="BJW409" s="120"/>
      <c r="BJX409" s="120"/>
      <c r="BJY409" s="120"/>
      <c r="BJZ409" s="121"/>
      <c r="BKA409" s="119"/>
      <c r="BKB409" s="120"/>
      <c r="BKC409" s="120"/>
      <c r="BKD409" s="120"/>
      <c r="BKE409" s="120"/>
      <c r="BKF409" s="120"/>
      <c r="BKG409" s="121"/>
      <c r="BKH409" s="119"/>
      <c r="BKI409" s="120"/>
      <c r="BKJ409" s="120"/>
      <c r="BKK409" s="120"/>
      <c r="BKL409" s="120"/>
      <c r="BKM409" s="120"/>
      <c r="BKN409" s="121"/>
      <c r="BKO409" s="119"/>
      <c r="BKP409" s="120"/>
      <c r="BKQ409" s="120"/>
      <c r="BKR409" s="120"/>
      <c r="BKS409" s="120"/>
      <c r="BKT409" s="120"/>
      <c r="BKU409" s="121"/>
      <c r="BKV409" s="119"/>
      <c r="BKW409" s="120"/>
      <c r="BKX409" s="120"/>
      <c r="BKY409" s="120"/>
      <c r="BKZ409" s="120"/>
      <c r="BLA409" s="120"/>
      <c r="BLB409" s="121"/>
      <c r="BLC409" s="119"/>
      <c r="BLD409" s="120"/>
      <c r="BLE409" s="120"/>
      <c r="BLF409" s="120"/>
      <c r="BLG409" s="120"/>
      <c r="BLH409" s="120"/>
      <c r="BLI409" s="121"/>
      <c r="BLJ409" s="119"/>
      <c r="BLK409" s="120"/>
      <c r="BLL409" s="120"/>
      <c r="BLM409" s="120"/>
      <c r="BLN409" s="120"/>
      <c r="BLO409" s="120"/>
      <c r="BLP409" s="121"/>
      <c r="BLQ409" s="119"/>
      <c r="BLR409" s="120"/>
      <c r="BLS409" s="120"/>
      <c r="BLT409" s="120"/>
      <c r="BLU409" s="120"/>
      <c r="BLV409" s="120"/>
      <c r="BLW409" s="121"/>
      <c r="BLX409" s="119"/>
      <c r="BLY409" s="120"/>
      <c r="BLZ409" s="120"/>
      <c r="BMA409" s="120"/>
      <c r="BMB409" s="120"/>
      <c r="BMC409" s="120"/>
      <c r="BMD409" s="121"/>
      <c r="BME409" s="119"/>
      <c r="BMF409" s="120"/>
      <c r="BMG409" s="120"/>
      <c r="BMH409" s="120"/>
      <c r="BMI409" s="120"/>
      <c r="BMJ409" s="120"/>
      <c r="BMK409" s="121"/>
      <c r="BML409" s="119"/>
      <c r="BMM409" s="120"/>
      <c r="BMN409" s="120"/>
      <c r="BMO409" s="120"/>
      <c r="BMP409" s="120"/>
      <c r="BMQ409" s="120"/>
      <c r="BMR409" s="121"/>
      <c r="BMS409" s="119"/>
      <c r="BMT409" s="120"/>
      <c r="BMU409" s="120"/>
      <c r="BMV409" s="120"/>
      <c r="BMW409" s="120"/>
      <c r="BMX409" s="120"/>
      <c r="BMY409" s="121"/>
      <c r="BMZ409" s="119"/>
      <c r="BNA409" s="120"/>
      <c r="BNB409" s="120"/>
      <c r="BNC409" s="120"/>
      <c r="BND409" s="120"/>
      <c r="BNE409" s="120"/>
      <c r="BNF409" s="121"/>
      <c r="BNG409" s="119"/>
      <c r="BNH409" s="120"/>
      <c r="BNI409" s="120"/>
      <c r="BNJ409" s="120"/>
      <c r="BNK409" s="120"/>
      <c r="BNL409" s="120"/>
      <c r="BNM409" s="121"/>
      <c r="BNN409" s="119"/>
      <c r="BNO409" s="120"/>
      <c r="BNP409" s="120"/>
      <c r="BNQ409" s="120"/>
      <c r="BNR409" s="120"/>
      <c r="BNS409" s="120"/>
      <c r="BNT409" s="121"/>
      <c r="BNU409" s="119"/>
      <c r="BNV409" s="120"/>
      <c r="BNW409" s="120"/>
      <c r="BNX409" s="120"/>
      <c r="BNY409" s="120"/>
      <c r="BNZ409" s="120"/>
      <c r="BOA409" s="121"/>
      <c r="BOB409" s="119"/>
      <c r="BOC409" s="120"/>
      <c r="BOD409" s="120"/>
      <c r="BOE409" s="120"/>
      <c r="BOF409" s="120"/>
      <c r="BOG409" s="120"/>
      <c r="BOH409" s="121"/>
      <c r="BOI409" s="119"/>
      <c r="BOJ409" s="120"/>
      <c r="BOK409" s="120"/>
      <c r="BOL409" s="120"/>
      <c r="BOM409" s="120"/>
      <c r="BON409" s="120"/>
      <c r="BOO409" s="121"/>
      <c r="BOP409" s="119"/>
      <c r="BOQ409" s="120"/>
      <c r="BOR409" s="120"/>
      <c r="BOS409" s="120"/>
      <c r="BOT409" s="120"/>
      <c r="BOU409" s="120"/>
      <c r="BOV409" s="121"/>
      <c r="BOW409" s="119"/>
      <c r="BOX409" s="120"/>
      <c r="BOY409" s="120"/>
      <c r="BOZ409" s="120"/>
      <c r="BPA409" s="120"/>
      <c r="BPB409" s="120"/>
      <c r="BPC409" s="121"/>
      <c r="BPD409" s="119"/>
      <c r="BPE409" s="120"/>
      <c r="BPF409" s="120"/>
      <c r="BPG409" s="120"/>
      <c r="BPH409" s="120"/>
      <c r="BPI409" s="120"/>
      <c r="BPJ409" s="121"/>
      <c r="BPK409" s="119"/>
      <c r="BPL409" s="120"/>
      <c r="BPM409" s="120"/>
      <c r="BPN409" s="120"/>
      <c r="BPO409" s="120"/>
      <c r="BPP409" s="120"/>
      <c r="BPQ409" s="121"/>
      <c r="BPR409" s="119"/>
      <c r="BPS409" s="120"/>
      <c r="BPT409" s="120"/>
      <c r="BPU409" s="120"/>
      <c r="BPV409" s="120"/>
      <c r="BPW409" s="120"/>
      <c r="BPX409" s="121"/>
      <c r="BPY409" s="119"/>
      <c r="BPZ409" s="120"/>
      <c r="BQA409" s="120"/>
      <c r="BQB409" s="120"/>
      <c r="BQC409" s="120"/>
      <c r="BQD409" s="120"/>
      <c r="BQE409" s="121"/>
      <c r="BQF409" s="119"/>
      <c r="BQG409" s="120"/>
      <c r="BQH409" s="120"/>
      <c r="BQI409" s="120"/>
      <c r="BQJ409" s="120"/>
      <c r="BQK409" s="120"/>
      <c r="BQL409" s="121"/>
      <c r="BQM409" s="119"/>
      <c r="BQN409" s="120"/>
      <c r="BQO409" s="120"/>
      <c r="BQP409" s="120"/>
      <c r="BQQ409" s="120"/>
      <c r="BQR409" s="120"/>
      <c r="BQS409" s="121"/>
      <c r="BQT409" s="119"/>
      <c r="BQU409" s="120"/>
      <c r="BQV409" s="120"/>
      <c r="BQW409" s="120"/>
      <c r="BQX409" s="120"/>
      <c r="BQY409" s="120"/>
      <c r="BQZ409" s="121"/>
      <c r="BRA409" s="119"/>
      <c r="BRB409" s="120"/>
      <c r="BRC409" s="120"/>
      <c r="BRD409" s="120"/>
      <c r="BRE409" s="120"/>
      <c r="BRF409" s="120"/>
      <c r="BRG409" s="121"/>
      <c r="BRH409" s="119"/>
      <c r="BRI409" s="120"/>
      <c r="BRJ409" s="120"/>
      <c r="BRK409" s="120"/>
      <c r="BRL409" s="120"/>
      <c r="BRM409" s="120"/>
      <c r="BRN409" s="121"/>
      <c r="BRO409" s="119"/>
      <c r="BRP409" s="120"/>
      <c r="BRQ409" s="120"/>
      <c r="BRR409" s="120"/>
      <c r="BRS409" s="120"/>
      <c r="BRT409" s="120"/>
      <c r="BRU409" s="121"/>
      <c r="BRV409" s="119"/>
      <c r="BRW409" s="120"/>
      <c r="BRX409" s="120"/>
      <c r="BRY409" s="120"/>
      <c r="BRZ409" s="120"/>
      <c r="BSA409" s="120"/>
      <c r="BSB409" s="121"/>
      <c r="BSC409" s="119"/>
      <c r="BSD409" s="120"/>
      <c r="BSE409" s="120"/>
      <c r="BSF409" s="120"/>
      <c r="BSG409" s="120"/>
      <c r="BSH409" s="120"/>
      <c r="BSI409" s="121"/>
      <c r="BSJ409" s="119"/>
      <c r="BSK409" s="120"/>
      <c r="BSL409" s="120"/>
      <c r="BSM409" s="120"/>
      <c r="BSN409" s="120"/>
      <c r="BSO409" s="120"/>
      <c r="BSP409" s="121"/>
      <c r="BSQ409" s="119"/>
      <c r="BSR409" s="120"/>
      <c r="BSS409" s="120"/>
      <c r="BST409" s="120"/>
      <c r="BSU409" s="120"/>
      <c r="BSV409" s="120"/>
      <c r="BSW409" s="121"/>
      <c r="BSX409" s="119"/>
      <c r="BSY409" s="120"/>
      <c r="BSZ409" s="120"/>
      <c r="BTA409" s="120"/>
      <c r="BTB409" s="120"/>
      <c r="BTC409" s="120"/>
      <c r="BTD409" s="121"/>
      <c r="BTE409" s="119"/>
      <c r="BTF409" s="120"/>
      <c r="BTG409" s="120"/>
      <c r="BTH409" s="120"/>
      <c r="BTI409" s="120"/>
      <c r="BTJ409" s="120"/>
      <c r="BTK409" s="121"/>
      <c r="BTL409" s="119"/>
      <c r="BTM409" s="120"/>
      <c r="BTN409" s="120"/>
      <c r="BTO409" s="120"/>
      <c r="BTP409" s="120"/>
      <c r="BTQ409" s="120"/>
      <c r="BTR409" s="121"/>
      <c r="BTS409" s="119"/>
      <c r="BTT409" s="120"/>
      <c r="BTU409" s="120"/>
      <c r="BTV409" s="120"/>
      <c r="BTW409" s="120"/>
      <c r="BTX409" s="120"/>
      <c r="BTY409" s="121"/>
      <c r="BTZ409" s="119"/>
      <c r="BUA409" s="120"/>
      <c r="BUB409" s="120"/>
      <c r="BUC409" s="120"/>
      <c r="BUD409" s="120"/>
      <c r="BUE409" s="120"/>
      <c r="BUF409" s="121"/>
      <c r="BUG409" s="119"/>
      <c r="BUH409" s="120"/>
      <c r="BUI409" s="120"/>
      <c r="BUJ409" s="120"/>
      <c r="BUK409" s="120"/>
      <c r="BUL409" s="120"/>
      <c r="BUM409" s="121"/>
      <c r="BUN409" s="119"/>
      <c r="BUO409" s="120"/>
      <c r="BUP409" s="120"/>
      <c r="BUQ409" s="120"/>
      <c r="BUR409" s="120"/>
      <c r="BUS409" s="120"/>
      <c r="BUT409" s="121"/>
      <c r="BUU409" s="119"/>
      <c r="BUV409" s="120"/>
      <c r="BUW409" s="120"/>
      <c r="BUX409" s="120"/>
      <c r="BUY409" s="120"/>
      <c r="BUZ409" s="120"/>
      <c r="BVA409" s="121"/>
      <c r="BVB409" s="119"/>
      <c r="BVC409" s="120"/>
      <c r="BVD409" s="120"/>
      <c r="BVE409" s="120"/>
      <c r="BVF409" s="120"/>
      <c r="BVG409" s="120"/>
      <c r="BVH409" s="121"/>
      <c r="BVI409" s="119"/>
      <c r="BVJ409" s="120"/>
      <c r="BVK409" s="120"/>
      <c r="BVL409" s="120"/>
      <c r="BVM409" s="120"/>
      <c r="BVN409" s="120"/>
      <c r="BVO409" s="121"/>
      <c r="BVP409" s="119"/>
      <c r="BVQ409" s="120"/>
      <c r="BVR409" s="120"/>
      <c r="BVS409" s="120"/>
      <c r="BVT409" s="120"/>
      <c r="BVU409" s="120"/>
      <c r="BVV409" s="121"/>
      <c r="BVW409" s="119"/>
      <c r="BVX409" s="120"/>
      <c r="BVY409" s="120"/>
      <c r="BVZ409" s="120"/>
      <c r="BWA409" s="120"/>
      <c r="BWB409" s="120"/>
      <c r="BWC409" s="121"/>
      <c r="BWD409" s="119"/>
      <c r="BWE409" s="120"/>
      <c r="BWF409" s="120"/>
      <c r="BWG409" s="120"/>
      <c r="BWH409" s="120"/>
      <c r="BWI409" s="120"/>
      <c r="BWJ409" s="121"/>
      <c r="BWK409" s="119"/>
      <c r="BWL409" s="120"/>
      <c r="BWM409" s="120"/>
      <c r="BWN409" s="120"/>
      <c r="BWO409" s="120"/>
      <c r="BWP409" s="120"/>
      <c r="BWQ409" s="121"/>
      <c r="BWR409" s="119"/>
      <c r="BWS409" s="120"/>
      <c r="BWT409" s="120"/>
      <c r="BWU409" s="120"/>
      <c r="BWV409" s="120"/>
      <c r="BWW409" s="120"/>
      <c r="BWX409" s="121"/>
      <c r="BWY409" s="119"/>
      <c r="BWZ409" s="120"/>
      <c r="BXA409" s="120"/>
      <c r="BXB409" s="120"/>
      <c r="BXC409" s="120"/>
      <c r="BXD409" s="120"/>
      <c r="BXE409" s="121"/>
      <c r="BXF409" s="119"/>
      <c r="BXG409" s="120"/>
      <c r="BXH409" s="120"/>
      <c r="BXI409" s="120"/>
      <c r="BXJ409" s="120"/>
      <c r="BXK409" s="120"/>
      <c r="BXL409" s="121"/>
      <c r="BXM409" s="119"/>
      <c r="BXN409" s="120"/>
      <c r="BXO409" s="120"/>
      <c r="BXP409" s="120"/>
      <c r="BXQ409" s="120"/>
      <c r="BXR409" s="120"/>
      <c r="BXS409" s="121"/>
      <c r="BXT409" s="119"/>
      <c r="BXU409" s="120"/>
      <c r="BXV409" s="120"/>
      <c r="BXW409" s="120"/>
      <c r="BXX409" s="120"/>
      <c r="BXY409" s="120"/>
      <c r="BXZ409" s="121"/>
      <c r="BYA409" s="119"/>
      <c r="BYB409" s="120"/>
      <c r="BYC409" s="120"/>
      <c r="BYD409" s="120"/>
      <c r="BYE409" s="120"/>
      <c r="BYF409" s="120"/>
      <c r="BYG409" s="121"/>
      <c r="BYH409" s="119"/>
      <c r="BYI409" s="120"/>
      <c r="BYJ409" s="120"/>
      <c r="BYK409" s="120"/>
      <c r="BYL409" s="120"/>
      <c r="BYM409" s="120"/>
      <c r="BYN409" s="121"/>
      <c r="BYO409" s="119"/>
      <c r="BYP409" s="120"/>
      <c r="BYQ409" s="120"/>
      <c r="BYR409" s="120"/>
      <c r="BYS409" s="120"/>
      <c r="BYT409" s="120"/>
      <c r="BYU409" s="121"/>
      <c r="BYV409" s="119"/>
      <c r="BYW409" s="120"/>
      <c r="BYX409" s="120"/>
      <c r="BYY409" s="120"/>
      <c r="BYZ409" s="120"/>
      <c r="BZA409" s="120"/>
      <c r="BZB409" s="121"/>
      <c r="BZC409" s="119"/>
      <c r="BZD409" s="120"/>
      <c r="BZE409" s="120"/>
      <c r="BZF409" s="120"/>
      <c r="BZG409" s="120"/>
      <c r="BZH409" s="120"/>
      <c r="BZI409" s="121"/>
      <c r="BZJ409" s="119"/>
      <c r="BZK409" s="120"/>
      <c r="BZL409" s="120"/>
      <c r="BZM409" s="120"/>
      <c r="BZN409" s="120"/>
      <c r="BZO409" s="120"/>
      <c r="BZP409" s="121"/>
      <c r="BZQ409" s="119"/>
      <c r="BZR409" s="120"/>
      <c r="BZS409" s="120"/>
      <c r="BZT409" s="120"/>
      <c r="BZU409" s="120"/>
      <c r="BZV409" s="120"/>
      <c r="BZW409" s="121"/>
      <c r="BZX409" s="119"/>
      <c r="BZY409" s="120"/>
      <c r="BZZ409" s="120"/>
      <c r="CAA409" s="120"/>
      <c r="CAB409" s="120"/>
      <c r="CAC409" s="120"/>
      <c r="CAD409" s="121"/>
      <c r="CAE409" s="119"/>
      <c r="CAF409" s="120"/>
      <c r="CAG409" s="120"/>
      <c r="CAH409" s="120"/>
      <c r="CAI409" s="120"/>
      <c r="CAJ409" s="120"/>
      <c r="CAK409" s="121"/>
      <c r="CAL409" s="119"/>
      <c r="CAM409" s="120"/>
      <c r="CAN409" s="120"/>
      <c r="CAO409" s="120"/>
      <c r="CAP409" s="120"/>
      <c r="CAQ409" s="120"/>
      <c r="CAR409" s="121"/>
      <c r="CAS409" s="119"/>
      <c r="CAT409" s="120"/>
      <c r="CAU409" s="120"/>
      <c r="CAV409" s="120"/>
      <c r="CAW409" s="120"/>
      <c r="CAX409" s="120"/>
      <c r="CAY409" s="121"/>
      <c r="CAZ409" s="119"/>
      <c r="CBA409" s="120"/>
      <c r="CBB409" s="120"/>
      <c r="CBC409" s="120"/>
      <c r="CBD409" s="120"/>
      <c r="CBE409" s="120"/>
      <c r="CBF409" s="121"/>
      <c r="CBG409" s="119"/>
      <c r="CBH409" s="120"/>
      <c r="CBI409" s="120"/>
      <c r="CBJ409" s="120"/>
      <c r="CBK409" s="120"/>
      <c r="CBL409" s="120"/>
      <c r="CBM409" s="121"/>
      <c r="CBN409" s="119"/>
      <c r="CBO409" s="120"/>
      <c r="CBP409" s="120"/>
      <c r="CBQ409" s="120"/>
      <c r="CBR409" s="120"/>
      <c r="CBS409" s="120"/>
      <c r="CBT409" s="121"/>
      <c r="CBU409" s="119"/>
      <c r="CBV409" s="120"/>
      <c r="CBW409" s="120"/>
      <c r="CBX409" s="120"/>
      <c r="CBY409" s="120"/>
      <c r="CBZ409" s="120"/>
      <c r="CCA409" s="121"/>
      <c r="CCB409" s="119"/>
      <c r="CCC409" s="120"/>
      <c r="CCD409" s="120"/>
      <c r="CCE409" s="120"/>
      <c r="CCF409" s="120"/>
      <c r="CCG409" s="120"/>
      <c r="CCH409" s="121"/>
      <c r="CCI409" s="119"/>
      <c r="CCJ409" s="120"/>
      <c r="CCK409" s="120"/>
      <c r="CCL409" s="120"/>
      <c r="CCM409" s="120"/>
      <c r="CCN409" s="120"/>
      <c r="CCO409" s="121"/>
      <c r="CCP409" s="119"/>
      <c r="CCQ409" s="120"/>
      <c r="CCR409" s="120"/>
      <c r="CCS409" s="120"/>
      <c r="CCT409" s="120"/>
      <c r="CCU409" s="120"/>
      <c r="CCV409" s="121"/>
      <c r="CCW409" s="119"/>
      <c r="CCX409" s="120"/>
      <c r="CCY409" s="120"/>
      <c r="CCZ409" s="120"/>
      <c r="CDA409" s="120"/>
      <c r="CDB409" s="120"/>
      <c r="CDC409" s="121"/>
      <c r="CDD409" s="119"/>
      <c r="CDE409" s="120"/>
      <c r="CDF409" s="120"/>
      <c r="CDG409" s="120"/>
      <c r="CDH409" s="120"/>
      <c r="CDI409" s="120"/>
      <c r="CDJ409" s="121"/>
      <c r="CDK409" s="119"/>
      <c r="CDL409" s="120"/>
      <c r="CDM409" s="120"/>
      <c r="CDN409" s="120"/>
      <c r="CDO409" s="120"/>
      <c r="CDP409" s="120"/>
      <c r="CDQ409" s="121"/>
      <c r="CDR409" s="119"/>
      <c r="CDS409" s="120"/>
      <c r="CDT409" s="120"/>
      <c r="CDU409" s="120"/>
      <c r="CDV409" s="120"/>
      <c r="CDW409" s="120"/>
      <c r="CDX409" s="121"/>
      <c r="CDY409" s="119"/>
      <c r="CDZ409" s="120"/>
      <c r="CEA409" s="120"/>
      <c r="CEB409" s="120"/>
      <c r="CEC409" s="120"/>
      <c r="CED409" s="120"/>
      <c r="CEE409" s="121"/>
      <c r="CEF409" s="119"/>
      <c r="CEG409" s="120"/>
      <c r="CEH409" s="120"/>
      <c r="CEI409" s="120"/>
      <c r="CEJ409" s="120"/>
      <c r="CEK409" s="120"/>
      <c r="CEL409" s="121"/>
      <c r="CEM409" s="119"/>
      <c r="CEN409" s="120"/>
      <c r="CEO409" s="120"/>
      <c r="CEP409" s="120"/>
      <c r="CEQ409" s="120"/>
      <c r="CER409" s="120"/>
      <c r="CES409" s="121"/>
      <c r="CET409" s="119"/>
      <c r="CEU409" s="120"/>
      <c r="CEV409" s="120"/>
      <c r="CEW409" s="120"/>
      <c r="CEX409" s="120"/>
      <c r="CEY409" s="120"/>
      <c r="CEZ409" s="121"/>
      <c r="CFA409" s="119"/>
      <c r="CFB409" s="120"/>
      <c r="CFC409" s="120"/>
      <c r="CFD409" s="120"/>
      <c r="CFE409" s="120"/>
      <c r="CFF409" s="120"/>
      <c r="CFG409" s="121"/>
      <c r="CFH409" s="119"/>
      <c r="CFI409" s="120"/>
      <c r="CFJ409" s="120"/>
      <c r="CFK409" s="120"/>
      <c r="CFL409" s="120"/>
      <c r="CFM409" s="120"/>
      <c r="CFN409" s="121"/>
      <c r="CFO409" s="119"/>
      <c r="CFP409" s="120"/>
      <c r="CFQ409" s="120"/>
      <c r="CFR409" s="120"/>
      <c r="CFS409" s="120"/>
      <c r="CFT409" s="120"/>
      <c r="CFU409" s="121"/>
      <c r="CFV409" s="119"/>
      <c r="CFW409" s="120"/>
      <c r="CFX409" s="120"/>
      <c r="CFY409" s="120"/>
      <c r="CFZ409" s="120"/>
      <c r="CGA409" s="120"/>
      <c r="CGB409" s="121"/>
      <c r="CGC409" s="119"/>
      <c r="CGD409" s="120"/>
      <c r="CGE409" s="120"/>
      <c r="CGF409" s="120"/>
      <c r="CGG409" s="120"/>
      <c r="CGH409" s="120"/>
      <c r="CGI409" s="121"/>
      <c r="CGJ409" s="119"/>
      <c r="CGK409" s="120"/>
      <c r="CGL409" s="120"/>
      <c r="CGM409" s="120"/>
      <c r="CGN409" s="120"/>
      <c r="CGO409" s="120"/>
      <c r="CGP409" s="121"/>
      <c r="CGQ409" s="119"/>
      <c r="CGR409" s="120"/>
      <c r="CGS409" s="120"/>
      <c r="CGT409" s="120"/>
      <c r="CGU409" s="120"/>
      <c r="CGV409" s="120"/>
      <c r="CGW409" s="121"/>
      <c r="CGX409" s="119"/>
      <c r="CGY409" s="120"/>
      <c r="CGZ409" s="120"/>
      <c r="CHA409" s="120"/>
      <c r="CHB409" s="120"/>
      <c r="CHC409" s="120"/>
      <c r="CHD409" s="121"/>
      <c r="CHE409" s="119"/>
      <c r="CHF409" s="120"/>
      <c r="CHG409" s="120"/>
      <c r="CHH409" s="120"/>
      <c r="CHI409" s="120"/>
      <c r="CHJ409" s="120"/>
      <c r="CHK409" s="121"/>
      <c r="CHL409" s="119"/>
      <c r="CHM409" s="120"/>
      <c r="CHN409" s="120"/>
      <c r="CHO409" s="120"/>
      <c r="CHP409" s="120"/>
      <c r="CHQ409" s="120"/>
      <c r="CHR409" s="121"/>
      <c r="CHS409" s="119"/>
      <c r="CHT409" s="120"/>
      <c r="CHU409" s="120"/>
      <c r="CHV409" s="120"/>
      <c r="CHW409" s="120"/>
      <c r="CHX409" s="120"/>
      <c r="CHY409" s="121"/>
      <c r="CHZ409" s="119"/>
      <c r="CIA409" s="120"/>
      <c r="CIB409" s="120"/>
      <c r="CIC409" s="120"/>
      <c r="CID409" s="120"/>
      <c r="CIE409" s="120"/>
      <c r="CIF409" s="121"/>
      <c r="CIG409" s="119"/>
      <c r="CIH409" s="120"/>
      <c r="CII409" s="120"/>
      <c r="CIJ409" s="120"/>
      <c r="CIK409" s="120"/>
      <c r="CIL409" s="120"/>
      <c r="CIM409" s="121"/>
      <c r="CIN409" s="119"/>
      <c r="CIO409" s="120"/>
      <c r="CIP409" s="120"/>
      <c r="CIQ409" s="120"/>
      <c r="CIR409" s="120"/>
      <c r="CIS409" s="120"/>
      <c r="CIT409" s="121"/>
      <c r="CIU409" s="119"/>
      <c r="CIV409" s="120"/>
      <c r="CIW409" s="120"/>
      <c r="CIX409" s="120"/>
      <c r="CIY409" s="120"/>
      <c r="CIZ409" s="120"/>
      <c r="CJA409" s="121"/>
      <c r="CJB409" s="119"/>
      <c r="CJC409" s="120"/>
      <c r="CJD409" s="120"/>
      <c r="CJE409" s="120"/>
      <c r="CJF409" s="120"/>
      <c r="CJG409" s="120"/>
      <c r="CJH409" s="121"/>
      <c r="CJI409" s="119"/>
      <c r="CJJ409" s="120"/>
      <c r="CJK409" s="120"/>
      <c r="CJL409" s="120"/>
      <c r="CJM409" s="120"/>
      <c r="CJN409" s="120"/>
      <c r="CJO409" s="121"/>
      <c r="CJP409" s="119"/>
      <c r="CJQ409" s="120"/>
      <c r="CJR409" s="120"/>
      <c r="CJS409" s="120"/>
      <c r="CJT409" s="120"/>
      <c r="CJU409" s="120"/>
      <c r="CJV409" s="121"/>
      <c r="CJW409" s="119"/>
      <c r="CJX409" s="120"/>
      <c r="CJY409" s="120"/>
      <c r="CJZ409" s="120"/>
      <c r="CKA409" s="120"/>
      <c r="CKB409" s="120"/>
      <c r="CKC409" s="121"/>
      <c r="CKD409" s="119"/>
      <c r="CKE409" s="120"/>
      <c r="CKF409" s="120"/>
      <c r="CKG409" s="120"/>
      <c r="CKH409" s="120"/>
      <c r="CKI409" s="120"/>
      <c r="CKJ409" s="121"/>
      <c r="CKK409" s="119"/>
      <c r="CKL409" s="120"/>
      <c r="CKM409" s="120"/>
      <c r="CKN409" s="120"/>
      <c r="CKO409" s="120"/>
      <c r="CKP409" s="120"/>
      <c r="CKQ409" s="121"/>
      <c r="CKR409" s="119"/>
      <c r="CKS409" s="120"/>
      <c r="CKT409" s="120"/>
      <c r="CKU409" s="120"/>
      <c r="CKV409" s="120"/>
      <c r="CKW409" s="120"/>
      <c r="CKX409" s="121"/>
      <c r="CKY409" s="119"/>
      <c r="CKZ409" s="120"/>
      <c r="CLA409" s="120"/>
      <c r="CLB409" s="120"/>
      <c r="CLC409" s="120"/>
      <c r="CLD409" s="120"/>
      <c r="CLE409" s="121"/>
      <c r="CLF409" s="119"/>
      <c r="CLG409" s="120"/>
      <c r="CLH409" s="120"/>
      <c r="CLI409" s="120"/>
      <c r="CLJ409" s="120"/>
      <c r="CLK409" s="120"/>
      <c r="CLL409" s="121"/>
      <c r="CLM409" s="119"/>
      <c r="CLN409" s="120"/>
      <c r="CLO409" s="120"/>
      <c r="CLP409" s="120"/>
      <c r="CLQ409" s="120"/>
      <c r="CLR409" s="120"/>
      <c r="CLS409" s="121"/>
      <c r="CLT409" s="119"/>
      <c r="CLU409" s="120"/>
      <c r="CLV409" s="120"/>
      <c r="CLW409" s="120"/>
      <c r="CLX409" s="120"/>
      <c r="CLY409" s="120"/>
      <c r="CLZ409" s="121"/>
      <c r="CMA409" s="119"/>
      <c r="CMB409" s="120"/>
      <c r="CMC409" s="120"/>
      <c r="CMD409" s="120"/>
      <c r="CME409" s="120"/>
      <c r="CMF409" s="120"/>
      <c r="CMG409" s="121"/>
      <c r="CMH409" s="119"/>
      <c r="CMI409" s="120"/>
      <c r="CMJ409" s="120"/>
      <c r="CMK409" s="120"/>
      <c r="CML409" s="120"/>
      <c r="CMM409" s="120"/>
      <c r="CMN409" s="121"/>
      <c r="CMO409" s="119"/>
      <c r="CMP409" s="120"/>
      <c r="CMQ409" s="120"/>
      <c r="CMR409" s="120"/>
      <c r="CMS409" s="120"/>
      <c r="CMT409" s="120"/>
      <c r="CMU409" s="121"/>
      <c r="CMV409" s="119"/>
      <c r="CMW409" s="120"/>
      <c r="CMX409" s="120"/>
      <c r="CMY409" s="120"/>
      <c r="CMZ409" s="120"/>
      <c r="CNA409" s="120"/>
      <c r="CNB409" s="121"/>
      <c r="CNC409" s="119"/>
      <c r="CND409" s="120"/>
      <c r="CNE409" s="120"/>
      <c r="CNF409" s="120"/>
      <c r="CNG409" s="120"/>
      <c r="CNH409" s="120"/>
      <c r="CNI409" s="121"/>
      <c r="CNJ409" s="119"/>
      <c r="CNK409" s="120"/>
      <c r="CNL409" s="120"/>
      <c r="CNM409" s="120"/>
      <c r="CNN409" s="120"/>
      <c r="CNO409" s="120"/>
      <c r="CNP409" s="121"/>
      <c r="CNQ409" s="119"/>
      <c r="CNR409" s="120"/>
      <c r="CNS409" s="120"/>
      <c r="CNT409" s="120"/>
      <c r="CNU409" s="120"/>
      <c r="CNV409" s="120"/>
      <c r="CNW409" s="121"/>
      <c r="CNX409" s="119"/>
      <c r="CNY409" s="120"/>
      <c r="CNZ409" s="120"/>
      <c r="COA409" s="120"/>
      <c r="COB409" s="120"/>
      <c r="COC409" s="120"/>
      <c r="COD409" s="121"/>
      <c r="COE409" s="119"/>
      <c r="COF409" s="120"/>
      <c r="COG409" s="120"/>
      <c r="COH409" s="120"/>
      <c r="COI409" s="120"/>
      <c r="COJ409" s="120"/>
      <c r="COK409" s="121"/>
      <c r="COL409" s="119"/>
      <c r="COM409" s="120"/>
      <c r="CON409" s="120"/>
      <c r="COO409" s="120"/>
      <c r="COP409" s="120"/>
      <c r="COQ409" s="120"/>
      <c r="COR409" s="121"/>
      <c r="COS409" s="119"/>
      <c r="COT409" s="120"/>
      <c r="COU409" s="120"/>
      <c r="COV409" s="120"/>
      <c r="COW409" s="120"/>
      <c r="COX409" s="120"/>
      <c r="COY409" s="121"/>
      <c r="COZ409" s="119"/>
      <c r="CPA409" s="120"/>
      <c r="CPB409" s="120"/>
      <c r="CPC409" s="120"/>
      <c r="CPD409" s="120"/>
      <c r="CPE409" s="120"/>
      <c r="CPF409" s="121"/>
      <c r="CPG409" s="119"/>
      <c r="CPH409" s="120"/>
      <c r="CPI409" s="120"/>
      <c r="CPJ409" s="120"/>
      <c r="CPK409" s="120"/>
      <c r="CPL409" s="120"/>
      <c r="CPM409" s="121"/>
      <c r="CPN409" s="119"/>
      <c r="CPO409" s="120"/>
      <c r="CPP409" s="120"/>
      <c r="CPQ409" s="120"/>
      <c r="CPR409" s="120"/>
      <c r="CPS409" s="120"/>
      <c r="CPT409" s="121"/>
      <c r="CPU409" s="119"/>
      <c r="CPV409" s="120"/>
      <c r="CPW409" s="120"/>
      <c r="CPX409" s="120"/>
      <c r="CPY409" s="120"/>
      <c r="CPZ409" s="120"/>
      <c r="CQA409" s="121"/>
      <c r="CQB409" s="119"/>
      <c r="CQC409" s="120"/>
      <c r="CQD409" s="120"/>
      <c r="CQE409" s="120"/>
      <c r="CQF409" s="120"/>
      <c r="CQG409" s="120"/>
      <c r="CQH409" s="121"/>
      <c r="CQI409" s="119"/>
      <c r="CQJ409" s="120"/>
      <c r="CQK409" s="120"/>
      <c r="CQL409" s="120"/>
      <c r="CQM409" s="120"/>
      <c r="CQN409" s="120"/>
      <c r="CQO409" s="121"/>
      <c r="CQP409" s="119"/>
      <c r="CQQ409" s="120"/>
      <c r="CQR409" s="120"/>
      <c r="CQS409" s="120"/>
      <c r="CQT409" s="120"/>
      <c r="CQU409" s="120"/>
      <c r="CQV409" s="121"/>
      <c r="CQW409" s="119"/>
      <c r="CQX409" s="120"/>
      <c r="CQY409" s="120"/>
      <c r="CQZ409" s="120"/>
      <c r="CRA409" s="120"/>
      <c r="CRB409" s="120"/>
      <c r="CRC409" s="121"/>
      <c r="CRD409" s="119"/>
      <c r="CRE409" s="120"/>
      <c r="CRF409" s="120"/>
      <c r="CRG409" s="120"/>
      <c r="CRH409" s="120"/>
      <c r="CRI409" s="120"/>
      <c r="CRJ409" s="121"/>
      <c r="CRK409" s="119"/>
      <c r="CRL409" s="120"/>
      <c r="CRM409" s="120"/>
      <c r="CRN409" s="120"/>
      <c r="CRO409" s="120"/>
      <c r="CRP409" s="120"/>
      <c r="CRQ409" s="121"/>
      <c r="CRR409" s="119"/>
      <c r="CRS409" s="120"/>
      <c r="CRT409" s="120"/>
      <c r="CRU409" s="120"/>
      <c r="CRV409" s="120"/>
      <c r="CRW409" s="120"/>
      <c r="CRX409" s="121"/>
      <c r="CRY409" s="119"/>
      <c r="CRZ409" s="120"/>
      <c r="CSA409" s="120"/>
      <c r="CSB409" s="120"/>
      <c r="CSC409" s="120"/>
      <c r="CSD409" s="120"/>
      <c r="CSE409" s="121"/>
      <c r="CSF409" s="119"/>
      <c r="CSG409" s="120"/>
      <c r="CSH409" s="120"/>
      <c r="CSI409" s="120"/>
      <c r="CSJ409" s="120"/>
      <c r="CSK409" s="120"/>
      <c r="CSL409" s="121"/>
      <c r="CSM409" s="119"/>
      <c r="CSN409" s="120"/>
      <c r="CSO409" s="120"/>
      <c r="CSP409" s="120"/>
      <c r="CSQ409" s="120"/>
      <c r="CSR409" s="120"/>
      <c r="CSS409" s="121"/>
      <c r="CST409" s="119"/>
      <c r="CSU409" s="120"/>
      <c r="CSV409" s="120"/>
      <c r="CSW409" s="120"/>
      <c r="CSX409" s="120"/>
      <c r="CSY409" s="120"/>
      <c r="CSZ409" s="121"/>
      <c r="CTA409" s="119"/>
      <c r="CTB409" s="120"/>
      <c r="CTC409" s="120"/>
      <c r="CTD409" s="120"/>
      <c r="CTE409" s="120"/>
      <c r="CTF409" s="120"/>
      <c r="CTG409" s="121"/>
      <c r="CTH409" s="119"/>
      <c r="CTI409" s="120"/>
      <c r="CTJ409" s="120"/>
      <c r="CTK409" s="120"/>
      <c r="CTL409" s="120"/>
      <c r="CTM409" s="120"/>
      <c r="CTN409" s="121"/>
      <c r="CTO409" s="119"/>
      <c r="CTP409" s="120"/>
      <c r="CTQ409" s="120"/>
      <c r="CTR409" s="120"/>
      <c r="CTS409" s="120"/>
      <c r="CTT409" s="120"/>
      <c r="CTU409" s="121"/>
      <c r="CTV409" s="119"/>
      <c r="CTW409" s="120"/>
      <c r="CTX409" s="120"/>
      <c r="CTY409" s="120"/>
      <c r="CTZ409" s="120"/>
      <c r="CUA409" s="120"/>
      <c r="CUB409" s="121"/>
      <c r="CUC409" s="119"/>
      <c r="CUD409" s="120"/>
      <c r="CUE409" s="120"/>
      <c r="CUF409" s="120"/>
      <c r="CUG409" s="120"/>
      <c r="CUH409" s="120"/>
      <c r="CUI409" s="121"/>
      <c r="CUJ409" s="119"/>
      <c r="CUK409" s="120"/>
      <c r="CUL409" s="120"/>
      <c r="CUM409" s="120"/>
      <c r="CUN409" s="120"/>
      <c r="CUO409" s="120"/>
      <c r="CUP409" s="121"/>
      <c r="CUQ409" s="119"/>
      <c r="CUR409" s="120"/>
      <c r="CUS409" s="120"/>
      <c r="CUT409" s="120"/>
      <c r="CUU409" s="120"/>
      <c r="CUV409" s="120"/>
      <c r="CUW409" s="121"/>
      <c r="CUX409" s="119"/>
      <c r="CUY409" s="120"/>
      <c r="CUZ409" s="120"/>
      <c r="CVA409" s="120"/>
      <c r="CVB409" s="120"/>
      <c r="CVC409" s="120"/>
      <c r="CVD409" s="121"/>
      <c r="CVE409" s="119"/>
      <c r="CVF409" s="120"/>
      <c r="CVG409" s="120"/>
      <c r="CVH409" s="120"/>
      <c r="CVI409" s="120"/>
      <c r="CVJ409" s="120"/>
      <c r="CVK409" s="121"/>
      <c r="CVL409" s="119"/>
      <c r="CVM409" s="120"/>
      <c r="CVN409" s="120"/>
      <c r="CVO409" s="120"/>
      <c r="CVP409" s="120"/>
      <c r="CVQ409" s="120"/>
      <c r="CVR409" s="121"/>
      <c r="CVS409" s="119"/>
      <c r="CVT409" s="120"/>
      <c r="CVU409" s="120"/>
      <c r="CVV409" s="120"/>
      <c r="CVW409" s="120"/>
      <c r="CVX409" s="120"/>
      <c r="CVY409" s="121"/>
      <c r="CVZ409" s="119"/>
      <c r="CWA409" s="120"/>
      <c r="CWB409" s="120"/>
      <c r="CWC409" s="120"/>
      <c r="CWD409" s="120"/>
      <c r="CWE409" s="120"/>
      <c r="CWF409" s="121"/>
      <c r="CWG409" s="119"/>
      <c r="CWH409" s="120"/>
      <c r="CWI409" s="120"/>
      <c r="CWJ409" s="120"/>
      <c r="CWK409" s="120"/>
      <c r="CWL409" s="120"/>
      <c r="CWM409" s="121"/>
      <c r="CWN409" s="119"/>
      <c r="CWO409" s="120"/>
      <c r="CWP409" s="120"/>
      <c r="CWQ409" s="120"/>
      <c r="CWR409" s="120"/>
      <c r="CWS409" s="120"/>
      <c r="CWT409" s="121"/>
      <c r="CWU409" s="119"/>
      <c r="CWV409" s="120"/>
      <c r="CWW409" s="120"/>
      <c r="CWX409" s="120"/>
      <c r="CWY409" s="120"/>
      <c r="CWZ409" s="120"/>
      <c r="CXA409" s="121"/>
      <c r="CXB409" s="119"/>
      <c r="CXC409" s="120"/>
      <c r="CXD409" s="120"/>
      <c r="CXE409" s="120"/>
      <c r="CXF409" s="120"/>
      <c r="CXG409" s="120"/>
      <c r="CXH409" s="121"/>
      <c r="CXI409" s="119"/>
      <c r="CXJ409" s="120"/>
      <c r="CXK409" s="120"/>
      <c r="CXL409" s="120"/>
      <c r="CXM409" s="120"/>
      <c r="CXN409" s="120"/>
      <c r="CXO409" s="121"/>
      <c r="CXP409" s="119"/>
      <c r="CXQ409" s="120"/>
      <c r="CXR409" s="120"/>
      <c r="CXS409" s="120"/>
      <c r="CXT409" s="120"/>
      <c r="CXU409" s="120"/>
      <c r="CXV409" s="121"/>
      <c r="CXW409" s="119"/>
      <c r="CXX409" s="120"/>
      <c r="CXY409" s="120"/>
      <c r="CXZ409" s="120"/>
      <c r="CYA409" s="120"/>
      <c r="CYB409" s="120"/>
      <c r="CYC409" s="121"/>
      <c r="CYD409" s="119"/>
      <c r="CYE409" s="120"/>
      <c r="CYF409" s="120"/>
      <c r="CYG409" s="120"/>
      <c r="CYH409" s="120"/>
      <c r="CYI409" s="120"/>
      <c r="CYJ409" s="121"/>
      <c r="CYK409" s="119"/>
      <c r="CYL409" s="120"/>
      <c r="CYM409" s="120"/>
      <c r="CYN409" s="120"/>
      <c r="CYO409" s="120"/>
      <c r="CYP409" s="120"/>
      <c r="CYQ409" s="121"/>
      <c r="CYR409" s="119"/>
      <c r="CYS409" s="120"/>
      <c r="CYT409" s="120"/>
      <c r="CYU409" s="120"/>
      <c r="CYV409" s="120"/>
      <c r="CYW409" s="120"/>
      <c r="CYX409" s="121"/>
      <c r="CYY409" s="119"/>
      <c r="CYZ409" s="120"/>
      <c r="CZA409" s="120"/>
      <c r="CZB409" s="120"/>
      <c r="CZC409" s="120"/>
      <c r="CZD409" s="120"/>
      <c r="CZE409" s="121"/>
      <c r="CZF409" s="119"/>
      <c r="CZG409" s="120"/>
      <c r="CZH409" s="120"/>
      <c r="CZI409" s="120"/>
      <c r="CZJ409" s="120"/>
      <c r="CZK409" s="120"/>
      <c r="CZL409" s="121"/>
      <c r="CZM409" s="119"/>
      <c r="CZN409" s="120"/>
      <c r="CZO409" s="120"/>
      <c r="CZP409" s="120"/>
      <c r="CZQ409" s="120"/>
      <c r="CZR409" s="120"/>
      <c r="CZS409" s="121"/>
      <c r="CZT409" s="119"/>
      <c r="CZU409" s="120"/>
      <c r="CZV409" s="120"/>
      <c r="CZW409" s="120"/>
      <c r="CZX409" s="120"/>
      <c r="CZY409" s="120"/>
      <c r="CZZ409" s="121"/>
      <c r="DAA409" s="119"/>
      <c r="DAB409" s="120"/>
      <c r="DAC409" s="120"/>
      <c r="DAD409" s="120"/>
      <c r="DAE409" s="120"/>
      <c r="DAF409" s="120"/>
      <c r="DAG409" s="121"/>
      <c r="DAH409" s="119"/>
      <c r="DAI409" s="120"/>
      <c r="DAJ409" s="120"/>
      <c r="DAK409" s="120"/>
      <c r="DAL409" s="120"/>
      <c r="DAM409" s="120"/>
      <c r="DAN409" s="121"/>
      <c r="DAO409" s="119"/>
      <c r="DAP409" s="120"/>
      <c r="DAQ409" s="120"/>
      <c r="DAR409" s="120"/>
      <c r="DAS409" s="120"/>
      <c r="DAT409" s="120"/>
      <c r="DAU409" s="121"/>
      <c r="DAV409" s="119"/>
      <c r="DAW409" s="120"/>
      <c r="DAX409" s="120"/>
      <c r="DAY409" s="120"/>
      <c r="DAZ409" s="120"/>
      <c r="DBA409" s="120"/>
      <c r="DBB409" s="121"/>
      <c r="DBC409" s="119"/>
      <c r="DBD409" s="120"/>
      <c r="DBE409" s="120"/>
      <c r="DBF409" s="120"/>
      <c r="DBG409" s="120"/>
      <c r="DBH409" s="120"/>
      <c r="DBI409" s="121"/>
      <c r="DBJ409" s="119"/>
      <c r="DBK409" s="120"/>
      <c r="DBL409" s="120"/>
      <c r="DBM409" s="120"/>
      <c r="DBN409" s="120"/>
      <c r="DBO409" s="120"/>
      <c r="DBP409" s="121"/>
      <c r="DBQ409" s="119"/>
      <c r="DBR409" s="120"/>
      <c r="DBS409" s="120"/>
      <c r="DBT409" s="120"/>
      <c r="DBU409" s="120"/>
      <c r="DBV409" s="120"/>
      <c r="DBW409" s="121"/>
      <c r="DBX409" s="119"/>
      <c r="DBY409" s="120"/>
      <c r="DBZ409" s="120"/>
      <c r="DCA409" s="120"/>
      <c r="DCB409" s="120"/>
      <c r="DCC409" s="120"/>
      <c r="DCD409" s="121"/>
      <c r="DCE409" s="119"/>
      <c r="DCF409" s="120"/>
      <c r="DCG409" s="120"/>
      <c r="DCH409" s="120"/>
      <c r="DCI409" s="120"/>
      <c r="DCJ409" s="120"/>
      <c r="DCK409" s="121"/>
      <c r="DCL409" s="119"/>
      <c r="DCM409" s="120"/>
      <c r="DCN409" s="120"/>
      <c r="DCO409" s="120"/>
      <c r="DCP409" s="120"/>
      <c r="DCQ409" s="120"/>
      <c r="DCR409" s="121"/>
      <c r="DCS409" s="119"/>
      <c r="DCT409" s="120"/>
      <c r="DCU409" s="120"/>
      <c r="DCV409" s="120"/>
      <c r="DCW409" s="120"/>
      <c r="DCX409" s="120"/>
      <c r="DCY409" s="121"/>
      <c r="DCZ409" s="119"/>
      <c r="DDA409" s="120"/>
      <c r="DDB409" s="120"/>
      <c r="DDC409" s="120"/>
      <c r="DDD409" s="120"/>
      <c r="DDE409" s="120"/>
      <c r="DDF409" s="121"/>
      <c r="DDG409" s="119"/>
      <c r="DDH409" s="120"/>
      <c r="DDI409" s="120"/>
      <c r="DDJ409" s="120"/>
      <c r="DDK409" s="120"/>
      <c r="DDL409" s="120"/>
      <c r="DDM409" s="121"/>
      <c r="DDN409" s="119"/>
      <c r="DDO409" s="120"/>
      <c r="DDP409" s="120"/>
      <c r="DDQ409" s="120"/>
      <c r="DDR409" s="120"/>
      <c r="DDS409" s="120"/>
      <c r="DDT409" s="121"/>
      <c r="DDU409" s="119"/>
      <c r="DDV409" s="120"/>
      <c r="DDW409" s="120"/>
      <c r="DDX409" s="120"/>
      <c r="DDY409" s="120"/>
      <c r="DDZ409" s="120"/>
      <c r="DEA409" s="121"/>
      <c r="DEB409" s="119"/>
      <c r="DEC409" s="120"/>
      <c r="DED409" s="120"/>
      <c r="DEE409" s="120"/>
      <c r="DEF409" s="120"/>
      <c r="DEG409" s="120"/>
      <c r="DEH409" s="121"/>
      <c r="DEI409" s="119"/>
      <c r="DEJ409" s="120"/>
      <c r="DEK409" s="120"/>
      <c r="DEL409" s="120"/>
      <c r="DEM409" s="120"/>
      <c r="DEN409" s="120"/>
      <c r="DEO409" s="121"/>
      <c r="DEP409" s="119"/>
      <c r="DEQ409" s="120"/>
      <c r="DER409" s="120"/>
      <c r="DES409" s="120"/>
      <c r="DET409" s="120"/>
      <c r="DEU409" s="120"/>
      <c r="DEV409" s="121"/>
      <c r="DEW409" s="119"/>
      <c r="DEX409" s="120"/>
      <c r="DEY409" s="120"/>
      <c r="DEZ409" s="120"/>
      <c r="DFA409" s="120"/>
      <c r="DFB409" s="120"/>
      <c r="DFC409" s="121"/>
      <c r="DFD409" s="119"/>
      <c r="DFE409" s="120"/>
      <c r="DFF409" s="120"/>
      <c r="DFG409" s="120"/>
      <c r="DFH409" s="120"/>
      <c r="DFI409" s="120"/>
      <c r="DFJ409" s="121"/>
      <c r="DFK409" s="119"/>
      <c r="DFL409" s="120"/>
      <c r="DFM409" s="120"/>
      <c r="DFN409" s="120"/>
      <c r="DFO409" s="120"/>
      <c r="DFP409" s="120"/>
      <c r="DFQ409" s="121"/>
      <c r="DFR409" s="119"/>
      <c r="DFS409" s="120"/>
      <c r="DFT409" s="120"/>
      <c r="DFU409" s="120"/>
      <c r="DFV409" s="120"/>
      <c r="DFW409" s="120"/>
      <c r="DFX409" s="121"/>
      <c r="DFY409" s="119"/>
      <c r="DFZ409" s="120"/>
      <c r="DGA409" s="120"/>
      <c r="DGB409" s="120"/>
      <c r="DGC409" s="120"/>
      <c r="DGD409" s="120"/>
      <c r="DGE409" s="121"/>
      <c r="DGF409" s="119"/>
      <c r="DGG409" s="120"/>
      <c r="DGH409" s="120"/>
      <c r="DGI409" s="120"/>
      <c r="DGJ409" s="120"/>
      <c r="DGK409" s="120"/>
      <c r="DGL409" s="121"/>
      <c r="DGM409" s="119"/>
      <c r="DGN409" s="120"/>
      <c r="DGO409" s="120"/>
      <c r="DGP409" s="120"/>
      <c r="DGQ409" s="120"/>
      <c r="DGR409" s="120"/>
      <c r="DGS409" s="121"/>
      <c r="DGT409" s="119"/>
      <c r="DGU409" s="120"/>
      <c r="DGV409" s="120"/>
      <c r="DGW409" s="120"/>
      <c r="DGX409" s="120"/>
      <c r="DGY409" s="120"/>
      <c r="DGZ409" s="121"/>
      <c r="DHA409" s="119"/>
      <c r="DHB409" s="120"/>
      <c r="DHC409" s="120"/>
      <c r="DHD409" s="120"/>
      <c r="DHE409" s="120"/>
      <c r="DHF409" s="120"/>
      <c r="DHG409" s="121"/>
      <c r="DHH409" s="119"/>
      <c r="DHI409" s="120"/>
      <c r="DHJ409" s="120"/>
      <c r="DHK409" s="120"/>
      <c r="DHL409" s="120"/>
      <c r="DHM409" s="120"/>
      <c r="DHN409" s="121"/>
      <c r="DHO409" s="119"/>
      <c r="DHP409" s="120"/>
      <c r="DHQ409" s="120"/>
      <c r="DHR409" s="120"/>
      <c r="DHS409" s="120"/>
      <c r="DHT409" s="120"/>
      <c r="DHU409" s="121"/>
      <c r="DHV409" s="119"/>
      <c r="DHW409" s="120"/>
      <c r="DHX409" s="120"/>
      <c r="DHY409" s="120"/>
      <c r="DHZ409" s="120"/>
      <c r="DIA409" s="120"/>
      <c r="DIB409" s="121"/>
      <c r="DIC409" s="119"/>
      <c r="DID409" s="120"/>
      <c r="DIE409" s="120"/>
      <c r="DIF409" s="120"/>
      <c r="DIG409" s="120"/>
      <c r="DIH409" s="120"/>
      <c r="DII409" s="121"/>
      <c r="DIJ409" s="119"/>
      <c r="DIK409" s="120"/>
      <c r="DIL409" s="120"/>
      <c r="DIM409" s="120"/>
      <c r="DIN409" s="120"/>
      <c r="DIO409" s="120"/>
      <c r="DIP409" s="121"/>
      <c r="DIQ409" s="119"/>
      <c r="DIR409" s="120"/>
      <c r="DIS409" s="120"/>
      <c r="DIT409" s="120"/>
      <c r="DIU409" s="120"/>
      <c r="DIV409" s="120"/>
      <c r="DIW409" s="121"/>
      <c r="DIX409" s="119"/>
      <c r="DIY409" s="120"/>
      <c r="DIZ409" s="120"/>
      <c r="DJA409" s="120"/>
      <c r="DJB409" s="120"/>
      <c r="DJC409" s="120"/>
      <c r="DJD409" s="121"/>
      <c r="DJE409" s="119"/>
      <c r="DJF409" s="120"/>
      <c r="DJG409" s="120"/>
      <c r="DJH409" s="120"/>
      <c r="DJI409" s="120"/>
      <c r="DJJ409" s="120"/>
      <c r="DJK409" s="121"/>
      <c r="DJL409" s="119"/>
      <c r="DJM409" s="120"/>
      <c r="DJN409" s="120"/>
      <c r="DJO409" s="120"/>
      <c r="DJP409" s="120"/>
      <c r="DJQ409" s="120"/>
      <c r="DJR409" s="121"/>
      <c r="DJS409" s="119"/>
      <c r="DJT409" s="120"/>
      <c r="DJU409" s="120"/>
      <c r="DJV409" s="120"/>
      <c r="DJW409" s="120"/>
      <c r="DJX409" s="120"/>
      <c r="DJY409" s="121"/>
      <c r="DJZ409" s="119"/>
      <c r="DKA409" s="120"/>
      <c r="DKB409" s="120"/>
      <c r="DKC409" s="120"/>
      <c r="DKD409" s="120"/>
      <c r="DKE409" s="120"/>
      <c r="DKF409" s="121"/>
      <c r="DKG409" s="119"/>
      <c r="DKH409" s="120"/>
      <c r="DKI409" s="120"/>
      <c r="DKJ409" s="120"/>
      <c r="DKK409" s="120"/>
      <c r="DKL409" s="120"/>
      <c r="DKM409" s="121"/>
      <c r="DKN409" s="119"/>
      <c r="DKO409" s="120"/>
      <c r="DKP409" s="120"/>
      <c r="DKQ409" s="120"/>
      <c r="DKR409" s="120"/>
      <c r="DKS409" s="120"/>
      <c r="DKT409" s="121"/>
      <c r="DKU409" s="119"/>
      <c r="DKV409" s="120"/>
      <c r="DKW409" s="120"/>
      <c r="DKX409" s="120"/>
      <c r="DKY409" s="120"/>
      <c r="DKZ409" s="120"/>
      <c r="DLA409" s="121"/>
      <c r="DLB409" s="119"/>
      <c r="DLC409" s="120"/>
      <c r="DLD409" s="120"/>
      <c r="DLE409" s="120"/>
      <c r="DLF409" s="120"/>
      <c r="DLG409" s="120"/>
      <c r="DLH409" s="121"/>
      <c r="DLI409" s="119"/>
      <c r="DLJ409" s="120"/>
      <c r="DLK409" s="120"/>
      <c r="DLL409" s="120"/>
      <c r="DLM409" s="120"/>
      <c r="DLN409" s="120"/>
      <c r="DLO409" s="121"/>
      <c r="DLP409" s="119"/>
      <c r="DLQ409" s="120"/>
      <c r="DLR409" s="120"/>
      <c r="DLS409" s="120"/>
      <c r="DLT409" s="120"/>
      <c r="DLU409" s="120"/>
      <c r="DLV409" s="121"/>
      <c r="DLW409" s="119"/>
      <c r="DLX409" s="120"/>
      <c r="DLY409" s="120"/>
      <c r="DLZ409" s="120"/>
      <c r="DMA409" s="120"/>
      <c r="DMB409" s="120"/>
      <c r="DMC409" s="121"/>
      <c r="DMD409" s="119"/>
      <c r="DME409" s="120"/>
      <c r="DMF409" s="120"/>
      <c r="DMG409" s="120"/>
      <c r="DMH409" s="120"/>
      <c r="DMI409" s="120"/>
      <c r="DMJ409" s="121"/>
      <c r="DMK409" s="119"/>
      <c r="DML409" s="120"/>
      <c r="DMM409" s="120"/>
      <c r="DMN409" s="120"/>
      <c r="DMO409" s="120"/>
      <c r="DMP409" s="120"/>
      <c r="DMQ409" s="121"/>
      <c r="DMR409" s="119"/>
      <c r="DMS409" s="120"/>
      <c r="DMT409" s="120"/>
      <c r="DMU409" s="120"/>
      <c r="DMV409" s="120"/>
      <c r="DMW409" s="120"/>
      <c r="DMX409" s="121"/>
      <c r="DMY409" s="119"/>
      <c r="DMZ409" s="120"/>
      <c r="DNA409" s="120"/>
      <c r="DNB409" s="120"/>
      <c r="DNC409" s="120"/>
      <c r="DND409" s="120"/>
      <c r="DNE409" s="121"/>
      <c r="DNF409" s="119"/>
      <c r="DNG409" s="120"/>
      <c r="DNH409" s="120"/>
      <c r="DNI409" s="120"/>
      <c r="DNJ409" s="120"/>
      <c r="DNK409" s="120"/>
      <c r="DNL409" s="121"/>
      <c r="DNM409" s="119"/>
      <c r="DNN409" s="120"/>
      <c r="DNO409" s="120"/>
      <c r="DNP409" s="120"/>
      <c r="DNQ409" s="120"/>
      <c r="DNR409" s="120"/>
      <c r="DNS409" s="121"/>
      <c r="DNT409" s="119"/>
      <c r="DNU409" s="120"/>
      <c r="DNV409" s="120"/>
      <c r="DNW409" s="120"/>
      <c r="DNX409" s="120"/>
      <c r="DNY409" s="120"/>
      <c r="DNZ409" s="121"/>
      <c r="DOA409" s="119"/>
      <c r="DOB409" s="120"/>
      <c r="DOC409" s="120"/>
      <c r="DOD409" s="120"/>
      <c r="DOE409" s="120"/>
      <c r="DOF409" s="120"/>
      <c r="DOG409" s="121"/>
      <c r="DOH409" s="119"/>
      <c r="DOI409" s="120"/>
      <c r="DOJ409" s="120"/>
      <c r="DOK409" s="120"/>
      <c r="DOL409" s="120"/>
      <c r="DOM409" s="120"/>
      <c r="DON409" s="121"/>
      <c r="DOO409" s="119"/>
      <c r="DOP409" s="120"/>
      <c r="DOQ409" s="120"/>
      <c r="DOR409" s="120"/>
      <c r="DOS409" s="120"/>
      <c r="DOT409" s="120"/>
      <c r="DOU409" s="121"/>
      <c r="DOV409" s="119"/>
      <c r="DOW409" s="120"/>
      <c r="DOX409" s="120"/>
      <c r="DOY409" s="120"/>
      <c r="DOZ409" s="120"/>
      <c r="DPA409" s="120"/>
      <c r="DPB409" s="121"/>
      <c r="DPC409" s="119"/>
      <c r="DPD409" s="120"/>
      <c r="DPE409" s="120"/>
      <c r="DPF409" s="120"/>
      <c r="DPG409" s="120"/>
      <c r="DPH409" s="120"/>
      <c r="DPI409" s="121"/>
      <c r="DPJ409" s="119"/>
      <c r="DPK409" s="120"/>
      <c r="DPL409" s="120"/>
      <c r="DPM409" s="120"/>
      <c r="DPN409" s="120"/>
      <c r="DPO409" s="120"/>
      <c r="DPP409" s="121"/>
      <c r="DPQ409" s="119"/>
      <c r="DPR409" s="120"/>
      <c r="DPS409" s="120"/>
      <c r="DPT409" s="120"/>
      <c r="DPU409" s="120"/>
      <c r="DPV409" s="120"/>
      <c r="DPW409" s="121"/>
      <c r="DPX409" s="119"/>
      <c r="DPY409" s="120"/>
      <c r="DPZ409" s="120"/>
      <c r="DQA409" s="120"/>
      <c r="DQB409" s="120"/>
      <c r="DQC409" s="120"/>
      <c r="DQD409" s="121"/>
      <c r="DQE409" s="119"/>
      <c r="DQF409" s="120"/>
      <c r="DQG409" s="120"/>
      <c r="DQH409" s="120"/>
      <c r="DQI409" s="120"/>
      <c r="DQJ409" s="120"/>
      <c r="DQK409" s="121"/>
      <c r="DQL409" s="119"/>
      <c r="DQM409" s="120"/>
      <c r="DQN409" s="120"/>
      <c r="DQO409" s="120"/>
      <c r="DQP409" s="120"/>
      <c r="DQQ409" s="120"/>
      <c r="DQR409" s="121"/>
      <c r="DQS409" s="119"/>
      <c r="DQT409" s="120"/>
      <c r="DQU409" s="120"/>
      <c r="DQV409" s="120"/>
      <c r="DQW409" s="120"/>
      <c r="DQX409" s="120"/>
      <c r="DQY409" s="121"/>
      <c r="DQZ409" s="119"/>
      <c r="DRA409" s="120"/>
      <c r="DRB409" s="120"/>
      <c r="DRC409" s="120"/>
      <c r="DRD409" s="120"/>
      <c r="DRE409" s="120"/>
      <c r="DRF409" s="121"/>
      <c r="DRG409" s="119"/>
      <c r="DRH409" s="120"/>
      <c r="DRI409" s="120"/>
      <c r="DRJ409" s="120"/>
      <c r="DRK409" s="120"/>
      <c r="DRL409" s="120"/>
      <c r="DRM409" s="121"/>
      <c r="DRN409" s="119"/>
      <c r="DRO409" s="120"/>
      <c r="DRP409" s="120"/>
      <c r="DRQ409" s="120"/>
      <c r="DRR409" s="120"/>
      <c r="DRS409" s="120"/>
      <c r="DRT409" s="121"/>
      <c r="DRU409" s="119"/>
      <c r="DRV409" s="120"/>
      <c r="DRW409" s="120"/>
      <c r="DRX409" s="120"/>
      <c r="DRY409" s="120"/>
      <c r="DRZ409" s="120"/>
      <c r="DSA409" s="121"/>
      <c r="DSB409" s="119"/>
      <c r="DSC409" s="120"/>
      <c r="DSD409" s="120"/>
      <c r="DSE409" s="120"/>
      <c r="DSF409" s="120"/>
      <c r="DSG409" s="120"/>
      <c r="DSH409" s="121"/>
      <c r="DSI409" s="119"/>
      <c r="DSJ409" s="120"/>
      <c r="DSK409" s="120"/>
      <c r="DSL409" s="120"/>
      <c r="DSM409" s="120"/>
      <c r="DSN409" s="120"/>
      <c r="DSO409" s="121"/>
      <c r="DSP409" s="119"/>
      <c r="DSQ409" s="120"/>
      <c r="DSR409" s="120"/>
      <c r="DSS409" s="120"/>
      <c r="DST409" s="120"/>
      <c r="DSU409" s="120"/>
      <c r="DSV409" s="121"/>
      <c r="DSW409" s="119"/>
      <c r="DSX409" s="120"/>
      <c r="DSY409" s="120"/>
      <c r="DSZ409" s="120"/>
      <c r="DTA409" s="120"/>
      <c r="DTB409" s="120"/>
      <c r="DTC409" s="121"/>
      <c r="DTD409" s="119"/>
      <c r="DTE409" s="120"/>
      <c r="DTF409" s="120"/>
      <c r="DTG409" s="120"/>
      <c r="DTH409" s="120"/>
      <c r="DTI409" s="120"/>
      <c r="DTJ409" s="121"/>
      <c r="DTK409" s="119"/>
      <c r="DTL409" s="120"/>
      <c r="DTM409" s="120"/>
      <c r="DTN409" s="120"/>
      <c r="DTO409" s="120"/>
      <c r="DTP409" s="120"/>
      <c r="DTQ409" s="121"/>
      <c r="DTR409" s="119"/>
      <c r="DTS409" s="120"/>
      <c r="DTT409" s="120"/>
      <c r="DTU409" s="120"/>
      <c r="DTV409" s="120"/>
      <c r="DTW409" s="120"/>
      <c r="DTX409" s="121"/>
      <c r="DTY409" s="119"/>
      <c r="DTZ409" s="120"/>
      <c r="DUA409" s="120"/>
      <c r="DUB409" s="120"/>
      <c r="DUC409" s="120"/>
      <c r="DUD409" s="120"/>
      <c r="DUE409" s="121"/>
      <c r="DUF409" s="119"/>
      <c r="DUG409" s="120"/>
      <c r="DUH409" s="120"/>
      <c r="DUI409" s="120"/>
      <c r="DUJ409" s="120"/>
      <c r="DUK409" s="120"/>
      <c r="DUL409" s="121"/>
      <c r="DUM409" s="119"/>
      <c r="DUN409" s="120"/>
      <c r="DUO409" s="120"/>
      <c r="DUP409" s="120"/>
      <c r="DUQ409" s="120"/>
      <c r="DUR409" s="120"/>
      <c r="DUS409" s="121"/>
      <c r="DUT409" s="119"/>
      <c r="DUU409" s="120"/>
      <c r="DUV409" s="120"/>
      <c r="DUW409" s="120"/>
      <c r="DUX409" s="120"/>
      <c r="DUY409" s="120"/>
      <c r="DUZ409" s="121"/>
      <c r="DVA409" s="119"/>
      <c r="DVB409" s="120"/>
      <c r="DVC409" s="120"/>
      <c r="DVD409" s="120"/>
      <c r="DVE409" s="120"/>
      <c r="DVF409" s="120"/>
      <c r="DVG409" s="121"/>
      <c r="DVH409" s="119"/>
      <c r="DVI409" s="120"/>
      <c r="DVJ409" s="120"/>
      <c r="DVK409" s="120"/>
      <c r="DVL409" s="120"/>
      <c r="DVM409" s="120"/>
      <c r="DVN409" s="121"/>
      <c r="DVO409" s="119"/>
      <c r="DVP409" s="120"/>
      <c r="DVQ409" s="120"/>
      <c r="DVR409" s="120"/>
      <c r="DVS409" s="120"/>
      <c r="DVT409" s="120"/>
      <c r="DVU409" s="121"/>
      <c r="DVV409" s="119"/>
      <c r="DVW409" s="120"/>
      <c r="DVX409" s="120"/>
      <c r="DVY409" s="120"/>
      <c r="DVZ409" s="120"/>
      <c r="DWA409" s="120"/>
      <c r="DWB409" s="121"/>
      <c r="DWC409" s="119"/>
      <c r="DWD409" s="120"/>
      <c r="DWE409" s="120"/>
      <c r="DWF409" s="120"/>
      <c r="DWG409" s="120"/>
      <c r="DWH409" s="120"/>
      <c r="DWI409" s="121"/>
      <c r="DWJ409" s="119"/>
      <c r="DWK409" s="120"/>
      <c r="DWL409" s="120"/>
      <c r="DWM409" s="120"/>
      <c r="DWN409" s="120"/>
      <c r="DWO409" s="120"/>
      <c r="DWP409" s="121"/>
      <c r="DWQ409" s="119"/>
      <c r="DWR409" s="120"/>
      <c r="DWS409" s="120"/>
      <c r="DWT409" s="120"/>
      <c r="DWU409" s="120"/>
      <c r="DWV409" s="120"/>
      <c r="DWW409" s="121"/>
      <c r="DWX409" s="119"/>
      <c r="DWY409" s="120"/>
      <c r="DWZ409" s="120"/>
      <c r="DXA409" s="120"/>
      <c r="DXB409" s="120"/>
      <c r="DXC409" s="120"/>
      <c r="DXD409" s="121"/>
      <c r="DXE409" s="119"/>
      <c r="DXF409" s="120"/>
      <c r="DXG409" s="120"/>
      <c r="DXH409" s="120"/>
      <c r="DXI409" s="120"/>
      <c r="DXJ409" s="120"/>
      <c r="DXK409" s="121"/>
      <c r="DXL409" s="119"/>
      <c r="DXM409" s="120"/>
      <c r="DXN409" s="120"/>
      <c r="DXO409" s="120"/>
      <c r="DXP409" s="120"/>
      <c r="DXQ409" s="120"/>
      <c r="DXR409" s="121"/>
      <c r="DXS409" s="119"/>
      <c r="DXT409" s="120"/>
      <c r="DXU409" s="120"/>
      <c r="DXV409" s="120"/>
      <c r="DXW409" s="120"/>
      <c r="DXX409" s="120"/>
      <c r="DXY409" s="121"/>
      <c r="DXZ409" s="119"/>
      <c r="DYA409" s="120"/>
      <c r="DYB409" s="120"/>
      <c r="DYC409" s="120"/>
      <c r="DYD409" s="120"/>
      <c r="DYE409" s="120"/>
      <c r="DYF409" s="121"/>
      <c r="DYG409" s="119"/>
      <c r="DYH409" s="120"/>
      <c r="DYI409" s="120"/>
      <c r="DYJ409" s="120"/>
      <c r="DYK409" s="120"/>
      <c r="DYL409" s="120"/>
      <c r="DYM409" s="121"/>
      <c r="DYN409" s="119"/>
      <c r="DYO409" s="120"/>
      <c r="DYP409" s="120"/>
      <c r="DYQ409" s="120"/>
      <c r="DYR409" s="120"/>
      <c r="DYS409" s="120"/>
      <c r="DYT409" s="121"/>
      <c r="DYU409" s="119"/>
      <c r="DYV409" s="120"/>
      <c r="DYW409" s="120"/>
      <c r="DYX409" s="120"/>
      <c r="DYY409" s="120"/>
      <c r="DYZ409" s="120"/>
      <c r="DZA409" s="121"/>
      <c r="DZB409" s="119"/>
      <c r="DZC409" s="120"/>
      <c r="DZD409" s="120"/>
      <c r="DZE409" s="120"/>
      <c r="DZF409" s="120"/>
      <c r="DZG409" s="120"/>
      <c r="DZH409" s="121"/>
      <c r="DZI409" s="119"/>
      <c r="DZJ409" s="120"/>
      <c r="DZK409" s="120"/>
      <c r="DZL409" s="120"/>
      <c r="DZM409" s="120"/>
      <c r="DZN409" s="120"/>
      <c r="DZO409" s="121"/>
      <c r="DZP409" s="119"/>
      <c r="DZQ409" s="120"/>
      <c r="DZR409" s="120"/>
      <c r="DZS409" s="120"/>
      <c r="DZT409" s="120"/>
      <c r="DZU409" s="120"/>
      <c r="DZV409" s="121"/>
      <c r="DZW409" s="119"/>
      <c r="DZX409" s="120"/>
      <c r="DZY409" s="120"/>
      <c r="DZZ409" s="120"/>
      <c r="EAA409" s="120"/>
      <c r="EAB409" s="120"/>
      <c r="EAC409" s="121"/>
      <c r="EAD409" s="119"/>
      <c r="EAE409" s="120"/>
      <c r="EAF409" s="120"/>
      <c r="EAG409" s="120"/>
      <c r="EAH409" s="120"/>
      <c r="EAI409" s="120"/>
      <c r="EAJ409" s="121"/>
      <c r="EAK409" s="119"/>
      <c r="EAL409" s="120"/>
      <c r="EAM409" s="120"/>
      <c r="EAN409" s="120"/>
      <c r="EAO409" s="120"/>
      <c r="EAP409" s="120"/>
      <c r="EAQ409" s="121"/>
      <c r="EAR409" s="119"/>
      <c r="EAS409" s="120"/>
      <c r="EAT409" s="120"/>
      <c r="EAU409" s="120"/>
      <c r="EAV409" s="120"/>
      <c r="EAW409" s="120"/>
      <c r="EAX409" s="121"/>
      <c r="EAY409" s="119"/>
      <c r="EAZ409" s="120"/>
      <c r="EBA409" s="120"/>
      <c r="EBB409" s="120"/>
      <c r="EBC409" s="120"/>
      <c r="EBD409" s="120"/>
      <c r="EBE409" s="121"/>
      <c r="EBF409" s="119"/>
      <c r="EBG409" s="120"/>
      <c r="EBH409" s="120"/>
      <c r="EBI409" s="120"/>
      <c r="EBJ409" s="120"/>
      <c r="EBK409" s="120"/>
      <c r="EBL409" s="121"/>
      <c r="EBM409" s="119"/>
      <c r="EBN409" s="120"/>
      <c r="EBO409" s="120"/>
      <c r="EBP409" s="120"/>
      <c r="EBQ409" s="120"/>
      <c r="EBR409" s="120"/>
      <c r="EBS409" s="121"/>
      <c r="EBT409" s="119"/>
      <c r="EBU409" s="120"/>
      <c r="EBV409" s="120"/>
      <c r="EBW409" s="120"/>
      <c r="EBX409" s="120"/>
      <c r="EBY409" s="120"/>
      <c r="EBZ409" s="121"/>
      <c r="ECA409" s="119"/>
      <c r="ECB409" s="120"/>
      <c r="ECC409" s="120"/>
      <c r="ECD409" s="120"/>
      <c r="ECE409" s="120"/>
      <c r="ECF409" s="120"/>
      <c r="ECG409" s="121"/>
      <c r="ECH409" s="119"/>
      <c r="ECI409" s="120"/>
      <c r="ECJ409" s="120"/>
      <c r="ECK409" s="120"/>
      <c r="ECL409" s="120"/>
      <c r="ECM409" s="120"/>
      <c r="ECN409" s="121"/>
      <c r="ECO409" s="119"/>
      <c r="ECP409" s="120"/>
      <c r="ECQ409" s="120"/>
      <c r="ECR409" s="120"/>
      <c r="ECS409" s="120"/>
      <c r="ECT409" s="120"/>
      <c r="ECU409" s="121"/>
      <c r="ECV409" s="119"/>
      <c r="ECW409" s="120"/>
      <c r="ECX409" s="120"/>
      <c r="ECY409" s="120"/>
      <c r="ECZ409" s="120"/>
      <c r="EDA409" s="120"/>
      <c r="EDB409" s="121"/>
      <c r="EDC409" s="119"/>
      <c r="EDD409" s="120"/>
      <c r="EDE409" s="120"/>
      <c r="EDF409" s="120"/>
      <c r="EDG409" s="120"/>
      <c r="EDH409" s="120"/>
      <c r="EDI409" s="121"/>
      <c r="EDJ409" s="119"/>
      <c r="EDK409" s="120"/>
      <c r="EDL409" s="120"/>
      <c r="EDM409" s="120"/>
      <c r="EDN409" s="120"/>
      <c r="EDO409" s="120"/>
      <c r="EDP409" s="121"/>
      <c r="EDQ409" s="119"/>
      <c r="EDR409" s="120"/>
      <c r="EDS409" s="120"/>
      <c r="EDT409" s="120"/>
      <c r="EDU409" s="120"/>
      <c r="EDV409" s="120"/>
      <c r="EDW409" s="121"/>
      <c r="EDX409" s="119"/>
      <c r="EDY409" s="120"/>
      <c r="EDZ409" s="120"/>
      <c r="EEA409" s="120"/>
      <c r="EEB409" s="120"/>
      <c r="EEC409" s="120"/>
      <c r="EED409" s="121"/>
      <c r="EEE409" s="119"/>
      <c r="EEF409" s="120"/>
      <c r="EEG409" s="120"/>
      <c r="EEH409" s="120"/>
      <c r="EEI409" s="120"/>
      <c r="EEJ409" s="120"/>
      <c r="EEK409" s="121"/>
      <c r="EEL409" s="119"/>
      <c r="EEM409" s="120"/>
      <c r="EEN409" s="120"/>
      <c r="EEO409" s="120"/>
      <c r="EEP409" s="120"/>
      <c r="EEQ409" s="120"/>
      <c r="EER409" s="121"/>
      <c r="EES409" s="119"/>
      <c r="EET409" s="120"/>
      <c r="EEU409" s="120"/>
      <c r="EEV409" s="120"/>
      <c r="EEW409" s="120"/>
      <c r="EEX409" s="120"/>
      <c r="EEY409" s="121"/>
      <c r="EEZ409" s="119"/>
      <c r="EFA409" s="120"/>
      <c r="EFB409" s="120"/>
      <c r="EFC409" s="120"/>
      <c r="EFD409" s="120"/>
      <c r="EFE409" s="120"/>
      <c r="EFF409" s="121"/>
      <c r="EFG409" s="119"/>
      <c r="EFH409" s="120"/>
      <c r="EFI409" s="120"/>
      <c r="EFJ409" s="120"/>
      <c r="EFK409" s="120"/>
      <c r="EFL409" s="120"/>
      <c r="EFM409" s="121"/>
      <c r="EFN409" s="119"/>
      <c r="EFO409" s="120"/>
      <c r="EFP409" s="120"/>
      <c r="EFQ409" s="120"/>
      <c r="EFR409" s="120"/>
      <c r="EFS409" s="120"/>
      <c r="EFT409" s="121"/>
      <c r="EFU409" s="119"/>
      <c r="EFV409" s="120"/>
      <c r="EFW409" s="120"/>
      <c r="EFX409" s="120"/>
      <c r="EFY409" s="120"/>
      <c r="EFZ409" s="120"/>
      <c r="EGA409" s="121"/>
      <c r="EGB409" s="119"/>
      <c r="EGC409" s="120"/>
      <c r="EGD409" s="120"/>
      <c r="EGE409" s="120"/>
      <c r="EGF409" s="120"/>
      <c r="EGG409" s="120"/>
      <c r="EGH409" s="121"/>
      <c r="EGI409" s="119"/>
      <c r="EGJ409" s="120"/>
      <c r="EGK409" s="120"/>
      <c r="EGL409" s="120"/>
      <c r="EGM409" s="120"/>
      <c r="EGN409" s="120"/>
      <c r="EGO409" s="121"/>
      <c r="EGP409" s="119"/>
      <c r="EGQ409" s="120"/>
      <c r="EGR409" s="120"/>
      <c r="EGS409" s="120"/>
      <c r="EGT409" s="120"/>
      <c r="EGU409" s="120"/>
      <c r="EGV409" s="121"/>
      <c r="EGW409" s="119"/>
      <c r="EGX409" s="120"/>
      <c r="EGY409" s="120"/>
      <c r="EGZ409" s="120"/>
      <c r="EHA409" s="120"/>
      <c r="EHB409" s="120"/>
      <c r="EHC409" s="121"/>
      <c r="EHD409" s="119"/>
      <c r="EHE409" s="120"/>
      <c r="EHF409" s="120"/>
      <c r="EHG409" s="120"/>
      <c r="EHH409" s="120"/>
      <c r="EHI409" s="120"/>
      <c r="EHJ409" s="121"/>
      <c r="EHK409" s="119"/>
      <c r="EHL409" s="120"/>
      <c r="EHM409" s="120"/>
      <c r="EHN409" s="120"/>
      <c r="EHO409" s="120"/>
      <c r="EHP409" s="120"/>
      <c r="EHQ409" s="121"/>
      <c r="EHR409" s="119"/>
      <c r="EHS409" s="120"/>
      <c r="EHT409" s="120"/>
      <c r="EHU409" s="120"/>
      <c r="EHV409" s="120"/>
      <c r="EHW409" s="120"/>
      <c r="EHX409" s="121"/>
      <c r="EHY409" s="119"/>
      <c r="EHZ409" s="120"/>
      <c r="EIA409" s="120"/>
      <c r="EIB409" s="120"/>
      <c r="EIC409" s="120"/>
      <c r="EID409" s="120"/>
      <c r="EIE409" s="121"/>
      <c r="EIF409" s="119"/>
      <c r="EIG409" s="120"/>
      <c r="EIH409" s="120"/>
      <c r="EII409" s="120"/>
      <c r="EIJ409" s="120"/>
      <c r="EIK409" s="120"/>
      <c r="EIL409" s="121"/>
      <c r="EIM409" s="119"/>
      <c r="EIN409" s="120"/>
      <c r="EIO409" s="120"/>
      <c r="EIP409" s="120"/>
      <c r="EIQ409" s="120"/>
      <c r="EIR409" s="120"/>
      <c r="EIS409" s="121"/>
      <c r="EIT409" s="119"/>
      <c r="EIU409" s="120"/>
      <c r="EIV409" s="120"/>
      <c r="EIW409" s="120"/>
      <c r="EIX409" s="120"/>
      <c r="EIY409" s="120"/>
      <c r="EIZ409" s="121"/>
      <c r="EJA409" s="119"/>
      <c r="EJB409" s="120"/>
      <c r="EJC409" s="120"/>
      <c r="EJD409" s="120"/>
      <c r="EJE409" s="120"/>
      <c r="EJF409" s="120"/>
      <c r="EJG409" s="121"/>
      <c r="EJH409" s="119"/>
      <c r="EJI409" s="120"/>
      <c r="EJJ409" s="120"/>
      <c r="EJK409" s="120"/>
      <c r="EJL409" s="120"/>
      <c r="EJM409" s="120"/>
      <c r="EJN409" s="121"/>
      <c r="EJO409" s="119"/>
      <c r="EJP409" s="120"/>
      <c r="EJQ409" s="120"/>
      <c r="EJR409" s="120"/>
      <c r="EJS409" s="120"/>
      <c r="EJT409" s="120"/>
      <c r="EJU409" s="121"/>
      <c r="EJV409" s="119"/>
      <c r="EJW409" s="120"/>
      <c r="EJX409" s="120"/>
      <c r="EJY409" s="120"/>
      <c r="EJZ409" s="120"/>
      <c r="EKA409" s="120"/>
      <c r="EKB409" s="121"/>
      <c r="EKC409" s="119"/>
      <c r="EKD409" s="120"/>
      <c r="EKE409" s="120"/>
      <c r="EKF409" s="120"/>
      <c r="EKG409" s="120"/>
      <c r="EKH409" s="120"/>
      <c r="EKI409" s="121"/>
      <c r="EKJ409" s="119"/>
      <c r="EKK409" s="120"/>
      <c r="EKL409" s="120"/>
      <c r="EKM409" s="120"/>
      <c r="EKN409" s="120"/>
      <c r="EKO409" s="120"/>
      <c r="EKP409" s="121"/>
      <c r="EKQ409" s="119"/>
      <c r="EKR409" s="120"/>
      <c r="EKS409" s="120"/>
      <c r="EKT409" s="120"/>
      <c r="EKU409" s="120"/>
      <c r="EKV409" s="120"/>
      <c r="EKW409" s="121"/>
      <c r="EKX409" s="119"/>
      <c r="EKY409" s="120"/>
      <c r="EKZ409" s="120"/>
      <c r="ELA409" s="120"/>
      <c r="ELB409" s="120"/>
      <c r="ELC409" s="120"/>
      <c r="ELD409" s="121"/>
      <c r="ELE409" s="119"/>
      <c r="ELF409" s="120"/>
      <c r="ELG409" s="120"/>
      <c r="ELH409" s="120"/>
      <c r="ELI409" s="120"/>
      <c r="ELJ409" s="120"/>
      <c r="ELK409" s="121"/>
      <c r="ELL409" s="119"/>
      <c r="ELM409" s="120"/>
      <c r="ELN409" s="120"/>
      <c r="ELO409" s="120"/>
      <c r="ELP409" s="120"/>
      <c r="ELQ409" s="120"/>
      <c r="ELR409" s="121"/>
      <c r="ELS409" s="119"/>
      <c r="ELT409" s="120"/>
      <c r="ELU409" s="120"/>
      <c r="ELV409" s="120"/>
      <c r="ELW409" s="120"/>
      <c r="ELX409" s="120"/>
      <c r="ELY409" s="121"/>
      <c r="ELZ409" s="119"/>
      <c r="EMA409" s="120"/>
      <c r="EMB409" s="120"/>
      <c r="EMC409" s="120"/>
      <c r="EMD409" s="120"/>
      <c r="EME409" s="120"/>
      <c r="EMF409" s="121"/>
      <c r="EMG409" s="119"/>
      <c r="EMH409" s="120"/>
      <c r="EMI409" s="120"/>
      <c r="EMJ409" s="120"/>
      <c r="EMK409" s="120"/>
      <c r="EML409" s="120"/>
      <c r="EMM409" s="121"/>
      <c r="EMN409" s="119"/>
      <c r="EMO409" s="120"/>
      <c r="EMP409" s="120"/>
      <c r="EMQ409" s="120"/>
      <c r="EMR409" s="120"/>
      <c r="EMS409" s="120"/>
      <c r="EMT409" s="121"/>
      <c r="EMU409" s="119"/>
      <c r="EMV409" s="120"/>
      <c r="EMW409" s="120"/>
      <c r="EMX409" s="120"/>
      <c r="EMY409" s="120"/>
      <c r="EMZ409" s="120"/>
      <c r="ENA409" s="121"/>
      <c r="ENB409" s="119"/>
      <c r="ENC409" s="120"/>
      <c r="END409" s="120"/>
      <c r="ENE409" s="120"/>
      <c r="ENF409" s="120"/>
      <c r="ENG409" s="120"/>
      <c r="ENH409" s="121"/>
      <c r="ENI409" s="119"/>
      <c r="ENJ409" s="120"/>
      <c r="ENK409" s="120"/>
      <c r="ENL409" s="120"/>
      <c r="ENM409" s="120"/>
      <c r="ENN409" s="120"/>
      <c r="ENO409" s="121"/>
      <c r="ENP409" s="119"/>
      <c r="ENQ409" s="120"/>
      <c r="ENR409" s="120"/>
      <c r="ENS409" s="120"/>
      <c r="ENT409" s="120"/>
      <c r="ENU409" s="120"/>
      <c r="ENV409" s="121"/>
      <c r="ENW409" s="119"/>
      <c r="ENX409" s="120"/>
      <c r="ENY409" s="120"/>
      <c r="ENZ409" s="120"/>
      <c r="EOA409" s="120"/>
      <c r="EOB409" s="120"/>
      <c r="EOC409" s="121"/>
      <c r="EOD409" s="119"/>
      <c r="EOE409" s="120"/>
      <c r="EOF409" s="120"/>
      <c r="EOG409" s="120"/>
      <c r="EOH409" s="120"/>
      <c r="EOI409" s="120"/>
      <c r="EOJ409" s="121"/>
      <c r="EOK409" s="119"/>
      <c r="EOL409" s="120"/>
      <c r="EOM409" s="120"/>
      <c r="EON409" s="120"/>
      <c r="EOO409" s="120"/>
      <c r="EOP409" s="120"/>
      <c r="EOQ409" s="121"/>
      <c r="EOR409" s="119"/>
      <c r="EOS409" s="120"/>
      <c r="EOT409" s="120"/>
      <c r="EOU409" s="120"/>
      <c r="EOV409" s="120"/>
      <c r="EOW409" s="120"/>
      <c r="EOX409" s="121"/>
      <c r="EOY409" s="119"/>
      <c r="EOZ409" s="120"/>
      <c r="EPA409" s="120"/>
      <c r="EPB409" s="120"/>
      <c r="EPC409" s="120"/>
      <c r="EPD409" s="120"/>
      <c r="EPE409" s="121"/>
      <c r="EPF409" s="119"/>
      <c r="EPG409" s="120"/>
      <c r="EPH409" s="120"/>
      <c r="EPI409" s="120"/>
      <c r="EPJ409" s="120"/>
      <c r="EPK409" s="120"/>
      <c r="EPL409" s="121"/>
      <c r="EPM409" s="119"/>
      <c r="EPN409" s="120"/>
      <c r="EPO409" s="120"/>
      <c r="EPP409" s="120"/>
      <c r="EPQ409" s="120"/>
      <c r="EPR409" s="120"/>
      <c r="EPS409" s="121"/>
      <c r="EPT409" s="119"/>
      <c r="EPU409" s="120"/>
      <c r="EPV409" s="120"/>
      <c r="EPW409" s="120"/>
      <c r="EPX409" s="120"/>
      <c r="EPY409" s="120"/>
      <c r="EPZ409" s="121"/>
      <c r="EQA409" s="119"/>
      <c r="EQB409" s="120"/>
      <c r="EQC409" s="120"/>
      <c r="EQD409" s="120"/>
      <c r="EQE409" s="120"/>
      <c r="EQF409" s="120"/>
      <c r="EQG409" s="121"/>
      <c r="EQH409" s="119"/>
      <c r="EQI409" s="120"/>
      <c r="EQJ409" s="120"/>
      <c r="EQK409" s="120"/>
      <c r="EQL409" s="120"/>
      <c r="EQM409" s="120"/>
      <c r="EQN409" s="121"/>
      <c r="EQO409" s="119"/>
      <c r="EQP409" s="120"/>
      <c r="EQQ409" s="120"/>
      <c r="EQR409" s="120"/>
      <c r="EQS409" s="120"/>
      <c r="EQT409" s="120"/>
      <c r="EQU409" s="121"/>
      <c r="EQV409" s="119"/>
      <c r="EQW409" s="120"/>
      <c r="EQX409" s="120"/>
      <c r="EQY409" s="120"/>
      <c r="EQZ409" s="120"/>
      <c r="ERA409" s="120"/>
      <c r="ERB409" s="121"/>
      <c r="ERC409" s="119"/>
      <c r="ERD409" s="120"/>
      <c r="ERE409" s="120"/>
      <c r="ERF409" s="120"/>
      <c r="ERG409" s="120"/>
      <c r="ERH409" s="120"/>
      <c r="ERI409" s="121"/>
      <c r="ERJ409" s="119"/>
      <c r="ERK409" s="120"/>
      <c r="ERL409" s="120"/>
      <c r="ERM409" s="120"/>
      <c r="ERN409" s="120"/>
      <c r="ERO409" s="120"/>
      <c r="ERP409" s="121"/>
      <c r="ERQ409" s="119"/>
      <c r="ERR409" s="120"/>
      <c r="ERS409" s="120"/>
      <c r="ERT409" s="120"/>
      <c r="ERU409" s="120"/>
      <c r="ERV409" s="120"/>
      <c r="ERW409" s="121"/>
      <c r="ERX409" s="119"/>
      <c r="ERY409" s="120"/>
      <c r="ERZ409" s="120"/>
      <c r="ESA409" s="120"/>
      <c r="ESB409" s="120"/>
      <c r="ESC409" s="120"/>
      <c r="ESD409" s="121"/>
      <c r="ESE409" s="119"/>
      <c r="ESF409" s="120"/>
      <c r="ESG409" s="120"/>
      <c r="ESH409" s="120"/>
      <c r="ESI409" s="120"/>
      <c r="ESJ409" s="120"/>
      <c r="ESK409" s="121"/>
      <c r="ESL409" s="119"/>
      <c r="ESM409" s="120"/>
      <c r="ESN409" s="120"/>
      <c r="ESO409" s="120"/>
      <c r="ESP409" s="120"/>
      <c r="ESQ409" s="120"/>
      <c r="ESR409" s="121"/>
      <c r="ESS409" s="119"/>
      <c r="EST409" s="120"/>
      <c r="ESU409" s="120"/>
      <c r="ESV409" s="120"/>
      <c r="ESW409" s="120"/>
      <c r="ESX409" s="120"/>
      <c r="ESY409" s="121"/>
      <c r="ESZ409" s="119"/>
      <c r="ETA409" s="120"/>
      <c r="ETB409" s="120"/>
      <c r="ETC409" s="120"/>
      <c r="ETD409" s="120"/>
      <c r="ETE409" s="120"/>
      <c r="ETF409" s="121"/>
      <c r="ETG409" s="119"/>
      <c r="ETH409" s="120"/>
      <c r="ETI409" s="120"/>
      <c r="ETJ409" s="120"/>
      <c r="ETK409" s="120"/>
      <c r="ETL409" s="120"/>
      <c r="ETM409" s="121"/>
      <c r="ETN409" s="119"/>
      <c r="ETO409" s="120"/>
      <c r="ETP409" s="120"/>
      <c r="ETQ409" s="120"/>
      <c r="ETR409" s="120"/>
      <c r="ETS409" s="120"/>
      <c r="ETT409" s="121"/>
      <c r="ETU409" s="119"/>
      <c r="ETV409" s="120"/>
      <c r="ETW409" s="120"/>
      <c r="ETX409" s="120"/>
      <c r="ETY409" s="120"/>
      <c r="ETZ409" s="120"/>
      <c r="EUA409" s="121"/>
      <c r="EUB409" s="119"/>
      <c r="EUC409" s="120"/>
      <c r="EUD409" s="120"/>
      <c r="EUE409" s="120"/>
      <c r="EUF409" s="120"/>
      <c r="EUG409" s="120"/>
      <c r="EUH409" s="121"/>
      <c r="EUI409" s="119"/>
      <c r="EUJ409" s="120"/>
      <c r="EUK409" s="120"/>
      <c r="EUL409" s="120"/>
      <c r="EUM409" s="120"/>
      <c r="EUN409" s="120"/>
      <c r="EUO409" s="121"/>
      <c r="EUP409" s="119"/>
      <c r="EUQ409" s="120"/>
      <c r="EUR409" s="120"/>
      <c r="EUS409" s="120"/>
      <c r="EUT409" s="120"/>
      <c r="EUU409" s="120"/>
      <c r="EUV409" s="121"/>
      <c r="EUW409" s="119"/>
      <c r="EUX409" s="120"/>
      <c r="EUY409" s="120"/>
      <c r="EUZ409" s="120"/>
      <c r="EVA409" s="120"/>
      <c r="EVB409" s="120"/>
      <c r="EVC409" s="121"/>
      <c r="EVD409" s="119"/>
      <c r="EVE409" s="120"/>
      <c r="EVF409" s="120"/>
      <c r="EVG409" s="120"/>
      <c r="EVH409" s="120"/>
      <c r="EVI409" s="120"/>
      <c r="EVJ409" s="121"/>
      <c r="EVK409" s="119"/>
      <c r="EVL409" s="120"/>
      <c r="EVM409" s="120"/>
      <c r="EVN409" s="120"/>
      <c r="EVO409" s="120"/>
      <c r="EVP409" s="120"/>
      <c r="EVQ409" s="121"/>
      <c r="EVR409" s="119"/>
      <c r="EVS409" s="120"/>
      <c r="EVT409" s="120"/>
      <c r="EVU409" s="120"/>
      <c r="EVV409" s="120"/>
      <c r="EVW409" s="120"/>
      <c r="EVX409" s="121"/>
      <c r="EVY409" s="119"/>
      <c r="EVZ409" s="120"/>
      <c r="EWA409" s="120"/>
      <c r="EWB409" s="120"/>
      <c r="EWC409" s="120"/>
      <c r="EWD409" s="120"/>
      <c r="EWE409" s="121"/>
      <c r="EWF409" s="119"/>
      <c r="EWG409" s="120"/>
      <c r="EWH409" s="120"/>
      <c r="EWI409" s="120"/>
      <c r="EWJ409" s="120"/>
      <c r="EWK409" s="120"/>
      <c r="EWL409" s="121"/>
      <c r="EWM409" s="119"/>
      <c r="EWN409" s="120"/>
      <c r="EWO409" s="120"/>
      <c r="EWP409" s="120"/>
      <c r="EWQ409" s="120"/>
      <c r="EWR409" s="120"/>
      <c r="EWS409" s="121"/>
      <c r="EWT409" s="119"/>
      <c r="EWU409" s="120"/>
      <c r="EWV409" s="120"/>
      <c r="EWW409" s="120"/>
      <c r="EWX409" s="120"/>
      <c r="EWY409" s="120"/>
      <c r="EWZ409" s="121"/>
      <c r="EXA409" s="119"/>
      <c r="EXB409" s="120"/>
      <c r="EXC409" s="120"/>
      <c r="EXD409" s="120"/>
      <c r="EXE409" s="120"/>
      <c r="EXF409" s="120"/>
      <c r="EXG409" s="121"/>
      <c r="EXH409" s="119"/>
      <c r="EXI409" s="120"/>
      <c r="EXJ409" s="120"/>
      <c r="EXK409" s="120"/>
      <c r="EXL409" s="120"/>
      <c r="EXM409" s="120"/>
      <c r="EXN409" s="121"/>
      <c r="EXO409" s="119"/>
      <c r="EXP409" s="120"/>
      <c r="EXQ409" s="120"/>
      <c r="EXR409" s="120"/>
      <c r="EXS409" s="120"/>
      <c r="EXT409" s="120"/>
      <c r="EXU409" s="121"/>
      <c r="EXV409" s="119"/>
      <c r="EXW409" s="120"/>
      <c r="EXX409" s="120"/>
      <c r="EXY409" s="120"/>
      <c r="EXZ409" s="120"/>
      <c r="EYA409" s="120"/>
      <c r="EYB409" s="121"/>
      <c r="EYC409" s="119"/>
      <c r="EYD409" s="120"/>
      <c r="EYE409" s="120"/>
      <c r="EYF409" s="120"/>
      <c r="EYG409" s="120"/>
      <c r="EYH409" s="120"/>
      <c r="EYI409" s="121"/>
      <c r="EYJ409" s="119"/>
      <c r="EYK409" s="120"/>
      <c r="EYL409" s="120"/>
      <c r="EYM409" s="120"/>
      <c r="EYN409" s="120"/>
      <c r="EYO409" s="120"/>
      <c r="EYP409" s="121"/>
      <c r="EYQ409" s="119"/>
      <c r="EYR409" s="120"/>
      <c r="EYS409" s="120"/>
      <c r="EYT409" s="120"/>
      <c r="EYU409" s="120"/>
      <c r="EYV409" s="120"/>
      <c r="EYW409" s="121"/>
      <c r="EYX409" s="119"/>
      <c r="EYY409" s="120"/>
      <c r="EYZ409" s="120"/>
      <c r="EZA409" s="120"/>
      <c r="EZB409" s="120"/>
      <c r="EZC409" s="120"/>
      <c r="EZD409" s="121"/>
      <c r="EZE409" s="119"/>
      <c r="EZF409" s="120"/>
      <c r="EZG409" s="120"/>
      <c r="EZH409" s="120"/>
      <c r="EZI409" s="120"/>
      <c r="EZJ409" s="120"/>
      <c r="EZK409" s="121"/>
      <c r="EZL409" s="119"/>
      <c r="EZM409" s="120"/>
      <c r="EZN409" s="120"/>
      <c r="EZO409" s="120"/>
      <c r="EZP409" s="120"/>
      <c r="EZQ409" s="120"/>
      <c r="EZR409" s="121"/>
      <c r="EZS409" s="119"/>
      <c r="EZT409" s="120"/>
      <c r="EZU409" s="120"/>
      <c r="EZV409" s="120"/>
      <c r="EZW409" s="120"/>
      <c r="EZX409" s="120"/>
      <c r="EZY409" s="121"/>
      <c r="EZZ409" s="119"/>
      <c r="FAA409" s="120"/>
      <c r="FAB409" s="120"/>
      <c r="FAC409" s="120"/>
      <c r="FAD409" s="120"/>
      <c r="FAE409" s="120"/>
      <c r="FAF409" s="121"/>
      <c r="FAG409" s="119"/>
      <c r="FAH409" s="120"/>
      <c r="FAI409" s="120"/>
      <c r="FAJ409" s="120"/>
      <c r="FAK409" s="120"/>
      <c r="FAL409" s="120"/>
      <c r="FAM409" s="121"/>
      <c r="FAN409" s="119"/>
      <c r="FAO409" s="120"/>
      <c r="FAP409" s="120"/>
      <c r="FAQ409" s="120"/>
      <c r="FAR409" s="120"/>
      <c r="FAS409" s="120"/>
      <c r="FAT409" s="121"/>
      <c r="FAU409" s="119"/>
      <c r="FAV409" s="120"/>
      <c r="FAW409" s="120"/>
      <c r="FAX409" s="120"/>
      <c r="FAY409" s="120"/>
      <c r="FAZ409" s="120"/>
      <c r="FBA409" s="121"/>
      <c r="FBB409" s="119"/>
      <c r="FBC409" s="120"/>
      <c r="FBD409" s="120"/>
      <c r="FBE409" s="120"/>
      <c r="FBF409" s="120"/>
      <c r="FBG409" s="120"/>
      <c r="FBH409" s="121"/>
      <c r="FBI409" s="119"/>
      <c r="FBJ409" s="120"/>
      <c r="FBK409" s="120"/>
      <c r="FBL409" s="120"/>
      <c r="FBM409" s="120"/>
      <c r="FBN409" s="120"/>
      <c r="FBO409" s="121"/>
      <c r="FBP409" s="119"/>
      <c r="FBQ409" s="120"/>
      <c r="FBR409" s="120"/>
      <c r="FBS409" s="120"/>
      <c r="FBT409" s="120"/>
      <c r="FBU409" s="120"/>
      <c r="FBV409" s="121"/>
      <c r="FBW409" s="119"/>
      <c r="FBX409" s="120"/>
      <c r="FBY409" s="120"/>
      <c r="FBZ409" s="120"/>
      <c r="FCA409" s="120"/>
      <c r="FCB409" s="120"/>
      <c r="FCC409" s="121"/>
      <c r="FCD409" s="119"/>
      <c r="FCE409" s="120"/>
      <c r="FCF409" s="120"/>
      <c r="FCG409" s="120"/>
      <c r="FCH409" s="120"/>
      <c r="FCI409" s="120"/>
      <c r="FCJ409" s="121"/>
      <c r="FCK409" s="119"/>
      <c r="FCL409" s="120"/>
      <c r="FCM409" s="120"/>
      <c r="FCN409" s="120"/>
      <c r="FCO409" s="120"/>
      <c r="FCP409" s="120"/>
      <c r="FCQ409" s="121"/>
      <c r="FCR409" s="119"/>
      <c r="FCS409" s="120"/>
      <c r="FCT409" s="120"/>
      <c r="FCU409" s="120"/>
      <c r="FCV409" s="120"/>
      <c r="FCW409" s="120"/>
      <c r="FCX409" s="121"/>
      <c r="FCY409" s="119"/>
      <c r="FCZ409" s="120"/>
      <c r="FDA409" s="120"/>
      <c r="FDB409" s="120"/>
      <c r="FDC409" s="120"/>
      <c r="FDD409" s="120"/>
      <c r="FDE409" s="121"/>
      <c r="FDF409" s="119"/>
      <c r="FDG409" s="120"/>
      <c r="FDH409" s="120"/>
      <c r="FDI409" s="120"/>
      <c r="FDJ409" s="120"/>
      <c r="FDK409" s="120"/>
      <c r="FDL409" s="121"/>
      <c r="FDM409" s="119"/>
      <c r="FDN409" s="120"/>
      <c r="FDO409" s="120"/>
      <c r="FDP409" s="120"/>
      <c r="FDQ409" s="120"/>
      <c r="FDR409" s="120"/>
      <c r="FDS409" s="121"/>
      <c r="FDT409" s="119"/>
      <c r="FDU409" s="120"/>
      <c r="FDV409" s="120"/>
      <c r="FDW409" s="120"/>
      <c r="FDX409" s="120"/>
      <c r="FDY409" s="120"/>
      <c r="FDZ409" s="121"/>
      <c r="FEA409" s="119"/>
      <c r="FEB409" s="120"/>
      <c r="FEC409" s="120"/>
      <c r="FED409" s="120"/>
      <c r="FEE409" s="120"/>
      <c r="FEF409" s="120"/>
      <c r="FEG409" s="121"/>
      <c r="FEH409" s="119"/>
      <c r="FEI409" s="120"/>
      <c r="FEJ409" s="120"/>
      <c r="FEK409" s="120"/>
      <c r="FEL409" s="120"/>
      <c r="FEM409" s="120"/>
      <c r="FEN409" s="121"/>
      <c r="FEO409" s="119"/>
      <c r="FEP409" s="120"/>
      <c r="FEQ409" s="120"/>
      <c r="FER409" s="120"/>
      <c r="FES409" s="120"/>
      <c r="FET409" s="120"/>
      <c r="FEU409" s="121"/>
      <c r="FEV409" s="119"/>
      <c r="FEW409" s="120"/>
      <c r="FEX409" s="120"/>
      <c r="FEY409" s="120"/>
      <c r="FEZ409" s="120"/>
      <c r="FFA409" s="120"/>
      <c r="FFB409" s="121"/>
      <c r="FFC409" s="119"/>
      <c r="FFD409" s="120"/>
      <c r="FFE409" s="120"/>
      <c r="FFF409" s="120"/>
      <c r="FFG409" s="120"/>
      <c r="FFH409" s="120"/>
      <c r="FFI409" s="121"/>
      <c r="FFJ409" s="119"/>
      <c r="FFK409" s="120"/>
      <c r="FFL409" s="120"/>
      <c r="FFM409" s="120"/>
      <c r="FFN409" s="120"/>
      <c r="FFO409" s="120"/>
      <c r="FFP409" s="121"/>
      <c r="FFQ409" s="119"/>
      <c r="FFR409" s="120"/>
      <c r="FFS409" s="120"/>
      <c r="FFT409" s="120"/>
      <c r="FFU409" s="120"/>
      <c r="FFV409" s="120"/>
      <c r="FFW409" s="121"/>
      <c r="FFX409" s="119"/>
      <c r="FFY409" s="120"/>
      <c r="FFZ409" s="120"/>
      <c r="FGA409" s="120"/>
      <c r="FGB409" s="120"/>
      <c r="FGC409" s="120"/>
      <c r="FGD409" s="121"/>
      <c r="FGE409" s="119"/>
      <c r="FGF409" s="120"/>
      <c r="FGG409" s="120"/>
      <c r="FGH409" s="120"/>
      <c r="FGI409" s="120"/>
      <c r="FGJ409" s="120"/>
      <c r="FGK409" s="121"/>
      <c r="FGL409" s="119"/>
      <c r="FGM409" s="120"/>
      <c r="FGN409" s="120"/>
      <c r="FGO409" s="120"/>
      <c r="FGP409" s="120"/>
      <c r="FGQ409" s="120"/>
      <c r="FGR409" s="121"/>
      <c r="FGS409" s="119"/>
      <c r="FGT409" s="120"/>
      <c r="FGU409" s="120"/>
      <c r="FGV409" s="120"/>
      <c r="FGW409" s="120"/>
      <c r="FGX409" s="120"/>
      <c r="FGY409" s="121"/>
      <c r="FGZ409" s="119"/>
      <c r="FHA409" s="120"/>
      <c r="FHB409" s="120"/>
      <c r="FHC409" s="120"/>
      <c r="FHD409" s="120"/>
      <c r="FHE409" s="120"/>
      <c r="FHF409" s="121"/>
      <c r="FHG409" s="119"/>
      <c r="FHH409" s="120"/>
      <c r="FHI409" s="120"/>
      <c r="FHJ409" s="120"/>
      <c r="FHK409" s="120"/>
      <c r="FHL409" s="120"/>
      <c r="FHM409" s="121"/>
      <c r="FHN409" s="119"/>
      <c r="FHO409" s="120"/>
      <c r="FHP409" s="120"/>
      <c r="FHQ409" s="120"/>
      <c r="FHR409" s="120"/>
      <c r="FHS409" s="120"/>
      <c r="FHT409" s="121"/>
      <c r="FHU409" s="119"/>
      <c r="FHV409" s="120"/>
      <c r="FHW409" s="120"/>
      <c r="FHX409" s="120"/>
      <c r="FHY409" s="120"/>
      <c r="FHZ409" s="120"/>
      <c r="FIA409" s="121"/>
      <c r="FIB409" s="119"/>
      <c r="FIC409" s="120"/>
      <c r="FID409" s="120"/>
      <c r="FIE409" s="120"/>
      <c r="FIF409" s="120"/>
      <c r="FIG409" s="120"/>
      <c r="FIH409" s="121"/>
      <c r="FII409" s="119"/>
      <c r="FIJ409" s="120"/>
      <c r="FIK409" s="120"/>
      <c r="FIL409" s="120"/>
      <c r="FIM409" s="120"/>
      <c r="FIN409" s="120"/>
      <c r="FIO409" s="121"/>
      <c r="FIP409" s="119"/>
      <c r="FIQ409" s="120"/>
      <c r="FIR409" s="120"/>
      <c r="FIS409" s="120"/>
      <c r="FIT409" s="120"/>
      <c r="FIU409" s="120"/>
      <c r="FIV409" s="121"/>
      <c r="FIW409" s="119"/>
      <c r="FIX409" s="120"/>
      <c r="FIY409" s="120"/>
      <c r="FIZ409" s="120"/>
      <c r="FJA409" s="120"/>
      <c r="FJB409" s="120"/>
      <c r="FJC409" s="121"/>
      <c r="FJD409" s="119"/>
      <c r="FJE409" s="120"/>
      <c r="FJF409" s="120"/>
      <c r="FJG409" s="120"/>
      <c r="FJH409" s="120"/>
      <c r="FJI409" s="120"/>
      <c r="FJJ409" s="121"/>
      <c r="FJK409" s="119"/>
      <c r="FJL409" s="120"/>
      <c r="FJM409" s="120"/>
      <c r="FJN409" s="120"/>
      <c r="FJO409" s="120"/>
      <c r="FJP409" s="120"/>
      <c r="FJQ409" s="121"/>
      <c r="FJR409" s="119"/>
      <c r="FJS409" s="120"/>
      <c r="FJT409" s="120"/>
      <c r="FJU409" s="120"/>
      <c r="FJV409" s="120"/>
      <c r="FJW409" s="120"/>
      <c r="FJX409" s="121"/>
      <c r="FJY409" s="119"/>
      <c r="FJZ409" s="120"/>
      <c r="FKA409" s="120"/>
      <c r="FKB409" s="120"/>
      <c r="FKC409" s="120"/>
      <c r="FKD409" s="120"/>
      <c r="FKE409" s="121"/>
      <c r="FKF409" s="119"/>
      <c r="FKG409" s="120"/>
      <c r="FKH409" s="120"/>
      <c r="FKI409" s="120"/>
      <c r="FKJ409" s="120"/>
      <c r="FKK409" s="120"/>
      <c r="FKL409" s="121"/>
      <c r="FKM409" s="119"/>
      <c r="FKN409" s="120"/>
      <c r="FKO409" s="120"/>
      <c r="FKP409" s="120"/>
      <c r="FKQ409" s="120"/>
      <c r="FKR409" s="120"/>
      <c r="FKS409" s="121"/>
      <c r="FKT409" s="119"/>
      <c r="FKU409" s="120"/>
      <c r="FKV409" s="120"/>
      <c r="FKW409" s="120"/>
      <c r="FKX409" s="120"/>
      <c r="FKY409" s="120"/>
      <c r="FKZ409" s="121"/>
      <c r="FLA409" s="119"/>
      <c r="FLB409" s="120"/>
      <c r="FLC409" s="120"/>
      <c r="FLD409" s="120"/>
      <c r="FLE409" s="120"/>
      <c r="FLF409" s="120"/>
      <c r="FLG409" s="121"/>
      <c r="FLH409" s="119"/>
      <c r="FLI409" s="120"/>
      <c r="FLJ409" s="120"/>
      <c r="FLK409" s="120"/>
      <c r="FLL409" s="120"/>
      <c r="FLM409" s="120"/>
      <c r="FLN409" s="121"/>
      <c r="FLO409" s="119"/>
      <c r="FLP409" s="120"/>
      <c r="FLQ409" s="120"/>
      <c r="FLR409" s="120"/>
      <c r="FLS409" s="120"/>
      <c r="FLT409" s="120"/>
      <c r="FLU409" s="121"/>
      <c r="FLV409" s="119"/>
      <c r="FLW409" s="120"/>
      <c r="FLX409" s="120"/>
      <c r="FLY409" s="120"/>
      <c r="FLZ409" s="120"/>
      <c r="FMA409" s="120"/>
      <c r="FMB409" s="121"/>
      <c r="FMC409" s="119"/>
      <c r="FMD409" s="120"/>
      <c r="FME409" s="120"/>
      <c r="FMF409" s="120"/>
      <c r="FMG409" s="120"/>
      <c r="FMH409" s="120"/>
      <c r="FMI409" s="121"/>
      <c r="FMJ409" s="119"/>
      <c r="FMK409" s="120"/>
      <c r="FML409" s="120"/>
      <c r="FMM409" s="120"/>
      <c r="FMN409" s="120"/>
      <c r="FMO409" s="120"/>
      <c r="FMP409" s="121"/>
      <c r="FMQ409" s="119"/>
      <c r="FMR409" s="120"/>
      <c r="FMS409" s="120"/>
      <c r="FMT409" s="120"/>
      <c r="FMU409" s="120"/>
      <c r="FMV409" s="120"/>
      <c r="FMW409" s="121"/>
      <c r="FMX409" s="119"/>
      <c r="FMY409" s="120"/>
      <c r="FMZ409" s="120"/>
      <c r="FNA409" s="120"/>
      <c r="FNB409" s="120"/>
      <c r="FNC409" s="120"/>
      <c r="FND409" s="121"/>
      <c r="FNE409" s="119"/>
      <c r="FNF409" s="120"/>
      <c r="FNG409" s="120"/>
      <c r="FNH409" s="120"/>
      <c r="FNI409" s="120"/>
      <c r="FNJ409" s="120"/>
      <c r="FNK409" s="121"/>
      <c r="FNL409" s="119"/>
      <c r="FNM409" s="120"/>
      <c r="FNN409" s="120"/>
      <c r="FNO409" s="120"/>
      <c r="FNP409" s="120"/>
      <c r="FNQ409" s="120"/>
      <c r="FNR409" s="121"/>
      <c r="FNS409" s="119"/>
      <c r="FNT409" s="120"/>
      <c r="FNU409" s="120"/>
      <c r="FNV409" s="120"/>
      <c r="FNW409" s="120"/>
      <c r="FNX409" s="120"/>
      <c r="FNY409" s="121"/>
      <c r="FNZ409" s="119"/>
      <c r="FOA409" s="120"/>
      <c r="FOB409" s="120"/>
      <c r="FOC409" s="120"/>
      <c r="FOD409" s="120"/>
      <c r="FOE409" s="120"/>
      <c r="FOF409" s="121"/>
      <c r="FOG409" s="119"/>
      <c r="FOH409" s="120"/>
      <c r="FOI409" s="120"/>
      <c r="FOJ409" s="120"/>
      <c r="FOK409" s="120"/>
      <c r="FOL409" s="120"/>
      <c r="FOM409" s="121"/>
      <c r="FON409" s="119"/>
      <c r="FOO409" s="120"/>
      <c r="FOP409" s="120"/>
      <c r="FOQ409" s="120"/>
      <c r="FOR409" s="120"/>
      <c r="FOS409" s="120"/>
      <c r="FOT409" s="121"/>
      <c r="FOU409" s="119"/>
      <c r="FOV409" s="120"/>
      <c r="FOW409" s="120"/>
      <c r="FOX409" s="120"/>
      <c r="FOY409" s="120"/>
      <c r="FOZ409" s="120"/>
      <c r="FPA409" s="121"/>
      <c r="FPB409" s="119"/>
      <c r="FPC409" s="120"/>
      <c r="FPD409" s="120"/>
      <c r="FPE409" s="120"/>
      <c r="FPF409" s="120"/>
      <c r="FPG409" s="120"/>
      <c r="FPH409" s="121"/>
      <c r="FPI409" s="119"/>
      <c r="FPJ409" s="120"/>
      <c r="FPK409" s="120"/>
      <c r="FPL409" s="120"/>
      <c r="FPM409" s="120"/>
      <c r="FPN409" s="120"/>
      <c r="FPO409" s="121"/>
      <c r="FPP409" s="119"/>
      <c r="FPQ409" s="120"/>
      <c r="FPR409" s="120"/>
      <c r="FPS409" s="120"/>
      <c r="FPT409" s="120"/>
      <c r="FPU409" s="120"/>
      <c r="FPV409" s="121"/>
      <c r="FPW409" s="119"/>
      <c r="FPX409" s="120"/>
      <c r="FPY409" s="120"/>
      <c r="FPZ409" s="120"/>
      <c r="FQA409" s="120"/>
      <c r="FQB409" s="120"/>
      <c r="FQC409" s="121"/>
      <c r="FQD409" s="119"/>
      <c r="FQE409" s="120"/>
      <c r="FQF409" s="120"/>
      <c r="FQG409" s="120"/>
      <c r="FQH409" s="120"/>
      <c r="FQI409" s="120"/>
      <c r="FQJ409" s="121"/>
      <c r="FQK409" s="119"/>
      <c r="FQL409" s="120"/>
      <c r="FQM409" s="120"/>
      <c r="FQN409" s="120"/>
      <c r="FQO409" s="120"/>
      <c r="FQP409" s="120"/>
      <c r="FQQ409" s="121"/>
      <c r="FQR409" s="119"/>
      <c r="FQS409" s="120"/>
      <c r="FQT409" s="120"/>
      <c r="FQU409" s="120"/>
      <c r="FQV409" s="120"/>
      <c r="FQW409" s="120"/>
      <c r="FQX409" s="121"/>
      <c r="FQY409" s="119"/>
      <c r="FQZ409" s="120"/>
      <c r="FRA409" s="120"/>
      <c r="FRB409" s="120"/>
      <c r="FRC409" s="120"/>
      <c r="FRD409" s="120"/>
      <c r="FRE409" s="121"/>
      <c r="FRF409" s="119"/>
      <c r="FRG409" s="120"/>
      <c r="FRH409" s="120"/>
      <c r="FRI409" s="120"/>
      <c r="FRJ409" s="120"/>
      <c r="FRK409" s="120"/>
      <c r="FRL409" s="121"/>
      <c r="FRM409" s="119"/>
      <c r="FRN409" s="120"/>
      <c r="FRO409" s="120"/>
      <c r="FRP409" s="120"/>
      <c r="FRQ409" s="120"/>
      <c r="FRR409" s="120"/>
      <c r="FRS409" s="121"/>
      <c r="FRT409" s="119"/>
      <c r="FRU409" s="120"/>
      <c r="FRV409" s="120"/>
      <c r="FRW409" s="120"/>
      <c r="FRX409" s="120"/>
      <c r="FRY409" s="120"/>
      <c r="FRZ409" s="121"/>
      <c r="FSA409" s="119"/>
      <c r="FSB409" s="120"/>
      <c r="FSC409" s="120"/>
      <c r="FSD409" s="120"/>
      <c r="FSE409" s="120"/>
      <c r="FSF409" s="120"/>
      <c r="FSG409" s="121"/>
      <c r="FSH409" s="119"/>
      <c r="FSI409" s="120"/>
      <c r="FSJ409" s="120"/>
      <c r="FSK409" s="120"/>
      <c r="FSL409" s="120"/>
      <c r="FSM409" s="120"/>
      <c r="FSN409" s="121"/>
      <c r="FSO409" s="119"/>
      <c r="FSP409" s="120"/>
      <c r="FSQ409" s="120"/>
      <c r="FSR409" s="120"/>
      <c r="FSS409" s="120"/>
      <c r="FST409" s="120"/>
      <c r="FSU409" s="121"/>
      <c r="FSV409" s="119"/>
      <c r="FSW409" s="120"/>
      <c r="FSX409" s="120"/>
      <c r="FSY409" s="120"/>
      <c r="FSZ409" s="120"/>
      <c r="FTA409" s="120"/>
      <c r="FTB409" s="121"/>
      <c r="FTC409" s="119"/>
      <c r="FTD409" s="120"/>
      <c r="FTE409" s="120"/>
      <c r="FTF409" s="120"/>
      <c r="FTG409" s="120"/>
      <c r="FTH409" s="120"/>
      <c r="FTI409" s="121"/>
      <c r="FTJ409" s="119"/>
      <c r="FTK409" s="120"/>
      <c r="FTL409" s="120"/>
      <c r="FTM409" s="120"/>
      <c r="FTN409" s="120"/>
      <c r="FTO409" s="120"/>
      <c r="FTP409" s="121"/>
      <c r="FTQ409" s="119"/>
      <c r="FTR409" s="120"/>
      <c r="FTS409" s="120"/>
      <c r="FTT409" s="120"/>
      <c r="FTU409" s="120"/>
      <c r="FTV409" s="120"/>
      <c r="FTW409" s="121"/>
      <c r="FTX409" s="119"/>
      <c r="FTY409" s="120"/>
      <c r="FTZ409" s="120"/>
      <c r="FUA409" s="120"/>
      <c r="FUB409" s="120"/>
      <c r="FUC409" s="120"/>
      <c r="FUD409" s="121"/>
      <c r="FUE409" s="119"/>
      <c r="FUF409" s="120"/>
      <c r="FUG409" s="120"/>
      <c r="FUH409" s="120"/>
      <c r="FUI409" s="120"/>
      <c r="FUJ409" s="120"/>
      <c r="FUK409" s="121"/>
      <c r="FUL409" s="119"/>
      <c r="FUM409" s="120"/>
      <c r="FUN409" s="120"/>
      <c r="FUO409" s="120"/>
      <c r="FUP409" s="120"/>
      <c r="FUQ409" s="120"/>
      <c r="FUR409" s="121"/>
      <c r="FUS409" s="119"/>
      <c r="FUT409" s="120"/>
      <c r="FUU409" s="120"/>
      <c r="FUV409" s="120"/>
      <c r="FUW409" s="120"/>
      <c r="FUX409" s="120"/>
      <c r="FUY409" s="121"/>
      <c r="FUZ409" s="119"/>
      <c r="FVA409" s="120"/>
      <c r="FVB409" s="120"/>
      <c r="FVC409" s="120"/>
      <c r="FVD409" s="120"/>
      <c r="FVE409" s="120"/>
      <c r="FVF409" s="121"/>
      <c r="FVG409" s="119"/>
      <c r="FVH409" s="120"/>
      <c r="FVI409" s="120"/>
      <c r="FVJ409" s="120"/>
      <c r="FVK409" s="120"/>
      <c r="FVL409" s="120"/>
      <c r="FVM409" s="121"/>
      <c r="FVN409" s="119"/>
      <c r="FVO409" s="120"/>
      <c r="FVP409" s="120"/>
      <c r="FVQ409" s="120"/>
      <c r="FVR409" s="120"/>
      <c r="FVS409" s="120"/>
      <c r="FVT409" s="121"/>
      <c r="FVU409" s="119"/>
      <c r="FVV409" s="120"/>
      <c r="FVW409" s="120"/>
      <c r="FVX409" s="120"/>
      <c r="FVY409" s="120"/>
      <c r="FVZ409" s="120"/>
      <c r="FWA409" s="121"/>
      <c r="FWB409" s="119"/>
      <c r="FWC409" s="120"/>
      <c r="FWD409" s="120"/>
      <c r="FWE409" s="120"/>
      <c r="FWF409" s="120"/>
      <c r="FWG409" s="120"/>
      <c r="FWH409" s="121"/>
      <c r="FWI409" s="119"/>
      <c r="FWJ409" s="120"/>
      <c r="FWK409" s="120"/>
      <c r="FWL409" s="120"/>
      <c r="FWM409" s="120"/>
      <c r="FWN409" s="120"/>
      <c r="FWO409" s="121"/>
      <c r="FWP409" s="119"/>
      <c r="FWQ409" s="120"/>
      <c r="FWR409" s="120"/>
      <c r="FWS409" s="120"/>
      <c r="FWT409" s="120"/>
      <c r="FWU409" s="120"/>
      <c r="FWV409" s="121"/>
      <c r="FWW409" s="119"/>
      <c r="FWX409" s="120"/>
      <c r="FWY409" s="120"/>
      <c r="FWZ409" s="120"/>
      <c r="FXA409" s="120"/>
      <c r="FXB409" s="120"/>
      <c r="FXC409" s="121"/>
      <c r="FXD409" s="119"/>
      <c r="FXE409" s="120"/>
      <c r="FXF409" s="120"/>
      <c r="FXG409" s="120"/>
      <c r="FXH409" s="120"/>
      <c r="FXI409" s="120"/>
      <c r="FXJ409" s="121"/>
      <c r="FXK409" s="119"/>
      <c r="FXL409" s="120"/>
      <c r="FXM409" s="120"/>
      <c r="FXN409" s="120"/>
      <c r="FXO409" s="120"/>
      <c r="FXP409" s="120"/>
      <c r="FXQ409" s="121"/>
      <c r="FXR409" s="119"/>
      <c r="FXS409" s="120"/>
      <c r="FXT409" s="120"/>
      <c r="FXU409" s="120"/>
      <c r="FXV409" s="120"/>
      <c r="FXW409" s="120"/>
      <c r="FXX409" s="121"/>
      <c r="FXY409" s="119"/>
      <c r="FXZ409" s="120"/>
      <c r="FYA409" s="120"/>
      <c r="FYB409" s="120"/>
      <c r="FYC409" s="120"/>
      <c r="FYD409" s="120"/>
      <c r="FYE409" s="121"/>
      <c r="FYF409" s="119"/>
      <c r="FYG409" s="120"/>
      <c r="FYH409" s="120"/>
      <c r="FYI409" s="120"/>
      <c r="FYJ409" s="120"/>
      <c r="FYK409" s="120"/>
      <c r="FYL409" s="121"/>
      <c r="FYM409" s="119"/>
      <c r="FYN409" s="120"/>
      <c r="FYO409" s="120"/>
      <c r="FYP409" s="120"/>
      <c r="FYQ409" s="120"/>
      <c r="FYR409" s="120"/>
      <c r="FYS409" s="121"/>
      <c r="FYT409" s="119"/>
      <c r="FYU409" s="120"/>
      <c r="FYV409" s="120"/>
      <c r="FYW409" s="120"/>
      <c r="FYX409" s="120"/>
      <c r="FYY409" s="120"/>
      <c r="FYZ409" s="121"/>
      <c r="FZA409" s="119"/>
      <c r="FZB409" s="120"/>
      <c r="FZC409" s="120"/>
      <c r="FZD409" s="120"/>
      <c r="FZE409" s="120"/>
      <c r="FZF409" s="120"/>
      <c r="FZG409" s="121"/>
      <c r="FZH409" s="119"/>
      <c r="FZI409" s="120"/>
      <c r="FZJ409" s="120"/>
      <c r="FZK409" s="120"/>
      <c r="FZL409" s="120"/>
      <c r="FZM409" s="120"/>
      <c r="FZN409" s="121"/>
      <c r="FZO409" s="119"/>
      <c r="FZP409" s="120"/>
      <c r="FZQ409" s="120"/>
      <c r="FZR409" s="120"/>
      <c r="FZS409" s="120"/>
      <c r="FZT409" s="120"/>
      <c r="FZU409" s="121"/>
      <c r="FZV409" s="119"/>
      <c r="FZW409" s="120"/>
      <c r="FZX409" s="120"/>
      <c r="FZY409" s="120"/>
      <c r="FZZ409" s="120"/>
      <c r="GAA409" s="120"/>
      <c r="GAB409" s="121"/>
      <c r="GAC409" s="119"/>
      <c r="GAD409" s="120"/>
      <c r="GAE409" s="120"/>
      <c r="GAF409" s="120"/>
      <c r="GAG409" s="120"/>
      <c r="GAH409" s="120"/>
      <c r="GAI409" s="121"/>
      <c r="GAJ409" s="119"/>
      <c r="GAK409" s="120"/>
      <c r="GAL409" s="120"/>
      <c r="GAM409" s="120"/>
      <c r="GAN409" s="120"/>
      <c r="GAO409" s="120"/>
      <c r="GAP409" s="121"/>
      <c r="GAQ409" s="119"/>
      <c r="GAR409" s="120"/>
      <c r="GAS409" s="120"/>
      <c r="GAT409" s="120"/>
      <c r="GAU409" s="120"/>
      <c r="GAV409" s="120"/>
      <c r="GAW409" s="121"/>
      <c r="GAX409" s="119"/>
      <c r="GAY409" s="120"/>
      <c r="GAZ409" s="120"/>
      <c r="GBA409" s="120"/>
      <c r="GBB409" s="120"/>
      <c r="GBC409" s="120"/>
      <c r="GBD409" s="121"/>
      <c r="GBE409" s="119"/>
      <c r="GBF409" s="120"/>
      <c r="GBG409" s="120"/>
      <c r="GBH409" s="120"/>
      <c r="GBI409" s="120"/>
      <c r="GBJ409" s="120"/>
      <c r="GBK409" s="121"/>
      <c r="GBL409" s="119"/>
      <c r="GBM409" s="120"/>
      <c r="GBN409" s="120"/>
      <c r="GBO409" s="120"/>
      <c r="GBP409" s="120"/>
      <c r="GBQ409" s="120"/>
      <c r="GBR409" s="121"/>
      <c r="GBS409" s="119"/>
      <c r="GBT409" s="120"/>
      <c r="GBU409" s="120"/>
      <c r="GBV409" s="120"/>
      <c r="GBW409" s="120"/>
      <c r="GBX409" s="120"/>
      <c r="GBY409" s="121"/>
      <c r="GBZ409" s="119"/>
      <c r="GCA409" s="120"/>
      <c r="GCB409" s="120"/>
      <c r="GCC409" s="120"/>
      <c r="GCD409" s="120"/>
      <c r="GCE409" s="120"/>
      <c r="GCF409" s="121"/>
      <c r="GCG409" s="119"/>
      <c r="GCH409" s="120"/>
      <c r="GCI409" s="120"/>
      <c r="GCJ409" s="120"/>
      <c r="GCK409" s="120"/>
      <c r="GCL409" s="120"/>
      <c r="GCM409" s="121"/>
      <c r="GCN409" s="119"/>
      <c r="GCO409" s="120"/>
      <c r="GCP409" s="120"/>
      <c r="GCQ409" s="120"/>
      <c r="GCR409" s="120"/>
      <c r="GCS409" s="120"/>
      <c r="GCT409" s="121"/>
      <c r="GCU409" s="119"/>
      <c r="GCV409" s="120"/>
      <c r="GCW409" s="120"/>
      <c r="GCX409" s="120"/>
      <c r="GCY409" s="120"/>
      <c r="GCZ409" s="120"/>
      <c r="GDA409" s="121"/>
      <c r="GDB409" s="119"/>
      <c r="GDC409" s="120"/>
      <c r="GDD409" s="120"/>
      <c r="GDE409" s="120"/>
      <c r="GDF409" s="120"/>
      <c r="GDG409" s="120"/>
      <c r="GDH409" s="121"/>
      <c r="GDI409" s="119"/>
      <c r="GDJ409" s="120"/>
      <c r="GDK409" s="120"/>
      <c r="GDL409" s="120"/>
      <c r="GDM409" s="120"/>
      <c r="GDN409" s="120"/>
      <c r="GDO409" s="121"/>
      <c r="GDP409" s="119"/>
      <c r="GDQ409" s="120"/>
      <c r="GDR409" s="120"/>
      <c r="GDS409" s="120"/>
      <c r="GDT409" s="120"/>
      <c r="GDU409" s="120"/>
      <c r="GDV409" s="121"/>
      <c r="GDW409" s="119"/>
      <c r="GDX409" s="120"/>
      <c r="GDY409" s="120"/>
      <c r="GDZ409" s="120"/>
      <c r="GEA409" s="120"/>
      <c r="GEB409" s="120"/>
      <c r="GEC409" s="121"/>
      <c r="GED409" s="119"/>
      <c r="GEE409" s="120"/>
      <c r="GEF409" s="120"/>
      <c r="GEG409" s="120"/>
      <c r="GEH409" s="120"/>
      <c r="GEI409" s="120"/>
      <c r="GEJ409" s="121"/>
      <c r="GEK409" s="119"/>
      <c r="GEL409" s="120"/>
      <c r="GEM409" s="120"/>
      <c r="GEN409" s="120"/>
      <c r="GEO409" s="120"/>
      <c r="GEP409" s="120"/>
      <c r="GEQ409" s="121"/>
      <c r="GER409" s="119"/>
      <c r="GES409" s="120"/>
      <c r="GET409" s="120"/>
      <c r="GEU409" s="120"/>
      <c r="GEV409" s="120"/>
      <c r="GEW409" s="120"/>
      <c r="GEX409" s="121"/>
      <c r="GEY409" s="119"/>
      <c r="GEZ409" s="120"/>
      <c r="GFA409" s="120"/>
      <c r="GFB409" s="120"/>
      <c r="GFC409" s="120"/>
      <c r="GFD409" s="120"/>
      <c r="GFE409" s="121"/>
      <c r="GFF409" s="119"/>
      <c r="GFG409" s="120"/>
      <c r="GFH409" s="120"/>
      <c r="GFI409" s="120"/>
      <c r="GFJ409" s="120"/>
      <c r="GFK409" s="120"/>
      <c r="GFL409" s="121"/>
      <c r="GFM409" s="119"/>
      <c r="GFN409" s="120"/>
      <c r="GFO409" s="120"/>
      <c r="GFP409" s="120"/>
      <c r="GFQ409" s="120"/>
      <c r="GFR409" s="120"/>
      <c r="GFS409" s="121"/>
      <c r="GFT409" s="119"/>
      <c r="GFU409" s="120"/>
      <c r="GFV409" s="120"/>
      <c r="GFW409" s="120"/>
      <c r="GFX409" s="120"/>
      <c r="GFY409" s="120"/>
      <c r="GFZ409" s="121"/>
      <c r="GGA409" s="119"/>
      <c r="GGB409" s="120"/>
      <c r="GGC409" s="120"/>
      <c r="GGD409" s="120"/>
      <c r="GGE409" s="120"/>
      <c r="GGF409" s="120"/>
      <c r="GGG409" s="121"/>
      <c r="GGH409" s="119"/>
      <c r="GGI409" s="120"/>
      <c r="GGJ409" s="120"/>
      <c r="GGK409" s="120"/>
      <c r="GGL409" s="120"/>
      <c r="GGM409" s="120"/>
      <c r="GGN409" s="121"/>
      <c r="GGO409" s="119"/>
      <c r="GGP409" s="120"/>
      <c r="GGQ409" s="120"/>
      <c r="GGR409" s="120"/>
      <c r="GGS409" s="120"/>
      <c r="GGT409" s="120"/>
      <c r="GGU409" s="121"/>
      <c r="GGV409" s="119"/>
      <c r="GGW409" s="120"/>
      <c r="GGX409" s="120"/>
      <c r="GGY409" s="120"/>
      <c r="GGZ409" s="120"/>
      <c r="GHA409" s="120"/>
      <c r="GHB409" s="121"/>
      <c r="GHC409" s="119"/>
      <c r="GHD409" s="120"/>
      <c r="GHE409" s="120"/>
      <c r="GHF409" s="120"/>
      <c r="GHG409" s="120"/>
      <c r="GHH409" s="120"/>
      <c r="GHI409" s="121"/>
      <c r="GHJ409" s="119"/>
      <c r="GHK409" s="120"/>
      <c r="GHL409" s="120"/>
      <c r="GHM409" s="120"/>
      <c r="GHN409" s="120"/>
      <c r="GHO409" s="120"/>
      <c r="GHP409" s="121"/>
      <c r="GHQ409" s="119"/>
      <c r="GHR409" s="120"/>
      <c r="GHS409" s="120"/>
      <c r="GHT409" s="120"/>
      <c r="GHU409" s="120"/>
      <c r="GHV409" s="120"/>
      <c r="GHW409" s="121"/>
      <c r="GHX409" s="119"/>
      <c r="GHY409" s="120"/>
      <c r="GHZ409" s="120"/>
      <c r="GIA409" s="120"/>
      <c r="GIB409" s="120"/>
      <c r="GIC409" s="120"/>
      <c r="GID409" s="121"/>
      <c r="GIE409" s="119"/>
      <c r="GIF409" s="120"/>
      <c r="GIG409" s="120"/>
      <c r="GIH409" s="120"/>
      <c r="GII409" s="120"/>
      <c r="GIJ409" s="120"/>
      <c r="GIK409" s="121"/>
      <c r="GIL409" s="119"/>
      <c r="GIM409" s="120"/>
      <c r="GIN409" s="120"/>
      <c r="GIO409" s="120"/>
      <c r="GIP409" s="120"/>
      <c r="GIQ409" s="120"/>
      <c r="GIR409" s="121"/>
      <c r="GIS409" s="119"/>
      <c r="GIT409" s="120"/>
      <c r="GIU409" s="120"/>
      <c r="GIV409" s="120"/>
      <c r="GIW409" s="120"/>
      <c r="GIX409" s="120"/>
      <c r="GIY409" s="121"/>
      <c r="GIZ409" s="119"/>
      <c r="GJA409" s="120"/>
      <c r="GJB409" s="120"/>
      <c r="GJC409" s="120"/>
      <c r="GJD409" s="120"/>
      <c r="GJE409" s="120"/>
      <c r="GJF409" s="121"/>
      <c r="GJG409" s="119"/>
      <c r="GJH409" s="120"/>
      <c r="GJI409" s="120"/>
      <c r="GJJ409" s="120"/>
      <c r="GJK409" s="120"/>
      <c r="GJL409" s="120"/>
      <c r="GJM409" s="121"/>
      <c r="GJN409" s="119"/>
      <c r="GJO409" s="120"/>
      <c r="GJP409" s="120"/>
      <c r="GJQ409" s="120"/>
      <c r="GJR409" s="120"/>
      <c r="GJS409" s="120"/>
      <c r="GJT409" s="121"/>
      <c r="GJU409" s="119"/>
      <c r="GJV409" s="120"/>
      <c r="GJW409" s="120"/>
      <c r="GJX409" s="120"/>
      <c r="GJY409" s="120"/>
      <c r="GJZ409" s="120"/>
      <c r="GKA409" s="121"/>
      <c r="GKB409" s="119"/>
      <c r="GKC409" s="120"/>
      <c r="GKD409" s="120"/>
      <c r="GKE409" s="120"/>
      <c r="GKF409" s="120"/>
      <c r="GKG409" s="120"/>
      <c r="GKH409" s="121"/>
      <c r="GKI409" s="119"/>
      <c r="GKJ409" s="120"/>
      <c r="GKK409" s="120"/>
      <c r="GKL409" s="120"/>
      <c r="GKM409" s="120"/>
      <c r="GKN409" s="120"/>
      <c r="GKO409" s="121"/>
      <c r="GKP409" s="119"/>
      <c r="GKQ409" s="120"/>
      <c r="GKR409" s="120"/>
      <c r="GKS409" s="120"/>
      <c r="GKT409" s="120"/>
      <c r="GKU409" s="120"/>
      <c r="GKV409" s="121"/>
      <c r="GKW409" s="119"/>
      <c r="GKX409" s="120"/>
      <c r="GKY409" s="120"/>
      <c r="GKZ409" s="120"/>
      <c r="GLA409" s="120"/>
      <c r="GLB409" s="120"/>
      <c r="GLC409" s="121"/>
      <c r="GLD409" s="119"/>
      <c r="GLE409" s="120"/>
      <c r="GLF409" s="120"/>
      <c r="GLG409" s="120"/>
      <c r="GLH409" s="120"/>
      <c r="GLI409" s="120"/>
      <c r="GLJ409" s="121"/>
      <c r="GLK409" s="119"/>
      <c r="GLL409" s="120"/>
      <c r="GLM409" s="120"/>
      <c r="GLN409" s="120"/>
      <c r="GLO409" s="120"/>
      <c r="GLP409" s="120"/>
      <c r="GLQ409" s="121"/>
      <c r="GLR409" s="119"/>
      <c r="GLS409" s="120"/>
      <c r="GLT409" s="120"/>
      <c r="GLU409" s="120"/>
      <c r="GLV409" s="120"/>
      <c r="GLW409" s="120"/>
      <c r="GLX409" s="121"/>
      <c r="GLY409" s="119"/>
      <c r="GLZ409" s="120"/>
      <c r="GMA409" s="120"/>
      <c r="GMB409" s="120"/>
      <c r="GMC409" s="120"/>
      <c r="GMD409" s="120"/>
      <c r="GME409" s="121"/>
      <c r="GMF409" s="119"/>
      <c r="GMG409" s="120"/>
      <c r="GMH409" s="120"/>
      <c r="GMI409" s="120"/>
      <c r="GMJ409" s="120"/>
      <c r="GMK409" s="120"/>
      <c r="GML409" s="121"/>
      <c r="GMM409" s="119"/>
      <c r="GMN409" s="120"/>
      <c r="GMO409" s="120"/>
      <c r="GMP409" s="120"/>
      <c r="GMQ409" s="120"/>
      <c r="GMR409" s="120"/>
      <c r="GMS409" s="121"/>
      <c r="GMT409" s="119"/>
      <c r="GMU409" s="120"/>
      <c r="GMV409" s="120"/>
      <c r="GMW409" s="120"/>
      <c r="GMX409" s="120"/>
      <c r="GMY409" s="120"/>
      <c r="GMZ409" s="121"/>
      <c r="GNA409" s="119"/>
      <c r="GNB409" s="120"/>
      <c r="GNC409" s="120"/>
      <c r="GND409" s="120"/>
      <c r="GNE409" s="120"/>
      <c r="GNF409" s="120"/>
      <c r="GNG409" s="121"/>
      <c r="GNH409" s="119"/>
      <c r="GNI409" s="120"/>
      <c r="GNJ409" s="120"/>
      <c r="GNK409" s="120"/>
      <c r="GNL409" s="120"/>
      <c r="GNM409" s="120"/>
      <c r="GNN409" s="121"/>
      <c r="GNO409" s="119"/>
      <c r="GNP409" s="120"/>
      <c r="GNQ409" s="120"/>
      <c r="GNR409" s="120"/>
      <c r="GNS409" s="120"/>
      <c r="GNT409" s="120"/>
      <c r="GNU409" s="121"/>
      <c r="GNV409" s="119"/>
      <c r="GNW409" s="120"/>
      <c r="GNX409" s="120"/>
      <c r="GNY409" s="120"/>
      <c r="GNZ409" s="120"/>
      <c r="GOA409" s="120"/>
      <c r="GOB409" s="121"/>
      <c r="GOC409" s="119"/>
      <c r="GOD409" s="120"/>
      <c r="GOE409" s="120"/>
      <c r="GOF409" s="120"/>
      <c r="GOG409" s="120"/>
      <c r="GOH409" s="120"/>
      <c r="GOI409" s="121"/>
      <c r="GOJ409" s="119"/>
      <c r="GOK409" s="120"/>
      <c r="GOL409" s="120"/>
      <c r="GOM409" s="120"/>
      <c r="GON409" s="120"/>
      <c r="GOO409" s="120"/>
      <c r="GOP409" s="121"/>
      <c r="GOQ409" s="119"/>
      <c r="GOR409" s="120"/>
      <c r="GOS409" s="120"/>
      <c r="GOT409" s="120"/>
      <c r="GOU409" s="120"/>
      <c r="GOV409" s="120"/>
      <c r="GOW409" s="121"/>
      <c r="GOX409" s="119"/>
      <c r="GOY409" s="120"/>
      <c r="GOZ409" s="120"/>
      <c r="GPA409" s="120"/>
      <c r="GPB409" s="120"/>
      <c r="GPC409" s="120"/>
      <c r="GPD409" s="121"/>
      <c r="GPE409" s="119"/>
      <c r="GPF409" s="120"/>
      <c r="GPG409" s="120"/>
      <c r="GPH409" s="120"/>
      <c r="GPI409" s="120"/>
      <c r="GPJ409" s="120"/>
      <c r="GPK409" s="121"/>
      <c r="GPL409" s="119"/>
      <c r="GPM409" s="120"/>
      <c r="GPN409" s="120"/>
      <c r="GPO409" s="120"/>
      <c r="GPP409" s="120"/>
      <c r="GPQ409" s="120"/>
      <c r="GPR409" s="121"/>
      <c r="GPS409" s="119"/>
      <c r="GPT409" s="120"/>
      <c r="GPU409" s="120"/>
      <c r="GPV409" s="120"/>
      <c r="GPW409" s="120"/>
      <c r="GPX409" s="120"/>
      <c r="GPY409" s="121"/>
      <c r="GPZ409" s="119"/>
      <c r="GQA409" s="120"/>
      <c r="GQB409" s="120"/>
      <c r="GQC409" s="120"/>
      <c r="GQD409" s="120"/>
      <c r="GQE409" s="120"/>
      <c r="GQF409" s="121"/>
      <c r="GQG409" s="119"/>
      <c r="GQH409" s="120"/>
      <c r="GQI409" s="120"/>
      <c r="GQJ409" s="120"/>
      <c r="GQK409" s="120"/>
      <c r="GQL409" s="120"/>
      <c r="GQM409" s="121"/>
      <c r="GQN409" s="119"/>
      <c r="GQO409" s="120"/>
      <c r="GQP409" s="120"/>
      <c r="GQQ409" s="120"/>
      <c r="GQR409" s="120"/>
      <c r="GQS409" s="120"/>
      <c r="GQT409" s="121"/>
      <c r="GQU409" s="119"/>
      <c r="GQV409" s="120"/>
      <c r="GQW409" s="120"/>
      <c r="GQX409" s="120"/>
      <c r="GQY409" s="120"/>
      <c r="GQZ409" s="120"/>
      <c r="GRA409" s="121"/>
      <c r="GRB409" s="119"/>
      <c r="GRC409" s="120"/>
      <c r="GRD409" s="120"/>
      <c r="GRE409" s="120"/>
      <c r="GRF409" s="120"/>
      <c r="GRG409" s="120"/>
      <c r="GRH409" s="121"/>
      <c r="GRI409" s="119"/>
      <c r="GRJ409" s="120"/>
      <c r="GRK409" s="120"/>
      <c r="GRL409" s="120"/>
      <c r="GRM409" s="120"/>
      <c r="GRN409" s="120"/>
      <c r="GRO409" s="121"/>
      <c r="GRP409" s="119"/>
      <c r="GRQ409" s="120"/>
      <c r="GRR409" s="120"/>
      <c r="GRS409" s="120"/>
      <c r="GRT409" s="120"/>
      <c r="GRU409" s="120"/>
      <c r="GRV409" s="121"/>
      <c r="GRW409" s="119"/>
      <c r="GRX409" s="120"/>
      <c r="GRY409" s="120"/>
      <c r="GRZ409" s="120"/>
      <c r="GSA409" s="120"/>
      <c r="GSB409" s="120"/>
      <c r="GSC409" s="121"/>
      <c r="GSD409" s="119"/>
      <c r="GSE409" s="120"/>
      <c r="GSF409" s="120"/>
      <c r="GSG409" s="120"/>
      <c r="GSH409" s="120"/>
      <c r="GSI409" s="120"/>
      <c r="GSJ409" s="121"/>
      <c r="GSK409" s="119"/>
      <c r="GSL409" s="120"/>
      <c r="GSM409" s="120"/>
      <c r="GSN409" s="120"/>
      <c r="GSO409" s="120"/>
      <c r="GSP409" s="120"/>
      <c r="GSQ409" s="121"/>
      <c r="GSR409" s="119"/>
      <c r="GSS409" s="120"/>
      <c r="GST409" s="120"/>
      <c r="GSU409" s="120"/>
      <c r="GSV409" s="120"/>
      <c r="GSW409" s="120"/>
      <c r="GSX409" s="121"/>
      <c r="GSY409" s="119"/>
      <c r="GSZ409" s="120"/>
      <c r="GTA409" s="120"/>
      <c r="GTB409" s="120"/>
      <c r="GTC409" s="120"/>
      <c r="GTD409" s="120"/>
      <c r="GTE409" s="121"/>
      <c r="GTF409" s="119"/>
      <c r="GTG409" s="120"/>
      <c r="GTH409" s="120"/>
      <c r="GTI409" s="120"/>
      <c r="GTJ409" s="120"/>
      <c r="GTK409" s="120"/>
      <c r="GTL409" s="121"/>
      <c r="GTM409" s="119"/>
      <c r="GTN409" s="120"/>
      <c r="GTO409" s="120"/>
      <c r="GTP409" s="120"/>
      <c r="GTQ409" s="120"/>
      <c r="GTR409" s="120"/>
      <c r="GTS409" s="121"/>
      <c r="GTT409" s="119"/>
      <c r="GTU409" s="120"/>
      <c r="GTV409" s="120"/>
      <c r="GTW409" s="120"/>
      <c r="GTX409" s="120"/>
      <c r="GTY409" s="120"/>
      <c r="GTZ409" s="121"/>
      <c r="GUA409" s="119"/>
      <c r="GUB409" s="120"/>
      <c r="GUC409" s="120"/>
      <c r="GUD409" s="120"/>
      <c r="GUE409" s="120"/>
      <c r="GUF409" s="120"/>
      <c r="GUG409" s="121"/>
      <c r="GUH409" s="119"/>
      <c r="GUI409" s="120"/>
      <c r="GUJ409" s="120"/>
      <c r="GUK409" s="120"/>
      <c r="GUL409" s="120"/>
      <c r="GUM409" s="120"/>
      <c r="GUN409" s="121"/>
      <c r="GUO409" s="119"/>
      <c r="GUP409" s="120"/>
      <c r="GUQ409" s="120"/>
      <c r="GUR409" s="120"/>
      <c r="GUS409" s="120"/>
      <c r="GUT409" s="120"/>
      <c r="GUU409" s="121"/>
      <c r="GUV409" s="119"/>
      <c r="GUW409" s="120"/>
      <c r="GUX409" s="120"/>
      <c r="GUY409" s="120"/>
      <c r="GUZ409" s="120"/>
      <c r="GVA409" s="120"/>
      <c r="GVB409" s="121"/>
      <c r="GVC409" s="119"/>
      <c r="GVD409" s="120"/>
      <c r="GVE409" s="120"/>
      <c r="GVF409" s="120"/>
      <c r="GVG409" s="120"/>
      <c r="GVH409" s="120"/>
      <c r="GVI409" s="121"/>
      <c r="GVJ409" s="119"/>
      <c r="GVK409" s="120"/>
      <c r="GVL409" s="120"/>
      <c r="GVM409" s="120"/>
      <c r="GVN409" s="120"/>
      <c r="GVO409" s="120"/>
      <c r="GVP409" s="121"/>
      <c r="GVQ409" s="119"/>
      <c r="GVR409" s="120"/>
      <c r="GVS409" s="120"/>
      <c r="GVT409" s="120"/>
      <c r="GVU409" s="120"/>
      <c r="GVV409" s="120"/>
      <c r="GVW409" s="121"/>
      <c r="GVX409" s="119"/>
      <c r="GVY409" s="120"/>
      <c r="GVZ409" s="120"/>
      <c r="GWA409" s="120"/>
      <c r="GWB409" s="120"/>
      <c r="GWC409" s="120"/>
      <c r="GWD409" s="121"/>
      <c r="GWE409" s="119"/>
      <c r="GWF409" s="120"/>
      <c r="GWG409" s="120"/>
      <c r="GWH409" s="120"/>
      <c r="GWI409" s="120"/>
      <c r="GWJ409" s="120"/>
      <c r="GWK409" s="121"/>
      <c r="GWL409" s="119"/>
      <c r="GWM409" s="120"/>
      <c r="GWN409" s="120"/>
      <c r="GWO409" s="120"/>
      <c r="GWP409" s="120"/>
      <c r="GWQ409" s="120"/>
      <c r="GWR409" s="121"/>
      <c r="GWS409" s="119"/>
      <c r="GWT409" s="120"/>
      <c r="GWU409" s="120"/>
      <c r="GWV409" s="120"/>
      <c r="GWW409" s="120"/>
      <c r="GWX409" s="120"/>
      <c r="GWY409" s="121"/>
      <c r="GWZ409" s="119"/>
      <c r="GXA409" s="120"/>
      <c r="GXB409" s="120"/>
      <c r="GXC409" s="120"/>
      <c r="GXD409" s="120"/>
      <c r="GXE409" s="120"/>
      <c r="GXF409" s="121"/>
      <c r="GXG409" s="119"/>
      <c r="GXH409" s="120"/>
      <c r="GXI409" s="120"/>
      <c r="GXJ409" s="120"/>
      <c r="GXK409" s="120"/>
      <c r="GXL409" s="120"/>
      <c r="GXM409" s="121"/>
      <c r="GXN409" s="119"/>
      <c r="GXO409" s="120"/>
      <c r="GXP409" s="120"/>
      <c r="GXQ409" s="120"/>
      <c r="GXR409" s="120"/>
      <c r="GXS409" s="120"/>
      <c r="GXT409" s="121"/>
      <c r="GXU409" s="119"/>
      <c r="GXV409" s="120"/>
      <c r="GXW409" s="120"/>
      <c r="GXX409" s="120"/>
      <c r="GXY409" s="120"/>
      <c r="GXZ409" s="120"/>
      <c r="GYA409" s="121"/>
      <c r="GYB409" s="119"/>
      <c r="GYC409" s="120"/>
      <c r="GYD409" s="120"/>
      <c r="GYE409" s="120"/>
      <c r="GYF409" s="120"/>
      <c r="GYG409" s="120"/>
      <c r="GYH409" s="121"/>
      <c r="GYI409" s="119"/>
      <c r="GYJ409" s="120"/>
      <c r="GYK409" s="120"/>
      <c r="GYL409" s="120"/>
      <c r="GYM409" s="120"/>
      <c r="GYN409" s="120"/>
      <c r="GYO409" s="121"/>
      <c r="GYP409" s="119"/>
      <c r="GYQ409" s="120"/>
      <c r="GYR409" s="120"/>
      <c r="GYS409" s="120"/>
      <c r="GYT409" s="120"/>
      <c r="GYU409" s="120"/>
      <c r="GYV409" s="121"/>
      <c r="GYW409" s="119"/>
      <c r="GYX409" s="120"/>
      <c r="GYY409" s="120"/>
      <c r="GYZ409" s="120"/>
      <c r="GZA409" s="120"/>
      <c r="GZB409" s="120"/>
      <c r="GZC409" s="121"/>
      <c r="GZD409" s="119"/>
      <c r="GZE409" s="120"/>
      <c r="GZF409" s="120"/>
      <c r="GZG409" s="120"/>
      <c r="GZH409" s="120"/>
      <c r="GZI409" s="120"/>
      <c r="GZJ409" s="121"/>
      <c r="GZK409" s="119"/>
      <c r="GZL409" s="120"/>
      <c r="GZM409" s="120"/>
      <c r="GZN409" s="120"/>
      <c r="GZO409" s="120"/>
      <c r="GZP409" s="120"/>
      <c r="GZQ409" s="121"/>
      <c r="GZR409" s="119"/>
      <c r="GZS409" s="120"/>
      <c r="GZT409" s="120"/>
      <c r="GZU409" s="120"/>
      <c r="GZV409" s="120"/>
      <c r="GZW409" s="120"/>
      <c r="GZX409" s="121"/>
      <c r="GZY409" s="119"/>
      <c r="GZZ409" s="120"/>
      <c r="HAA409" s="120"/>
      <c r="HAB409" s="120"/>
      <c r="HAC409" s="120"/>
      <c r="HAD409" s="120"/>
      <c r="HAE409" s="121"/>
      <c r="HAF409" s="119"/>
      <c r="HAG409" s="120"/>
      <c r="HAH409" s="120"/>
      <c r="HAI409" s="120"/>
      <c r="HAJ409" s="120"/>
      <c r="HAK409" s="120"/>
      <c r="HAL409" s="121"/>
      <c r="HAM409" s="119"/>
      <c r="HAN409" s="120"/>
      <c r="HAO409" s="120"/>
      <c r="HAP409" s="120"/>
      <c r="HAQ409" s="120"/>
      <c r="HAR409" s="120"/>
      <c r="HAS409" s="121"/>
      <c r="HAT409" s="119"/>
      <c r="HAU409" s="120"/>
      <c r="HAV409" s="120"/>
      <c r="HAW409" s="120"/>
      <c r="HAX409" s="120"/>
      <c r="HAY409" s="120"/>
      <c r="HAZ409" s="121"/>
      <c r="HBA409" s="119"/>
      <c r="HBB409" s="120"/>
      <c r="HBC409" s="120"/>
      <c r="HBD409" s="120"/>
      <c r="HBE409" s="120"/>
      <c r="HBF409" s="120"/>
      <c r="HBG409" s="121"/>
      <c r="HBH409" s="119"/>
      <c r="HBI409" s="120"/>
      <c r="HBJ409" s="120"/>
      <c r="HBK409" s="120"/>
      <c r="HBL409" s="120"/>
      <c r="HBM409" s="120"/>
      <c r="HBN409" s="121"/>
      <c r="HBO409" s="119"/>
      <c r="HBP409" s="120"/>
      <c r="HBQ409" s="120"/>
      <c r="HBR409" s="120"/>
      <c r="HBS409" s="120"/>
      <c r="HBT409" s="120"/>
      <c r="HBU409" s="121"/>
      <c r="HBV409" s="119"/>
      <c r="HBW409" s="120"/>
      <c r="HBX409" s="120"/>
      <c r="HBY409" s="120"/>
      <c r="HBZ409" s="120"/>
      <c r="HCA409" s="120"/>
      <c r="HCB409" s="121"/>
      <c r="HCC409" s="119"/>
      <c r="HCD409" s="120"/>
      <c r="HCE409" s="120"/>
      <c r="HCF409" s="120"/>
      <c r="HCG409" s="120"/>
      <c r="HCH409" s="120"/>
      <c r="HCI409" s="121"/>
      <c r="HCJ409" s="119"/>
      <c r="HCK409" s="120"/>
      <c r="HCL409" s="120"/>
      <c r="HCM409" s="120"/>
      <c r="HCN409" s="120"/>
      <c r="HCO409" s="120"/>
      <c r="HCP409" s="121"/>
      <c r="HCQ409" s="119"/>
      <c r="HCR409" s="120"/>
      <c r="HCS409" s="120"/>
      <c r="HCT409" s="120"/>
      <c r="HCU409" s="120"/>
      <c r="HCV409" s="120"/>
      <c r="HCW409" s="121"/>
      <c r="HCX409" s="119"/>
      <c r="HCY409" s="120"/>
      <c r="HCZ409" s="120"/>
      <c r="HDA409" s="120"/>
      <c r="HDB409" s="120"/>
      <c r="HDC409" s="120"/>
      <c r="HDD409" s="121"/>
      <c r="HDE409" s="119"/>
      <c r="HDF409" s="120"/>
      <c r="HDG409" s="120"/>
      <c r="HDH409" s="120"/>
      <c r="HDI409" s="120"/>
      <c r="HDJ409" s="120"/>
      <c r="HDK409" s="121"/>
      <c r="HDL409" s="119"/>
      <c r="HDM409" s="120"/>
      <c r="HDN409" s="120"/>
      <c r="HDO409" s="120"/>
      <c r="HDP409" s="120"/>
      <c r="HDQ409" s="120"/>
      <c r="HDR409" s="121"/>
      <c r="HDS409" s="119"/>
      <c r="HDT409" s="120"/>
      <c r="HDU409" s="120"/>
      <c r="HDV409" s="120"/>
      <c r="HDW409" s="120"/>
      <c r="HDX409" s="120"/>
      <c r="HDY409" s="121"/>
      <c r="HDZ409" s="119"/>
      <c r="HEA409" s="120"/>
      <c r="HEB409" s="120"/>
      <c r="HEC409" s="120"/>
      <c r="HED409" s="120"/>
      <c r="HEE409" s="120"/>
      <c r="HEF409" s="121"/>
      <c r="HEG409" s="119"/>
      <c r="HEH409" s="120"/>
      <c r="HEI409" s="120"/>
      <c r="HEJ409" s="120"/>
      <c r="HEK409" s="120"/>
      <c r="HEL409" s="120"/>
      <c r="HEM409" s="121"/>
      <c r="HEN409" s="119"/>
      <c r="HEO409" s="120"/>
      <c r="HEP409" s="120"/>
      <c r="HEQ409" s="120"/>
      <c r="HER409" s="120"/>
      <c r="HES409" s="120"/>
      <c r="HET409" s="121"/>
      <c r="HEU409" s="119"/>
      <c r="HEV409" s="120"/>
      <c r="HEW409" s="120"/>
      <c r="HEX409" s="120"/>
      <c r="HEY409" s="120"/>
      <c r="HEZ409" s="120"/>
      <c r="HFA409" s="121"/>
      <c r="HFB409" s="119"/>
      <c r="HFC409" s="120"/>
      <c r="HFD409" s="120"/>
      <c r="HFE409" s="120"/>
      <c r="HFF409" s="120"/>
      <c r="HFG409" s="120"/>
      <c r="HFH409" s="121"/>
      <c r="HFI409" s="119"/>
      <c r="HFJ409" s="120"/>
      <c r="HFK409" s="120"/>
      <c r="HFL409" s="120"/>
      <c r="HFM409" s="120"/>
      <c r="HFN409" s="120"/>
      <c r="HFO409" s="121"/>
      <c r="HFP409" s="119"/>
      <c r="HFQ409" s="120"/>
      <c r="HFR409" s="120"/>
      <c r="HFS409" s="120"/>
      <c r="HFT409" s="120"/>
      <c r="HFU409" s="120"/>
      <c r="HFV409" s="121"/>
      <c r="HFW409" s="119"/>
      <c r="HFX409" s="120"/>
      <c r="HFY409" s="120"/>
      <c r="HFZ409" s="120"/>
      <c r="HGA409" s="120"/>
      <c r="HGB409" s="120"/>
      <c r="HGC409" s="121"/>
      <c r="HGD409" s="119"/>
      <c r="HGE409" s="120"/>
      <c r="HGF409" s="120"/>
      <c r="HGG409" s="120"/>
      <c r="HGH409" s="120"/>
      <c r="HGI409" s="120"/>
      <c r="HGJ409" s="121"/>
      <c r="HGK409" s="119"/>
      <c r="HGL409" s="120"/>
      <c r="HGM409" s="120"/>
      <c r="HGN409" s="120"/>
      <c r="HGO409" s="120"/>
      <c r="HGP409" s="120"/>
      <c r="HGQ409" s="121"/>
      <c r="HGR409" s="119"/>
      <c r="HGS409" s="120"/>
      <c r="HGT409" s="120"/>
      <c r="HGU409" s="120"/>
      <c r="HGV409" s="120"/>
      <c r="HGW409" s="120"/>
      <c r="HGX409" s="121"/>
      <c r="HGY409" s="119"/>
      <c r="HGZ409" s="120"/>
      <c r="HHA409" s="120"/>
      <c r="HHB409" s="120"/>
      <c r="HHC409" s="120"/>
      <c r="HHD409" s="120"/>
      <c r="HHE409" s="121"/>
      <c r="HHF409" s="119"/>
      <c r="HHG409" s="120"/>
      <c r="HHH409" s="120"/>
      <c r="HHI409" s="120"/>
      <c r="HHJ409" s="120"/>
      <c r="HHK409" s="120"/>
      <c r="HHL409" s="121"/>
      <c r="HHM409" s="119"/>
      <c r="HHN409" s="120"/>
      <c r="HHO409" s="120"/>
      <c r="HHP409" s="120"/>
      <c r="HHQ409" s="120"/>
      <c r="HHR409" s="120"/>
      <c r="HHS409" s="121"/>
      <c r="HHT409" s="119"/>
      <c r="HHU409" s="120"/>
      <c r="HHV409" s="120"/>
      <c r="HHW409" s="120"/>
      <c r="HHX409" s="120"/>
      <c r="HHY409" s="120"/>
      <c r="HHZ409" s="121"/>
      <c r="HIA409" s="119"/>
      <c r="HIB409" s="120"/>
      <c r="HIC409" s="120"/>
      <c r="HID409" s="120"/>
      <c r="HIE409" s="120"/>
      <c r="HIF409" s="120"/>
      <c r="HIG409" s="121"/>
      <c r="HIH409" s="119"/>
      <c r="HII409" s="120"/>
      <c r="HIJ409" s="120"/>
      <c r="HIK409" s="120"/>
      <c r="HIL409" s="120"/>
      <c r="HIM409" s="120"/>
      <c r="HIN409" s="121"/>
      <c r="HIO409" s="119"/>
      <c r="HIP409" s="120"/>
      <c r="HIQ409" s="120"/>
      <c r="HIR409" s="120"/>
      <c r="HIS409" s="120"/>
      <c r="HIT409" s="120"/>
      <c r="HIU409" s="121"/>
      <c r="HIV409" s="119"/>
      <c r="HIW409" s="120"/>
      <c r="HIX409" s="120"/>
      <c r="HIY409" s="120"/>
      <c r="HIZ409" s="120"/>
      <c r="HJA409" s="120"/>
      <c r="HJB409" s="121"/>
      <c r="HJC409" s="119"/>
      <c r="HJD409" s="120"/>
      <c r="HJE409" s="120"/>
      <c r="HJF409" s="120"/>
      <c r="HJG409" s="120"/>
      <c r="HJH409" s="120"/>
      <c r="HJI409" s="121"/>
      <c r="HJJ409" s="119"/>
      <c r="HJK409" s="120"/>
      <c r="HJL409" s="120"/>
      <c r="HJM409" s="120"/>
      <c r="HJN409" s="120"/>
      <c r="HJO409" s="120"/>
      <c r="HJP409" s="121"/>
      <c r="HJQ409" s="119"/>
      <c r="HJR409" s="120"/>
      <c r="HJS409" s="120"/>
      <c r="HJT409" s="120"/>
      <c r="HJU409" s="120"/>
      <c r="HJV409" s="120"/>
      <c r="HJW409" s="121"/>
      <c r="HJX409" s="119"/>
      <c r="HJY409" s="120"/>
      <c r="HJZ409" s="120"/>
      <c r="HKA409" s="120"/>
      <c r="HKB409" s="120"/>
      <c r="HKC409" s="120"/>
      <c r="HKD409" s="121"/>
      <c r="HKE409" s="119"/>
      <c r="HKF409" s="120"/>
      <c r="HKG409" s="120"/>
      <c r="HKH409" s="120"/>
      <c r="HKI409" s="120"/>
      <c r="HKJ409" s="120"/>
      <c r="HKK409" s="121"/>
      <c r="HKL409" s="119"/>
      <c r="HKM409" s="120"/>
      <c r="HKN409" s="120"/>
      <c r="HKO409" s="120"/>
      <c r="HKP409" s="120"/>
      <c r="HKQ409" s="120"/>
      <c r="HKR409" s="121"/>
      <c r="HKS409" s="119"/>
      <c r="HKT409" s="120"/>
      <c r="HKU409" s="120"/>
      <c r="HKV409" s="120"/>
      <c r="HKW409" s="120"/>
      <c r="HKX409" s="120"/>
      <c r="HKY409" s="121"/>
      <c r="HKZ409" s="119"/>
      <c r="HLA409" s="120"/>
      <c r="HLB409" s="120"/>
      <c r="HLC409" s="120"/>
      <c r="HLD409" s="120"/>
      <c r="HLE409" s="120"/>
      <c r="HLF409" s="121"/>
      <c r="HLG409" s="119"/>
      <c r="HLH409" s="120"/>
      <c r="HLI409" s="120"/>
      <c r="HLJ409" s="120"/>
      <c r="HLK409" s="120"/>
      <c r="HLL409" s="120"/>
      <c r="HLM409" s="121"/>
      <c r="HLN409" s="119"/>
      <c r="HLO409" s="120"/>
      <c r="HLP409" s="120"/>
      <c r="HLQ409" s="120"/>
      <c r="HLR409" s="120"/>
      <c r="HLS409" s="120"/>
      <c r="HLT409" s="121"/>
      <c r="HLU409" s="119"/>
      <c r="HLV409" s="120"/>
      <c r="HLW409" s="120"/>
      <c r="HLX409" s="120"/>
      <c r="HLY409" s="120"/>
      <c r="HLZ409" s="120"/>
      <c r="HMA409" s="121"/>
      <c r="HMB409" s="119"/>
      <c r="HMC409" s="120"/>
      <c r="HMD409" s="120"/>
      <c r="HME409" s="120"/>
      <c r="HMF409" s="120"/>
      <c r="HMG409" s="120"/>
      <c r="HMH409" s="121"/>
      <c r="HMI409" s="119"/>
      <c r="HMJ409" s="120"/>
      <c r="HMK409" s="120"/>
      <c r="HML409" s="120"/>
      <c r="HMM409" s="120"/>
      <c r="HMN409" s="120"/>
      <c r="HMO409" s="121"/>
      <c r="HMP409" s="119"/>
      <c r="HMQ409" s="120"/>
      <c r="HMR409" s="120"/>
      <c r="HMS409" s="120"/>
      <c r="HMT409" s="120"/>
      <c r="HMU409" s="120"/>
      <c r="HMV409" s="121"/>
      <c r="HMW409" s="119"/>
      <c r="HMX409" s="120"/>
      <c r="HMY409" s="120"/>
      <c r="HMZ409" s="120"/>
      <c r="HNA409" s="120"/>
      <c r="HNB409" s="120"/>
      <c r="HNC409" s="121"/>
      <c r="HND409" s="119"/>
      <c r="HNE409" s="120"/>
      <c r="HNF409" s="120"/>
      <c r="HNG409" s="120"/>
      <c r="HNH409" s="120"/>
      <c r="HNI409" s="120"/>
      <c r="HNJ409" s="121"/>
      <c r="HNK409" s="119"/>
      <c r="HNL409" s="120"/>
      <c r="HNM409" s="120"/>
      <c r="HNN409" s="120"/>
      <c r="HNO409" s="120"/>
      <c r="HNP409" s="120"/>
      <c r="HNQ409" s="121"/>
      <c r="HNR409" s="119"/>
      <c r="HNS409" s="120"/>
      <c r="HNT409" s="120"/>
      <c r="HNU409" s="120"/>
      <c r="HNV409" s="120"/>
      <c r="HNW409" s="120"/>
      <c r="HNX409" s="121"/>
      <c r="HNY409" s="119"/>
      <c r="HNZ409" s="120"/>
      <c r="HOA409" s="120"/>
      <c r="HOB409" s="120"/>
      <c r="HOC409" s="120"/>
      <c r="HOD409" s="120"/>
      <c r="HOE409" s="121"/>
      <c r="HOF409" s="119"/>
      <c r="HOG409" s="120"/>
      <c r="HOH409" s="120"/>
      <c r="HOI409" s="120"/>
      <c r="HOJ409" s="120"/>
      <c r="HOK409" s="120"/>
      <c r="HOL409" s="121"/>
      <c r="HOM409" s="119"/>
      <c r="HON409" s="120"/>
      <c r="HOO409" s="120"/>
      <c r="HOP409" s="120"/>
      <c r="HOQ409" s="120"/>
      <c r="HOR409" s="120"/>
      <c r="HOS409" s="121"/>
      <c r="HOT409" s="119"/>
      <c r="HOU409" s="120"/>
      <c r="HOV409" s="120"/>
      <c r="HOW409" s="120"/>
      <c r="HOX409" s="120"/>
      <c r="HOY409" s="120"/>
      <c r="HOZ409" s="121"/>
      <c r="HPA409" s="119"/>
      <c r="HPB409" s="120"/>
      <c r="HPC409" s="120"/>
      <c r="HPD409" s="120"/>
      <c r="HPE409" s="120"/>
      <c r="HPF409" s="120"/>
      <c r="HPG409" s="121"/>
      <c r="HPH409" s="119"/>
      <c r="HPI409" s="120"/>
      <c r="HPJ409" s="120"/>
      <c r="HPK409" s="120"/>
      <c r="HPL409" s="120"/>
      <c r="HPM409" s="120"/>
      <c r="HPN409" s="121"/>
      <c r="HPO409" s="119"/>
      <c r="HPP409" s="120"/>
      <c r="HPQ409" s="120"/>
      <c r="HPR409" s="120"/>
      <c r="HPS409" s="120"/>
      <c r="HPT409" s="120"/>
      <c r="HPU409" s="121"/>
      <c r="HPV409" s="119"/>
      <c r="HPW409" s="120"/>
      <c r="HPX409" s="120"/>
      <c r="HPY409" s="120"/>
      <c r="HPZ409" s="120"/>
      <c r="HQA409" s="120"/>
      <c r="HQB409" s="121"/>
      <c r="HQC409" s="119"/>
      <c r="HQD409" s="120"/>
      <c r="HQE409" s="120"/>
      <c r="HQF409" s="120"/>
      <c r="HQG409" s="120"/>
      <c r="HQH409" s="120"/>
      <c r="HQI409" s="121"/>
      <c r="HQJ409" s="119"/>
      <c r="HQK409" s="120"/>
      <c r="HQL409" s="120"/>
      <c r="HQM409" s="120"/>
      <c r="HQN409" s="120"/>
      <c r="HQO409" s="120"/>
      <c r="HQP409" s="121"/>
      <c r="HQQ409" s="119"/>
      <c r="HQR409" s="120"/>
      <c r="HQS409" s="120"/>
      <c r="HQT409" s="120"/>
      <c r="HQU409" s="120"/>
      <c r="HQV409" s="120"/>
      <c r="HQW409" s="121"/>
      <c r="HQX409" s="119"/>
      <c r="HQY409" s="120"/>
      <c r="HQZ409" s="120"/>
      <c r="HRA409" s="120"/>
      <c r="HRB409" s="120"/>
      <c r="HRC409" s="120"/>
      <c r="HRD409" s="121"/>
      <c r="HRE409" s="119"/>
      <c r="HRF409" s="120"/>
      <c r="HRG409" s="120"/>
      <c r="HRH409" s="120"/>
      <c r="HRI409" s="120"/>
      <c r="HRJ409" s="120"/>
      <c r="HRK409" s="121"/>
      <c r="HRL409" s="119"/>
      <c r="HRM409" s="120"/>
      <c r="HRN409" s="120"/>
      <c r="HRO409" s="120"/>
      <c r="HRP409" s="120"/>
      <c r="HRQ409" s="120"/>
      <c r="HRR409" s="121"/>
      <c r="HRS409" s="119"/>
      <c r="HRT409" s="120"/>
      <c r="HRU409" s="120"/>
      <c r="HRV409" s="120"/>
      <c r="HRW409" s="120"/>
      <c r="HRX409" s="120"/>
      <c r="HRY409" s="121"/>
      <c r="HRZ409" s="119"/>
      <c r="HSA409" s="120"/>
      <c r="HSB409" s="120"/>
      <c r="HSC409" s="120"/>
      <c r="HSD409" s="120"/>
      <c r="HSE409" s="120"/>
      <c r="HSF409" s="121"/>
      <c r="HSG409" s="119"/>
      <c r="HSH409" s="120"/>
      <c r="HSI409" s="120"/>
      <c r="HSJ409" s="120"/>
      <c r="HSK409" s="120"/>
      <c r="HSL409" s="120"/>
      <c r="HSM409" s="121"/>
      <c r="HSN409" s="119"/>
      <c r="HSO409" s="120"/>
      <c r="HSP409" s="120"/>
      <c r="HSQ409" s="120"/>
      <c r="HSR409" s="120"/>
      <c r="HSS409" s="120"/>
      <c r="HST409" s="121"/>
      <c r="HSU409" s="119"/>
      <c r="HSV409" s="120"/>
      <c r="HSW409" s="120"/>
      <c r="HSX409" s="120"/>
      <c r="HSY409" s="120"/>
      <c r="HSZ409" s="120"/>
      <c r="HTA409" s="121"/>
      <c r="HTB409" s="119"/>
      <c r="HTC409" s="120"/>
      <c r="HTD409" s="120"/>
      <c r="HTE409" s="120"/>
      <c r="HTF409" s="120"/>
      <c r="HTG409" s="120"/>
      <c r="HTH409" s="121"/>
      <c r="HTI409" s="119"/>
      <c r="HTJ409" s="120"/>
      <c r="HTK409" s="120"/>
      <c r="HTL409" s="120"/>
      <c r="HTM409" s="120"/>
      <c r="HTN409" s="120"/>
      <c r="HTO409" s="121"/>
      <c r="HTP409" s="119"/>
      <c r="HTQ409" s="120"/>
      <c r="HTR409" s="120"/>
      <c r="HTS409" s="120"/>
      <c r="HTT409" s="120"/>
      <c r="HTU409" s="120"/>
      <c r="HTV409" s="121"/>
      <c r="HTW409" s="119"/>
      <c r="HTX409" s="120"/>
      <c r="HTY409" s="120"/>
      <c r="HTZ409" s="120"/>
      <c r="HUA409" s="120"/>
      <c r="HUB409" s="120"/>
      <c r="HUC409" s="121"/>
      <c r="HUD409" s="119"/>
      <c r="HUE409" s="120"/>
      <c r="HUF409" s="120"/>
      <c r="HUG409" s="120"/>
      <c r="HUH409" s="120"/>
      <c r="HUI409" s="120"/>
      <c r="HUJ409" s="121"/>
      <c r="HUK409" s="119"/>
      <c r="HUL409" s="120"/>
      <c r="HUM409" s="120"/>
      <c r="HUN409" s="120"/>
      <c r="HUO409" s="120"/>
      <c r="HUP409" s="120"/>
      <c r="HUQ409" s="121"/>
      <c r="HUR409" s="119"/>
      <c r="HUS409" s="120"/>
      <c r="HUT409" s="120"/>
      <c r="HUU409" s="120"/>
      <c r="HUV409" s="120"/>
      <c r="HUW409" s="120"/>
      <c r="HUX409" s="121"/>
      <c r="HUY409" s="119"/>
      <c r="HUZ409" s="120"/>
      <c r="HVA409" s="120"/>
      <c r="HVB409" s="120"/>
      <c r="HVC409" s="120"/>
      <c r="HVD409" s="120"/>
      <c r="HVE409" s="121"/>
      <c r="HVF409" s="119"/>
      <c r="HVG409" s="120"/>
      <c r="HVH409" s="120"/>
      <c r="HVI409" s="120"/>
      <c r="HVJ409" s="120"/>
      <c r="HVK409" s="120"/>
      <c r="HVL409" s="121"/>
      <c r="HVM409" s="119"/>
      <c r="HVN409" s="120"/>
      <c r="HVO409" s="120"/>
      <c r="HVP409" s="120"/>
      <c r="HVQ409" s="120"/>
      <c r="HVR409" s="120"/>
      <c r="HVS409" s="121"/>
      <c r="HVT409" s="119"/>
      <c r="HVU409" s="120"/>
      <c r="HVV409" s="120"/>
      <c r="HVW409" s="120"/>
      <c r="HVX409" s="120"/>
      <c r="HVY409" s="120"/>
      <c r="HVZ409" s="121"/>
      <c r="HWA409" s="119"/>
      <c r="HWB409" s="120"/>
      <c r="HWC409" s="120"/>
      <c r="HWD409" s="120"/>
      <c r="HWE409" s="120"/>
      <c r="HWF409" s="120"/>
      <c r="HWG409" s="121"/>
      <c r="HWH409" s="119"/>
      <c r="HWI409" s="120"/>
      <c r="HWJ409" s="120"/>
      <c r="HWK409" s="120"/>
      <c r="HWL409" s="120"/>
      <c r="HWM409" s="120"/>
      <c r="HWN409" s="121"/>
      <c r="HWO409" s="119"/>
      <c r="HWP409" s="120"/>
      <c r="HWQ409" s="120"/>
      <c r="HWR409" s="120"/>
      <c r="HWS409" s="120"/>
      <c r="HWT409" s="120"/>
      <c r="HWU409" s="121"/>
      <c r="HWV409" s="119"/>
      <c r="HWW409" s="120"/>
      <c r="HWX409" s="120"/>
      <c r="HWY409" s="120"/>
      <c r="HWZ409" s="120"/>
      <c r="HXA409" s="120"/>
      <c r="HXB409" s="121"/>
      <c r="HXC409" s="119"/>
      <c r="HXD409" s="120"/>
      <c r="HXE409" s="120"/>
      <c r="HXF409" s="120"/>
      <c r="HXG409" s="120"/>
      <c r="HXH409" s="120"/>
      <c r="HXI409" s="121"/>
      <c r="HXJ409" s="119"/>
      <c r="HXK409" s="120"/>
      <c r="HXL409" s="120"/>
      <c r="HXM409" s="120"/>
      <c r="HXN409" s="120"/>
      <c r="HXO409" s="120"/>
      <c r="HXP409" s="121"/>
      <c r="HXQ409" s="119"/>
      <c r="HXR409" s="120"/>
      <c r="HXS409" s="120"/>
      <c r="HXT409" s="120"/>
      <c r="HXU409" s="120"/>
      <c r="HXV409" s="120"/>
      <c r="HXW409" s="121"/>
      <c r="HXX409" s="119"/>
      <c r="HXY409" s="120"/>
      <c r="HXZ409" s="120"/>
      <c r="HYA409" s="120"/>
      <c r="HYB409" s="120"/>
      <c r="HYC409" s="120"/>
      <c r="HYD409" s="121"/>
      <c r="HYE409" s="119"/>
      <c r="HYF409" s="120"/>
      <c r="HYG409" s="120"/>
      <c r="HYH409" s="120"/>
      <c r="HYI409" s="120"/>
      <c r="HYJ409" s="120"/>
      <c r="HYK409" s="121"/>
      <c r="HYL409" s="119"/>
      <c r="HYM409" s="120"/>
      <c r="HYN409" s="120"/>
      <c r="HYO409" s="120"/>
      <c r="HYP409" s="120"/>
      <c r="HYQ409" s="120"/>
      <c r="HYR409" s="121"/>
      <c r="HYS409" s="119"/>
      <c r="HYT409" s="120"/>
      <c r="HYU409" s="120"/>
      <c r="HYV409" s="120"/>
      <c r="HYW409" s="120"/>
      <c r="HYX409" s="120"/>
      <c r="HYY409" s="121"/>
      <c r="HYZ409" s="119"/>
      <c r="HZA409" s="120"/>
      <c r="HZB409" s="120"/>
      <c r="HZC409" s="120"/>
      <c r="HZD409" s="120"/>
      <c r="HZE409" s="120"/>
      <c r="HZF409" s="121"/>
      <c r="HZG409" s="119"/>
      <c r="HZH409" s="120"/>
      <c r="HZI409" s="120"/>
      <c r="HZJ409" s="120"/>
      <c r="HZK409" s="120"/>
      <c r="HZL409" s="120"/>
      <c r="HZM409" s="121"/>
      <c r="HZN409" s="119"/>
      <c r="HZO409" s="120"/>
      <c r="HZP409" s="120"/>
      <c r="HZQ409" s="120"/>
      <c r="HZR409" s="120"/>
      <c r="HZS409" s="120"/>
      <c r="HZT409" s="121"/>
      <c r="HZU409" s="119"/>
      <c r="HZV409" s="120"/>
      <c r="HZW409" s="120"/>
      <c r="HZX409" s="120"/>
      <c r="HZY409" s="120"/>
      <c r="HZZ409" s="120"/>
      <c r="IAA409" s="121"/>
      <c r="IAB409" s="119"/>
      <c r="IAC409" s="120"/>
      <c r="IAD409" s="120"/>
      <c r="IAE409" s="120"/>
      <c r="IAF409" s="120"/>
      <c r="IAG409" s="120"/>
      <c r="IAH409" s="121"/>
      <c r="IAI409" s="119"/>
      <c r="IAJ409" s="120"/>
      <c r="IAK409" s="120"/>
      <c r="IAL409" s="120"/>
      <c r="IAM409" s="120"/>
      <c r="IAN409" s="120"/>
      <c r="IAO409" s="121"/>
      <c r="IAP409" s="119"/>
      <c r="IAQ409" s="120"/>
      <c r="IAR409" s="120"/>
      <c r="IAS409" s="120"/>
      <c r="IAT409" s="120"/>
      <c r="IAU409" s="120"/>
      <c r="IAV409" s="121"/>
      <c r="IAW409" s="119"/>
      <c r="IAX409" s="120"/>
      <c r="IAY409" s="120"/>
      <c r="IAZ409" s="120"/>
      <c r="IBA409" s="120"/>
      <c r="IBB409" s="120"/>
      <c r="IBC409" s="121"/>
      <c r="IBD409" s="119"/>
      <c r="IBE409" s="120"/>
      <c r="IBF409" s="120"/>
      <c r="IBG409" s="120"/>
      <c r="IBH409" s="120"/>
      <c r="IBI409" s="120"/>
      <c r="IBJ409" s="121"/>
      <c r="IBK409" s="119"/>
      <c r="IBL409" s="120"/>
      <c r="IBM409" s="120"/>
      <c r="IBN409" s="120"/>
      <c r="IBO409" s="120"/>
      <c r="IBP409" s="120"/>
      <c r="IBQ409" s="121"/>
      <c r="IBR409" s="119"/>
      <c r="IBS409" s="120"/>
      <c r="IBT409" s="120"/>
      <c r="IBU409" s="120"/>
      <c r="IBV409" s="120"/>
      <c r="IBW409" s="120"/>
      <c r="IBX409" s="121"/>
      <c r="IBY409" s="119"/>
      <c r="IBZ409" s="120"/>
      <c r="ICA409" s="120"/>
      <c r="ICB409" s="120"/>
      <c r="ICC409" s="120"/>
      <c r="ICD409" s="120"/>
      <c r="ICE409" s="121"/>
      <c r="ICF409" s="119"/>
      <c r="ICG409" s="120"/>
      <c r="ICH409" s="120"/>
      <c r="ICI409" s="120"/>
      <c r="ICJ409" s="120"/>
      <c r="ICK409" s="120"/>
      <c r="ICL409" s="121"/>
      <c r="ICM409" s="119"/>
      <c r="ICN409" s="120"/>
      <c r="ICO409" s="120"/>
      <c r="ICP409" s="120"/>
      <c r="ICQ409" s="120"/>
      <c r="ICR409" s="120"/>
      <c r="ICS409" s="121"/>
      <c r="ICT409" s="119"/>
      <c r="ICU409" s="120"/>
      <c r="ICV409" s="120"/>
      <c r="ICW409" s="120"/>
      <c r="ICX409" s="120"/>
      <c r="ICY409" s="120"/>
      <c r="ICZ409" s="121"/>
      <c r="IDA409" s="119"/>
      <c r="IDB409" s="120"/>
      <c r="IDC409" s="120"/>
      <c r="IDD409" s="120"/>
      <c r="IDE409" s="120"/>
      <c r="IDF409" s="120"/>
      <c r="IDG409" s="121"/>
      <c r="IDH409" s="119"/>
      <c r="IDI409" s="120"/>
      <c r="IDJ409" s="120"/>
      <c r="IDK409" s="120"/>
      <c r="IDL409" s="120"/>
      <c r="IDM409" s="120"/>
      <c r="IDN409" s="121"/>
      <c r="IDO409" s="119"/>
      <c r="IDP409" s="120"/>
      <c r="IDQ409" s="120"/>
      <c r="IDR409" s="120"/>
      <c r="IDS409" s="120"/>
      <c r="IDT409" s="120"/>
      <c r="IDU409" s="121"/>
      <c r="IDV409" s="119"/>
      <c r="IDW409" s="120"/>
      <c r="IDX409" s="120"/>
      <c r="IDY409" s="120"/>
      <c r="IDZ409" s="120"/>
      <c r="IEA409" s="120"/>
      <c r="IEB409" s="121"/>
      <c r="IEC409" s="119"/>
      <c r="IED409" s="120"/>
      <c r="IEE409" s="120"/>
      <c r="IEF409" s="120"/>
      <c r="IEG409" s="120"/>
      <c r="IEH409" s="120"/>
      <c r="IEI409" s="121"/>
      <c r="IEJ409" s="119"/>
      <c r="IEK409" s="120"/>
      <c r="IEL409" s="120"/>
      <c r="IEM409" s="120"/>
      <c r="IEN409" s="120"/>
      <c r="IEO409" s="120"/>
      <c r="IEP409" s="121"/>
      <c r="IEQ409" s="119"/>
      <c r="IER409" s="120"/>
      <c r="IES409" s="120"/>
      <c r="IET409" s="120"/>
      <c r="IEU409" s="120"/>
      <c r="IEV409" s="120"/>
      <c r="IEW409" s="121"/>
      <c r="IEX409" s="119"/>
      <c r="IEY409" s="120"/>
      <c r="IEZ409" s="120"/>
      <c r="IFA409" s="120"/>
      <c r="IFB409" s="120"/>
      <c r="IFC409" s="120"/>
      <c r="IFD409" s="121"/>
      <c r="IFE409" s="119"/>
      <c r="IFF409" s="120"/>
      <c r="IFG409" s="120"/>
      <c r="IFH409" s="120"/>
      <c r="IFI409" s="120"/>
      <c r="IFJ409" s="120"/>
      <c r="IFK409" s="121"/>
      <c r="IFL409" s="119"/>
      <c r="IFM409" s="120"/>
      <c r="IFN409" s="120"/>
      <c r="IFO409" s="120"/>
      <c r="IFP409" s="120"/>
      <c r="IFQ409" s="120"/>
      <c r="IFR409" s="121"/>
      <c r="IFS409" s="119"/>
      <c r="IFT409" s="120"/>
      <c r="IFU409" s="120"/>
      <c r="IFV409" s="120"/>
      <c r="IFW409" s="120"/>
      <c r="IFX409" s="120"/>
      <c r="IFY409" s="121"/>
      <c r="IFZ409" s="119"/>
      <c r="IGA409" s="120"/>
      <c r="IGB409" s="120"/>
      <c r="IGC409" s="120"/>
      <c r="IGD409" s="120"/>
      <c r="IGE409" s="120"/>
      <c r="IGF409" s="121"/>
      <c r="IGG409" s="119"/>
      <c r="IGH409" s="120"/>
      <c r="IGI409" s="120"/>
      <c r="IGJ409" s="120"/>
      <c r="IGK409" s="120"/>
      <c r="IGL409" s="120"/>
      <c r="IGM409" s="121"/>
      <c r="IGN409" s="119"/>
      <c r="IGO409" s="120"/>
      <c r="IGP409" s="120"/>
      <c r="IGQ409" s="120"/>
      <c r="IGR409" s="120"/>
      <c r="IGS409" s="120"/>
      <c r="IGT409" s="121"/>
      <c r="IGU409" s="119"/>
      <c r="IGV409" s="120"/>
      <c r="IGW409" s="120"/>
      <c r="IGX409" s="120"/>
      <c r="IGY409" s="120"/>
      <c r="IGZ409" s="120"/>
      <c r="IHA409" s="121"/>
      <c r="IHB409" s="119"/>
      <c r="IHC409" s="120"/>
      <c r="IHD409" s="120"/>
      <c r="IHE409" s="120"/>
      <c r="IHF409" s="120"/>
      <c r="IHG409" s="120"/>
      <c r="IHH409" s="121"/>
      <c r="IHI409" s="119"/>
      <c r="IHJ409" s="120"/>
      <c r="IHK409" s="120"/>
      <c r="IHL409" s="120"/>
      <c r="IHM409" s="120"/>
      <c r="IHN409" s="120"/>
      <c r="IHO409" s="121"/>
      <c r="IHP409" s="119"/>
      <c r="IHQ409" s="120"/>
      <c r="IHR409" s="120"/>
      <c r="IHS409" s="120"/>
      <c r="IHT409" s="120"/>
      <c r="IHU409" s="120"/>
      <c r="IHV409" s="121"/>
      <c r="IHW409" s="119"/>
      <c r="IHX409" s="120"/>
      <c r="IHY409" s="120"/>
      <c r="IHZ409" s="120"/>
      <c r="IIA409" s="120"/>
      <c r="IIB409" s="120"/>
      <c r="IIC409" s="121"/>
      <c r="IID409" s="119"/>
      <c r="IIE409" s="120"/>
      <c r="IIF409" s="120"/>
      <c r="IIG409" s="120"/>
      <c r="IIH409" s="120"/>
      <c r="III409" s="120"/>
      <c r="IIJ409" s="121"/>
      <c r="IIK409" s="119"/>
      <c r="IIL409" s="120"/>
      <c r="IIM409" s="120"/>
      <c r="IIN409" s="120"/>
      <c r="IIO409" s="120"/>
      <c r="IIP409" s="120"/>
      <c r="IIQ409" s="121"/>
      <c r="IIR409" s="119"/>
      <c r="IIS409" s="120"/>
      <c r="IIT409" s="120"/>
      <c r="IIU409" s="120"/>
      <c r="IIV409" s="120"/>
      <c r="IIW409" s="120"/>
      <c r="IIX409" s="121"/>
      <c r="IIY409" s="119"/>
      <c r="IIZ409" s="120"/>
      <c r="IJA409" s="120"/>
      <c r="IJB409" s="120"/>
      <c r="IJC409" s="120"/>
      <c r="IJD409" s="120"/>
      <c r="IJE409" s="121"/>
      <c r="IJF409" s="119"/>
      <c r="IJG409" s="120"/>
      <c r="IJH409" s="120"/>
      <c r="IJI409" s="120"/>
      <c r="IJJ409" s="120"/>
      <c r="IJK409" s="120"/>
      <c r="IJL409" s="121"/>
      <c r="IJM409" s="119"/>
      <c r="IJN409" s="120"/>
      <c r="IJO409" s="120"/>
      <c r="IJP409" s="120"/>
      <c r="IJQ409" s="120"/>
      <c r="IJR409" s="120"/>
      <c r="IJS409" s="121"/>
      <c r="IJT409" s="119"/>
      <c r="IJU409" s="120"/>
      <c r="IJV409" s="120"/>
      <c r="IJW409" s="120"/>
      <c r="IJX409" s="120"/>
      <c r="IJY409" s="120"/>
      <c r="IJZ409" s="121"/>
      <c r="IKA409" s="119"/>
      <c r="IKB409" s="120"/>
      <c r="IKC409" s="120"/>
      <c r="IKD409" s="120"/>
      <c r="IKE409" s="120"/>
      <c r="IKF409" s="120"/>
      <c r="IKG409" s="121"/>
      <c r="IKH409" s="119"/>
      <c r="IKI409" s="120"/>
      <c r="IKJ409" s="120"/>
      <c r="IKK409" s="120"/>
      <c r="IKL409" s="120"/>
      <c r="IKM409" s="120"/>
      <c r="IKN409" s="121"/>
      <c r="IKO409" s="119"/>
      <c r="IKP409" s="120"/>
      <c r="IKQ409" s="120"/>
      <c r="IKR409" s="120"/>
      <c r="IKS409" s="120"/>
      <c r="IKT409" s="120"/>
      <c r="IKU409" s="121"/>
      <c r="IKV409" s="119"/>
      <c r="IKW409" s="120"/>
      <c r="IKX409" s="120"/>
      <c r="IKY409" s="120"/>
      <c r="IKZ409" s="120"/>
      <c r="ILA409" s="120"/>
      <c r="ILB409" s="121"/>
      <c r="ILC409" s="119"/>
      <c r="ILD409" s="120"/>
      <c r="ILE409" s="120"/>
      <c r="ILF409" s="120"/>
      <c r="ILG409" s="120"/>
      <c r="ILH409" s="120"/>
      <c r="ILI409" s="121"/>
      <c r="ILJ409" s="119"/>
      <c r="ILK409" s="120"/>
      <c r="ILL409" s="120"/>
      <c r="ILM409" s="120"/>
      <c r="ILN409" s="120"/>
      <c r="ILO409" s="120"/>
      <c r="ILP409" s="121"/>
      <c r="ILQ409" s="119"/>
      <c r="ILR409" s="120"/>
      <c r="ILS409" s="120"/>
      <c r="ILT409" s="120"/>
      <c r="ILU409" s="120"/>
      <c r="ILV409" s="120"/>
      <c r="ILW409" s="121"/>
      <c r="ILX409" s="119"/>
      <c r="ILY409" s="120"/>
      <c r="ILZ409" s="120"/>
      <c r="IMA409" s="120"/>
      <c r="IMB409" s="120"/>
      <c r="IMC409" s="120"/>
      <c r="IMD409" s="121"/>
      <c r="IME409" s="119"/>
      <c r="IMF409" s="120"/>
      <c r="IMG409" s="120"/>
      <c r="IMH409" s="120"/>
      <c r="IMI409" s="120"/>
      <c r="IMJ409" s="120"/>
      <c r="IMK409" s="121"/>
      <c r="IML409" s="119"/>
      <c r="IMM409" s="120"/>
      <c r="IMN409" s="120"/>
      <c r="IMO409" s="120"/>
      <c r="IMP409" s="120"/>
      <c r="IMQ409" s="120"/>
      <c r="IMR409" s="121"/>
      <c r="IMS409" s="119"/>
      <c r="IMT409" s="120"/>
      <c r="IMU409" s="120"/>
      <c r="IMV409" s="120"/>
      <c r="IMW409" s="120"/>
      <c r="IMX409" s="120"/>
      <c r="IMY409" s="121"/>
      <c r="IMZ409" s="119"/>
      <c r="INA409" s="120"/>
      <c r="INB409" s="120"/>
      <c r="INC409" s="120"/>
      <c r="IND409" s="120"/>
      <c r="INE409" s="120"/>
      <c r="INF409" s="121"/>
      <c r="ING409" s="119"/>
      <c r="INH409" s="120"/>
      <c r="INI409" s="120"/>
      <c r="INJ409" s="120"/>
      <c r="INK409" s="120"/>
      <c r="INL409" s="120"/>
      <c r="INM409" s="121"/>
      <c r="INN409" s="119"/>
      <c r="INO409" s="120"/>
      <c r="INP409" s="120"/>
      <c r="INQ409" s="120"/>
      <c r="INR409" s="120"/>
      <c r="INS409" s="120"/>
      <c r="INT409" s="121"/>
      <c r="INU409" s="119"/>
      <c r="INV409" s="120"/>
      <c r="INW409" s="120"/>
      <c r="INX409" s="120"/>
      <c r="INY409" s="120"/>
      <c r="INZ409" s="120"/>
      <c r="IOA409" s="121"/>
      <c r="IOB409" s="119"/>
      <c r="IOC409" s="120"/>
      <c r="IOD409" s="120"/>
      <c r="IOE409" s="120"/>
      <c r="IOF409" s="120"/>
      <c r="IOG409" s="120"/>
      <c r="IOH409" s="121"/>
      <c r="IOI409" s="119"/>
      <c r="IOJ409" s="120"/>
      <c r="IOK409" s="120"/>
      <c r="IOL409" s="120"/>
      <c r="IOM409" s="120"/>
      <c r="ION409" s="120"/>
      <c r="IOO409" s="121"/>
      <c r="IOP409" s="119"/>
      <c r="IOQ409" s="120"/>
      <c r="IOR409" s="120"/>
      <c r="IOS409" s="120"/>
      <c r="IOT409" s="120"/>
      <c r="IOU409" s="120"/>
      <c r="IOV409" s="121"/>
      <c r="IOW409" s="119"/>
      <c r="IOX409" s="120"/>
      <c r="IOY409" s="120"/>
      <c r="IOZ409" s="120"/>
      <c r="IPA409" s="120"/>
      <c r="IPB409" s="120"/>
      <c r="IPC409" s="121"/>
      <c r="IPD409" s="119"/>
      <c r="IPE409" s="120"/>
      <c r="IPF409" s="120"/>
      <c r="IPG409" s="120"/>
      <c r="IPH409" s="120"/>
      <c r="IPI409" s="120"/>
      <c r="IPJ409" s="121"/>
      <c r="IPK409" s="119"/>
      <c r="IPL409" s="120"/>
      <c r="IPM409" s="120"/>
      <c r="IPN409" s="120"/>
      <c r="IPO409" s="120"/>
      <c r="IPP409" s="120"/>
      <c r="IPQ409" s="121"/>
      <c r="IPR409" s="119"/>
      <c r="IPS409" s="120"/>
      <c r="IPT409" s="120"/>
      <c r="IPU409" s="120"/>
      <c r="IPV409" s="120"/>
      <c r="IPW409" s="120"/>
      <c r="IPX409" s="121"/>
      <c r="IPY409" s="119"/>
      <c r="IPZ409" s="120"/>
      <c r="IQA409" s="120"/>
      <c r="IQB409" s="120"/>
      <c r="IQC409" s="120"/>
      <c r="IQD409" s="120"/>
      <c r="IQE409" s="121"/>
      <c r="IQF409" s="119"/>
      <c r="IQG409" s="120"/>
      <c r="IQH409" s="120"/>
      <c r="IQI409" s="120"/>
      <c r="IQJ409" s="120"/>
      <c r="IQK409" s="120"/>
      <c r="IQL409" s="121"/>
      <c r="IQM409" s="119"/>
      <c r="IQN409" s="120"/>
      <c r="IQO409" s="120"/>
      <c r="IQP409" s="120"/>
      <c r="IQQ409" s="120"/>
      <c r="IQR409" s="120"/>
      <c r="IQS409" s="121"/>
      <c r="IQT409" s="119"/>
      <c r="IQU409" s="120"/>
      <c r="IQV409" s="120"/>
      <c r="IQW409" s="120"/>
      <c r="IQX409" s="120"/>
      <c r="IQY409" s="120"/>
      <c r="IQZ409" s="121"/>
      <c r="IRA409" s="119"/>
      <c r="IRB409" s="120"/>
      <c r="IRC409" s="120"/>
      <c r="IRD409" s="120"/>
      <c r="IRE409" s="120"/>
      <c r="IRF409" s="120"/>
      <c r="IRG409" s="121"/>
      <c r="IRH409" s="119"/>
      <c r="IRI409" s="120"/>
      <c r="IRJ409" s="120"/>
      <c r="IRK409" s="120"/>
      <c r="IRL409" s="120"/>
      <c r="IRM409" s="120"/>
      <c r="IRN409" s="121"/>
      <c r="IRO409" s="119"/>
      <c r="IRP409" s="120"/>
      <c r="IRQ409" s="120"/>
      <c r="IRR409" s="120"/>
      <c r="IRS409" s="120"/>
      <c r="IRT409" s="120"/>
      <c r="IRU409" s="121"/>
      <c r="IRV409" s="119"/>
      <c r="IRW409" s="120"/>
      <c r="IRX409" s="120"/>
      <c r="IRY409" s="120"/>
      <c r="IRZ409" s="120"/>
      <c r="ISA409" s="120"/>
      <c r="ISB409" s="121"/>
      <c r="ISC409" s="119"/>
      <c r="ISD409" s="120"/>
      <c r="ISE409" s="120"/>
      <c r="ISF409" s="120"/>
      <c r="ISG409" s="120"/>
      <c r="ISH409" s="120"/>
      <c r="ISI409" s="121"/>
      <c r="ISJ409" s="119"/>
      <c r="ISK409" s="120"/>
      <c r="ISL409" s="120"/>
      <c r="ISM409" s="120"/>
      <c r="ISN409" s="120"/>
      <c r="ISO409" s="120"/>
      <c r="ISP409" s="121"/>
      <c r="ISQ409" s="119"/>
      <c r="ISR409" s="120"/>
      <c r="ISS409" s="120"/>
      <c r="IST409" s="120"/>
      <c r="ISU409" s="120"/>
      <c r="ISV409" s="120"/>
      <c r="ISW409" s="121"/>
      <c r="ISX409" s="119"/>
      <c r="ISY409" s="120"/>
      <c r="ISZ409" s="120"/>
      <c r="ITA409" s="120"/>
      <c r="ITB409" s="120"/>
      <c r="ITC409" s="120"/>
      <c r="ITD409" s="121"/>
      <c r="ITE409" s="119"/>
      <c r="ITF409" s="120"/>
      <c r="ITG409" s="120"/>
      <c r="ITH409" s="120"/>
      <c r="ITI409" s="120"/>
      <c r="ITJ409" s="120"/>
      <c r="ITK409" s="121"/>
      <c r="ITL409" s="119"/>
      <c r="ITM409" s="120"/>
      <c r="ITN409" s="120"/>
      <c r="ITO409" s="120"/>
      <c r="ITP409" s="120"/>
      <c r="ITQ409" s="120"/>
      <c r="ITR409" s="121"/>
      <c r="ITS409" s="119"/>
      <c r="ITT409" s="120"/>
      <c r="ITU409" s="120"/>
      <c r="ITV409" s="120"/>
      <c r="ITW409" s="120"/>
      <c r="ITX409" s="120"/>
      <c r="ITY409" s="121"/>
      <c r="ITZ409" s="119"/>
      <c r="IUA409" s="120"/>
      <c r="IUB409" s="120"/>
      <c r="IUC409" s="120"/>
      <c r="IUD409" s="120"/>
      <c r="IUE409" s="120"/>
      <c r="IUF409" s="121"/>
      <c r="IUG409" s="119"/>
      <c r="IUH409" s="120"/>
      <c r="IUI409" s="120"/>
      <c r="IUJ409" s="120"/>
      <c r="IUK409" s="120"/>
      <c r="IUL409" s="120"/>
      <c r="IUM409" s="121"/>
      <c r="IUN409" s="119"/>
      <c r="IUO409" s="120"/>
      <c r="IUP409" s="120"/>
      <c r="IUQ409" s="120"/>
      <c r="IUR409" s="120"/>
      <c r="IUS409" s="120"/>
      <c r="IUT409" s="121"/>
      <c r="IUU409" s="119"/>
      <c r="IUV409" s="120"/>
      <c r="IUW409" s="120"/>
      <c r="IUX409" s="120"/>
      <c r="IUY409" s="120"/>
      <c r="IUZ409" s="120"/>
      <c r="IVA409" s="121"/>
      <c r="IVB409" s="119"/>
      <c r="IVC409" s="120"/>
      <c r="IVD409" s="120"/>
      <c r="IVE409" s="120"/>
      <c r="IVF409" s="120"/>
      <c r="IVG409" s="120"/>
      <c r="IVH409" s="121"/>
      <c r="IVI409" s="119"/>
      <c r="IVJ409" s="120"/>
      <c r="IVK409" s="120"/>
      <c r="IVL409" s="120"/>
      <c r="IVM409" s="120"/>
      <c r="IVN409" s="120"/>
      <c r="IVO409" s="121"/>
      <c r="IVP409" s="119"/>
      <c r="IVQ409" s="120"/>
      <c r="IVR409" s="120"/>
      <c r="IVS409" s="120"/>
      <c r="IVT409" s="120"/>
      <c r="IVU409" s="120"/>
      <c r="IVV409" s="121"/>
      <c r="IVW409" s="119"/>
      <c r="IVX409" s="120"/>
      <c r="IVY409" s="120"/>
      <c r="IVZ409" s="120"/>
      <c r="IWA409" s="120"/>
      <c r="IWB409" s="120"/>
      <c r="IWC409" s="121"/>
      <c r="IWD409" s="119"/>
      <c r="IWE409" s="120"/>
      <c r="IWF409" s="120"/>
      <c r="IWG409" s="120"/>
      <c r="IWH409" s="120"/>
      <c r="IWI409" s="120"/>
      <c r="IWJ409" s="121"/>
      <c r="IWK409" s="119"/>
      <c r="IWL409" s="120"/>
      <c r="IWM409" s="120"/>
      <c r="IWN409" s="120"/>
      <c r="IWO409" s="120"/>
      <c r="IWP409" s="120"/>
      <c r="IWQ409" s="121"/>
      <c r="IWR409" s="119"/>
      <c r="IWS409" s="120"/>
      <c r="IWT409" s="120"/>
      <c r="IWU409" s="120"/>
      <c r="IWV409" s="120"/>
      <c r="IWW409" s="120"/>
      <c r="IWX409" s="121"/>
      <c r="IWY409" s="119"/>
      <c r="IWZ409" s="120"/>
      <c r="IXA409" s="120"/>
      <c r="IXB409" s="120"/>
      <c r="IXC409" s="120"/>
      <c r="IXD409" s="120"/>
      <c r="IXE409" s="121"/>
      <c r="IXF409" s="119"/>
      <c r="IXG409" s="120"/>
      <c r="IXH409" s="120"/>
      <c r="IXI409" s="120"/>
      <c r="IXJ409" s="120"/>
      <c r="IXK409" s="120"/>
      <c r="IXL409" s="121"/>
      <c r="IXM409" s="119"/>
      <c r="IXN409" s="120"/>
      <c r="IXO409" s="120"/>
      <c r="IXP409" s="120"/>
      <c r="IXQ409" s="120"/>
      <c r="IXR409" s="120"/>
      <c r="IXS409" s="121"/>
      <c r="IXT409" s="119"/>
      <c r="IXU409" s="120"/>
      <c r="IXV409" s="120"/>
      <c r="IXW409" s="120"/>
      <c r="IXX409" s="120"/>
      <c r="IXY409" s="120"/>
      <c r="IXZ409" s="121"/>
      <c r="IYA409" s="119"/>
      <c r="IYB409" s="120"/>
      <c r="IYC409" s="120"/>
      <c r="IYD409" s="120"/>
      <c r="IYE409" s="120"/>
      <c r="IYF409" s="120"/>
      <c r="IYG409" s="121"/>
      <c r="IYH409" s="119"/>
      <c r="IYI409" s="120"/>
      <c r="IYJ409" s="120"/>
      <c r="IYK409" s="120"/>
      <c r="IYL409" s="120"/>
      <c r="IYM409" s="120"/>
      <c r="IYN409" s="121"/>
      <c r="IYO409" s="119"/>
      <c r="IYP409" s="120"/>
      <c r="IYQ409" s="120"/>
      <c r="IYR409" s="120"/>
      <c r="IYS409" s="120"/>
      <c r="IYT409" s="120"/>
      <c r="IYU409" s="121"/>
      <c r="IYV409" s="119"/>
      <c r="IYW409" s="120"/>
      <c r="IYX409" s="120"/>
      <c r="IYY409" s="120"/>
      <c r="IYZ409" s="120"/>
      <c r="IZA409" s="120"/>
      <c r="IZB409" s="121"/>
      <c r="IZC409" s="119"/>
      <c r="IZD409" s="120"/>
      <c r="IZE409" s="120"/>
      <c r="IZF409" s="120"/>
      <c r="IZG409" s="120"/>
      <c r="IZH409" s="120"/>
      <c r="IZI409" s="121"/>
      <c r="IZJ409" s="119"/>
      <c r="IZK409" s="120"/>
      <c r="IZL409" s="120"/>
      <c r="IZM409" s="120"/>
      <c r="IZN409" s="120"/>
      <c r="IZO409" s="120"/>
      <c r="IZP409" s="121"/>
      <c r="IZQ409" s="119"/>
      <c r="IZR409" s="120"/>
      <c r="IZS409" s="120"/>
      <c r="IZT409" s="120"/>
      <c r="IZU409" s="120"/>
      <c r="IZV409" s="120"/>
      <c r="IZW409" s="121"/>
      <c r="IZX409" s="119"/>
      <c r="IZY409" s="120"/>
      <c r="IZZ409" s="120"/>
      <c r="JAA409" s="120"/>
      <c r="JAB409" s="120"/>
      <c r="JAC409" s="120"/>
      <c r="JAD409" s="121"/>
      <c r="JAE409" s="119"/>
      <c r="JAF409" s="120"/>
      <c r="JAG409" s="120"/>
      <c r="JAH409" s="120"/>
      <c r="JAI409" s="120"/>
      <c r="JAJ409" s="120"/>
      <c r="JAK409" s="121"/>
      <c r="JAL409" s="119"/>
      <c r="JAM409" s="120"/>
      <c r="JAN409" s="120"/>
      <c r="JAO409" s="120"/>
      <c r="JAP409" s="120"/>
      <c r="JAQ409" s="120"/>
      <c r="JAR409" s="121"/>
      <c r="JAS409" s="119"/>
      <c r="JAT409" s="120"/>
      <c r="JAU409" s="120"/>
      <c r="JAV409" s="120"/>
      <c r="JAW409" s="120"/>
      <c r="JAX409" s="120"/>
      <c r="JAY409" s="121"/>
      <c r="JAZ409" s="119"/>
      <c r="JBA409" s="120"/>
      <c r="JBB409" s="120"/>
      <c r="JBC409" s="120"/>
      <c r="JBD409" s="120"/>
      <c r="JBE409" s="120"/>
      <c r="JBF409" s="121"/>
      <c r="JBG409" s="119"/>
      <c r="JBH409" s="120"/>
      <c r="JBI409" s="120"/>
      <c r="JBJ409" s="120"/>
      <c r="JBK409" s="120"/>
      <c r="JBL409" s="120"/>
      <c r="JBM409" s="121"/>
      <c r="JBN409" s="119"/>
      <c r="JBO409" s="120"/>
      <c r="JBP409" s="120"/>
      <c r="JBQ409" s="120"/>
      <c r="JBR409" s="120"/>
      <c r="JBS409" s="120"/>
      <c r="JBT409" s="121"/>
      <c r="JBU409" s="119"/>
      <c r="JBV409" s="120"/>
      <c r="JBW409" s="120"/>
      <c r="JBX409" s="120"/>
      <c r="JBY409" s="120"/>
      <c r="JBZ409" s="120"/>
      <c r="JCA409" s="121"/>
      <c r="JCB409" s="119"/>
      <c r="JCC409" s="120"/>
      <c r="JCD409" s="120"/>
      <c r="JCE409" s="120"/>
      <c r="JCF409" s="120"/>
      <c r="JCG409" s="120"/>
      <c r="JCH409" s="121"/>
      <c r="JCI409" s="119"/>
      <c r="JCJ409" s="120"/>
      <c r="JCK409" s="120"/>
      <c r="JCL409" s="120"/>
      <c r="JCM409" s="120"/>
      <c r="JCN409" s="120"/>
      <c r="JCO409" s="121"/>
      <c r="JCP409" s="119"/>
      <c r="JCQ409" s="120"/>
      <c r="JCR409" s="120"/>
      <c r="JCS409" s="120"/>
      <c r="JCT409" s="120"/>
      <c r="JCU409" s="120"/>
      <c r="JCV409" s="121"/>
      <c r="JCW409" s="119"/>
      <c r="JCX409" s="120"/>
      <c r="JCY409" s="120"/>
      <c r="JCZ409" s="120"/>
      <c r="JDA409" s="120"/>
      <c r="JDB409" s="120"/>
      <c r="JDC409" s="121"/>
      <c r="JDD409" s="119"/>
      <c r="JDE409" s="120"/>
      <c r="JDF409" s="120"/>
      <c r="JDG409" s="120"/>
      <c r="JDH409" s="120"/>
      <c r="JDI409" s="120"/>
      <c r="JDJ409" s="121"/>
      <c r="JDK409" s="119"/>
      <c r="JDL409" s="120"/>
      <c r="JDM409" s="120"/>
      <c r="JDN409" s="120"/>
      <c r="JDO409" s="120"/>
      <c r="JDP409" s="120"/>
      <c r="JDQ409" s="121"/>
      <c r="JDR409" s="119"/>
      <c r="JDS409" s="120"/>
      <c r="JDT409" s="120"/>
      <c r="JDU409" s="120"/>
      <c r="JDV409" s="120"/>
      <c r="JDW409" s="120"/>
      <c r="JDX409" s="121"/>
      <c r="JDY409" s="119"/>
      <c r="JDZ409" s="120"/>
      <c r="JEA409" s="120"/>
      <c r="JEB409" s="120"/>
      <c r="JEC409" s="120"/>
      <c r="JED409" s="120"/>
      <c r="JEE409" s="121"/>
      <c r="JEF409" s="119"/>
      <c r="JEG409" s="120"/>
      <c r="JEH409" s="120"/>
      <c r="JEI409" s="120"/>
      <c r="JEJ409" s="120"/>
      <c r="JEK409" s="120"/>
      <c r="JEL409" s="121"/>
      <c r="JEM409" s="119"/>
      <c r="JEN409" s="120"/>
      <c r="JEO409" s="120"/>
      <c r="JEP409" s="120"/>
      <c r="JEQ409" s="120"/>
      <c r="JER409" s="120"/>
      <c r="JES409" s="121"/>
      <c r="JET409" s="119"/>
      <c r="JEU409" s="120"/>
      <c r="JEV409" s="120"/>
      <c r="JEW409" s="120"/>
      <c r="JEX409" s="120"/>
      <c r="JEY409" s="120"/>
      <c r="JEZ409" s="121"/>
      <c r="JFA409" s="119"/>
      <c r="JFB409" s="120"/>
      <c r="JFC409" s="120"/>
      <c r="JFD409" s="120"/>
      <c r="JFE409" s="120"/>
      <c r="JFF409" s="120"/>
      <c r="JFG409" s="121"/>
      <c r="JFH409" s="119"/>
      <c r="JFI409" s="120"/>
      <c r="JFJ409" s="120"/>
      <c r="JFK409" s="120"/>
      <c r="JFL409" s="120"/>
      <c r="JFM409" s="120"/>
      <c r="JFN409" s="121"/>
      <c r="JFO409" s="119"/>
      <c r="JFP409" s="120"/>
      <c r="JFQ409" s="120"/>
      <c r="JFR409" s="120"/>
      <c r="JFS409" s="120"/>
      <c r="JFT409" s="120"/>
      <c r="JFU409" s="121"/>
      <c r="JFV409" s="119"/>
      <c r="JFW409" s="120"/>
      <c r="JFX409" s="120"/>
      <c r="JFY409" s="120"/>
      <c r="JFZ409" s="120"/>
      <c r="JGA409" s="120"/>
      <c r="JGB409" s="121"/>
      <c r="JGC409" s="119"/>
      <c r="JGD409" s="120"/>
      <c r="JGE409" s="120"/>
      <c r="JGF409" s="120"/>
      <c r="JGG409" s="120"/>
      <c r="JGH409" s="120"/>
      <c r="JGI409" s="121"/>
      <c r="JGJ409" s="119"/>
      <c r="JGK409" s="120"/>
      <c r="JGL409" s="120"/>
      <c r="JGM409" s="120"/>
      <c r="JGN409" s="120"/>
      <c r="JGO409" s="120"/>
      <c r="JGP409" s="121"/>
      <c r="JGQ409" s="119"/>
      <c r="JGR409" s="120"/>
      <c r="JGS409" s="120"/>
      <c r="JGT409" s="120"/>
      <c r="JGU409" s="120"/>
      <c r="JGV409" s="120"/>
      <c r="JGW409" s="121"/>
      <c r="JGX409" s="119"/>
      <c r="JGY409" s="120"/>
      <c r="JGZ409" s="120"/>
      <c r="JHA409" s="120"/>
      <c r="JHB409" s="120"/>
      <c r="JHC409" s="120"/>
      <c r="JHD409" s="121"/>
      <c r="JHE409" s="119"/>
      <c r="JHF409" s="120"/>
      <c r="JHG409" s="120"/>
      <c r="JHH409" s="120"/>
      <c r="JHI409" s="120"/>
      <c r="JHJ409" s="120"/>
      <c r="JHK409" s="121"/>
      <c r="JHL409" s="119"/>
      <c r="JHM409" s="120"/>
      <c r="JHN409" s="120"/>
      <c r="JHO409" s="120"/>
      <c r="JHP409" s="120"/>
      <c r="JHQ409" s="120"/>
      <c r="JHR409" s="121"/>
      <c r="JHS409" s="119"/>
      <c r="JHT409" s="120"/>
      <c r="JHU409" s="120"/>
      <c r="JHV409" s="120"/>
      <c r="JHW409" s="120"/>
      <c r="JHX409" s="120"/>
      <c r="JHY409" s="121"/>
      <c r="JHZ409" s="119"/>
      <c r="JIA409" s="120"/>
      <c r="JIB409" s="120"/>
      <c r="JIC409" s="120"/>
      <c r="JID409" s="120"/>
      <c r="JIE409" s="120"/>
      <c r="JIF409" s="121"/>
      <c r="JIG409" s="119"/>
      <c r="JIH409" s="120"/>
      <c r="JII409" s="120"/>
      <c r="JIJ409" s="120"/>
      <c r="JIK409" s="120"/>
      <c r="JIL409" s="120"/>
      <c r="JIM409" s="121"/>
      <c r="JIN409" s="119"/>
      <c r="JIO409" s="120"/>
      <c r="JIP409" s="120"/>
      <c r="JIQ409" s="120"/>
      <c r="JIR409" s="120"/>
      <c r="JIS409" s="120"/>
      <c r="JIT409" s="121"/>
      <c r="JIU409" s="119"/>
      <c r="JIV409" s="120"/>
      <c r="JIW409" s="120"/>
      <c r="JIX409" s="120"/>
      <c r="JIY409" s="120"/>
      <c r="JIZ409" s="120"/>
      <c r="JJA409" s="121"/>
      <c r="JJB409" s="119"/>
      <c r="JJC409" s="120"/>
      <c r="JJD409" s="120"/>
      <c r="JJE409" s="120"/>
      <c r="JJF409" s="120"/>
      <c r="JJG409" s="120"/>
      <c r="JJH409" s="121"/>
      <c r="JJI409" s="119"/>
      <c r="JJJ409" s="120"/>
      <c r="JJK409" s="120"/>
      <c r="JJL409" s="120"/>
      <c r="JJM409" s="120"/>
      <c r="JJN409" s="120"/>
      <c r="JJO409" s="121"/>
      <c r="JJP409" s="119"/>
      <c r="JJQ409" s="120"/>
      <c r="JJR409" s="120"/>
      <c r="JJS409" s="120"/>
      <c r="JJT409" s="120"/>
      <c r="JJU409" s="120"/>
      <c r="JJV409" s="121"/>
      <c r="JJW409" s="119"/>
      <c r="JJX409" s="120"/>
      <c r="JJY409" s="120"/>
      <c r="JJZ409" s="120"/>
      <c r="JKA409" s="120"/>
      <c r="JKB409" s="120"/>
      <c r="JKC409" s="121"/>
      <c r="JKD409" s="119"/>
      <c r="JKE409" s="120"/>
      <c r="JKF409" s="120"/>
      <c r="JKG409" s="120"/>
      <c r="JKH409" s="120"/>
      <c r="JKI409" s="120"/>
      <c r="JKJ409" s="121"/>
      <c r="JKK409" s="119"/>
      <c r="JKL409" s="120"/>
      <c r="JKM409" s="120"/>
      <c r="JKN409" s="120"/>
      <c r="JKO409" s="120"/>
      <c r="JKP409" s="120"/>
      <c r="JKQ409" s="121"/>
      <c r="JKR409" s="119"/>
      <c r="JKS409" s="120"/>
      <c r="JKT409" s="120"/>
      <c r="JKU409" s="120"/>
      <c r="JKV409" s="120"/>
      <c r="JKW409" s="120"/>
      <c r="JKX409" s="121"/>
      <c r="JKY409" s="119"/>
      <c r="JKZ409" s="120"/>
      <c r="JLA409" s="120"/>
      <c r="JLB409" s="120"/>
      <c r="JLC409" s="120"/>
      <c r="JLD409" s="120"/>
      <c r="JLE409" s="121"/>
      <c r="JLF409" s="119"/>
      <c r="JLG409" s="120"/>
      <c r="JLH409" s="120"/>
      <c r="JLI409" s="120"/>
      <c r="JLJ409" s="120"/>
      <c r="JLK409" s="120"/>
      <c r="JLL409" s="121"/>
      <c r="JLM409" s="119"/>
      <c r="JLN409" s="120"/>
      <c r="JLO409" s="120"/>
      <c r="JLP409" s="120"/>
      <c r="JLQ409" s="120"/>
      <c r="JLR409" s="120"/>
      <c r="JLS409" s="121"/>
      <c r="JLT409" s="119"/>
      <c r="JLU409" s="120"/>
      <c r="JLV409" s="120"/>
      <c r="JLW409" s="120"/>
      <c r="JLX409" s="120"/>
      <c r="JLY409" s="120"/>
      <c r="JLZ409" s="121"/>
      <c r="JMA409" s="119"/>
      <c r="JMB409" s="120"/>
      <c r="JMC409" s="120"/>
      <c r="JMD409" s="120"/>
      <c r="JME409" s="120"/>
      <c r="JMF409" s="120"/>
      <c r="JMG409" s="121"/>
      <c r="JMH409" s="119"/>
      <c r="JMI409" s="120"/>
      <c r="JMJ409" s="120"/>
      <c r="JMK409" s="120"/>
      <c r="JML409" s="120"/>
      <c r="JMM409" s="120"/>
      <c r="JMN409" s="121"/>
      <c r="JMO409" s="119"/>
      <c r="JMP409" s="120"/>
      <c r="JMQ409" s="120"/>
      <c r="JMR409" s="120"/>
      <c r="JMS409" s="120"/>
      <c r="JMT409" s="120"/>
      <c r="JMU409" s="121"/>
      <c r="JMV409" s="119"/>
      <c r="JMW409" s="120"/>
      <c r="JMX409" s="120"/>
      <c r="JMY409" s="120"/>
      <c r="JMZ409" s="120"/>
      <c r="JNA409" s="120"/>
      <c r="JNB409" s="121"/>
      <c r="JNC409" s="119"/>
      <c r="JND409" s="120"/>
      <c r="JNE409" s="120"/>
      <c r="JNF409" s="120"/>
      <c r="JNG409" s="120"/>
      <c r="JNH409" s="120"/>
      <c r="JNI409" s="121"/>
      <c r="JNJ409" s="119"/>
      <c r="JNK409" s="120"/>
      <c r="JNL409" s="120"/>
      <c r="JNM409" s="120"/>
      <c r="JNN409" s="120"/>
      <c r="JNO409" s="120"/>
      <c r="JNP409" s="121"/>
      <c r="JNQ409" s="119"/>
      <c r="JNR409" s="120"/>
      <c r="JNS409" s="120"/>
      <c r="JNT409" s="120"/>
      <c r="JNU409" s="120"/>
      <c r="JNV409" s="120"/>
      <c r="JNW409" s="121"/>
      <c r="JNX409" s="119"/>
      <c r="JNY409" s="120"/>
      <c r="JNZ409" s="120"/>
      <c r="JOA409" s="120"/>
      <c r="JOB409" s="120"/>
      <c r="JOC409" s="120"/>
      <c r="JOD409" s="121"/>
      <c r="JOE409" s="119"/>
      <c r="JOF409" s="120"/>
      <c r="JOG409" s="120"/>
      <c r="JOH409" s="120"/>
      <c r="JOI409" s="120"/>
      <c r="JOJ409" s="120"/>
      <c r="JOK409" s="121"/>
      <c r="JOL409" s="119"/>
      <c r="JOM409" s="120"/>
      <c r="JON409" s="120"/>
      <c r="JOO409" s="120"/>
      <c r="JOP409" s="120"/>
      <c r="JOQ409" s="120"/>
      <c r="JOR409" s="121"/>
      <c r="JOS409" s="119"/>
      <c r="JOT409" s="120"/>
      <c r="JOU409" s="120"/>
      <c r="JOV409" s="120"/>
      <c r="JOW409" s="120"/>
      <c r="JOX409" s="120"/>
      <c r="JOY409" s="121"/>
      <c r="JOZ409" s="119"/>
      <c r="JPA409" s="120"/>
      <c r="JPB409" s="120"/>
      <c r="JPC409" s="120"/>
      <c r="JPD409" s="120"/>
      <c r="JPE409" s="120"/>
      <c r="JPF409" s="121"/>
      <c r="JPG409" s="119"/>
      <c r="JPH409" s="120"/>
      <c r="JPI409" s="120"/>
      <c r="JPJ409" s="120"/>
      <c r="JPK409" s="120"/>
      <c r="JPL409" s="120"/>
      <c r="JPM409" s="121"/>
      <c r="JPN409" s="119"/>
      <c r="JPO409" s="120"/>
      <c r="JPP409" s="120"/>
      <c r="JPQ409" s="120"/>
      <c r="JPR409" s="120"/>
      <c r="JPS409" s="120"/>
      <c r="JPT409" s="121"/>
      <c r="JPU409" s="119"/>
      <c r="JPV409" s="120"/>
      <c r="JPW409" s="120"/>
      <c r="JPX409" s="120"/>
      <c r="JPY409" s="120"/>
      <c r="JPZ409" s="120"/>
      <c r="JQA409" s="121"/>
      <c r="JQB409" s="119"/>
      <c r="JQC409" s="120"/>
      <c r="JQD409" s="120"/>
      <c r="JQE409" s="120"/>
      <c r="JQF409" s="120"/>
      <c r="JQG409" s="120"/>
      <c r="JQH409" s="121"/>
      <c r="JQI409" s="119"/>
      <c r="JQJ409" s="120"/>
      <c r="JQK409" s="120"/>
      <c r="JQL409" s="120"/>
      <c r="JQM409" s="120"/>
      <c r="JQN409" s="120"/>
      <c r="JQO409" s="121"/>
      <c r="JQP409" s="119"/>
      <c r="JQQ409" s="120"/>
      <c r="JQR409" s="120"/>
      <c r="JQS409" s="120"/>
      <c r="JQT409" s="120"/>
      <c r="JQU409" s="120"/>
      <c r="JQV409" s="121"/>
      <c r="JQW409" s="119"/>
      <c r="JQX409" s="120"/>
      <c r="JQY409" s="120"/>
      <c r="JQZ409" s="120"/>
      <c r="JRA409" s="120"/>
      <c r="JRB409" s="120"/>
      <c r="JRC409" s="121"/>
      <c r="JRD409" s="119"/>
      <c r="JRE409" s="120"/>
      <c r="JRF409" s="120"/>
      <c r="JRG409" s="120"/>
      <c r="JRH409" s="120"/>
      <c r="JRI409" s="120"/>
      <c r="JRJ409" s="121"/>
      <c r="JRK409" s="119"/>
      <c r="JRL409" s="120"/>
      <c r="JRM409" s="120"/>
      <c r="JRN409" s="120"/>
      <c r="JRO409" s="120"/>
      <c r="JRP409" s="120"/>
      <c r="JRQ409" s="121"/>
      <c r="JRR409" s="119"/>
      <c r="JRS409" s="120"/>
      <c r="JRT409" s="120"/>
      <c r="JRU409" s="120"/>
      <c r="JRV409" s="120"/>
      <c r="JRW409" s="120"/>
      <c r="JRX409" s="121"/>
      <c r="JRY409" s="119"/>
      <c r="JRZ409" s="120"/>
      <c r="JSA409" s="120"/>
      <c r="JSB409" s="120"/>
      <c r="JSC409" s="120"/>
      <c r="JSD409" s="120"/>
      <c r="JSE409" s="121"/>
      <c r="JSF409" s="119"/>
      <c r="JSG409" s="120"/>
      <c r="JSH409" s="120"/>
      <c r="JSI409" s="120"/>
      <c r="JSJ409" s="120"/>
      <c r="JSK409" s="120"/>
      <c r="JSL409" s="121"/>
      <c r="JSM409" s="119"/>
      <c r="JSN409" s="120"/>
      <c r="JSO409" s="120"/>
      <c r="JSP409" s="120"/>
      <c r="JSQ409" s="120"/>
      <c r="JSR409" s="120"/>
      <c r="JSS409" s="121"/>
      <c r="JST409" s="119"/>
      <c r="JSU409" s="120"/>
      <c r="JSV409" s="120"/>
      <c r="JSW409" s="120"/>
      <c r="JSX409" s="120"/>
      <c r="JSY409" s="120"/>
      <c r="JSZ409" s="121"/>
      <c r="JTA409" s="119"/>
      <c r="JTB409" s="120"/>
      <c r="JTC409" s="120"/>
      <c r="JTD409" s="120"/>
      <c r="JTE409" s="120"/>
      <c r="JTF409" s="120"/>
      <c r="JTG409" s="121"/>
      <c r="JTH409" s="119"/>
      <c r="JTI409" s="120"/>
      <c r="JTJ409" s="120"/>
      <c r="JTK409" s="120"/>
      <c r="JTL409" s="120"/>
      <c r="JTM409" s="120"/>
      <c r="JTN409" s="121"/>
      <c r="JTO409" s="119"/>
      <c r="JTP409" s="120"/>
      <c r="JTQ409" s="120"/>
      <c r="JTR409" s="120"/>
      <c r="JTS409" s="120"/>
      <c r="JTT409" s="120"/>
      <c r="JTU409" s="121"/>
      <c r="JTV409" s="119"/>
      <c r="JTW409" s="120"/>
      <c r="JTX409" s="120"/>
      <c r="JTY409" s="120"/>
      <c r="JTZ409" s="120"/>
      <c r="JUA409" s="120"/>
      <c r="JUB409" s="121"/>
      <c r="JUC409" s="119"/>
      <c r="JUD409" s="120"/>
      <c r="JUE409" s="120"/>
      <c r="JUF409" s="120"/>
      <c r="JUG409" s="120"/>
      <c r="JUH409" s="120"/>
      <c r="JUI409" s="121"/>
      <c r="JUJ409" s="119"/>
      <c r="JUK409" s="120"/>
      <c r="JUL409" s="120"/>
      <c r="JUM409" s="120"/>
      <c r="JUN409" s="120"/>
      <c r="JUO409" s="120"/>
      <c r="JUP409" s="121"/>
      <c r="JUQ409" s="119"/>
      <c r="JUR409" s="120"/>
      <c r="JUS409" s="120"/>
      <c r="JUT409" s="120"/>
      <c r="JUU409" s="120"/>
      <c r="JUV409" s="120"/>
      <c r="JUW409" s="121"/>
      <c r="JUX409" s="119"/>
      <c r="JUY409" s="120"/>
      <c r="JUZ409" s="120"/>
      <c r="JVA409" s="120"/>
      <c r="JVB409" s="120"/>
      <c r="JVC409" s="120"/>
      <c r="JVD409" s="121"/>
      <c r="JVE409" s="119"/>
      <c r="JVF409" s="120"/>
      <c r="JVG409" s="120"/>
      <c r="JVH409" s="120"/>
      <c r="JVI409" s="120"/>
      <c r="JVJ409" s="120"/>
      <c r="JVK409" s="121"/>
      <c r="JVL409" s="119"/>
      <c r="JVM409" s="120"/>
      <c r="JVN409" s="120"/>
      <c r="JVO409" s="120"/>
      <c r="JVP409" s="120"/>
      <c r="JVQ409" s="120"/>
      <c r="JVR409" s="121"/>
      <c r="JVS409" s="119"/>
      <c r="JVT409" s="120"/>
      <c r="JVU409" s="120"/>
      <c r="JVV409" s="120"/>
      <c r="JVW409" s="120"/>
      <c r="JVX409" s="120"/>
      <c r="JVY409" s="121"/>
      <c r="JVZ409" s="119"/>
      <c r="JWA409" s="120"/>
      <c r="JWB409" s="120"/>
      <c r="JWC409" s="120"/>
      <c r="JWD409" s="120"/>
      <c r="JWE409" s="120"/>
      <c r="JWF409" s="121"/>
      <c r="JWG409" s="119"/>
      <c r="JWH409" s="120"/>
      <c r="JWI409" s="120"/>
      <c r="JWJ409" s="120"/>
      <c r="JWK409" s="120"/>
      <c r="JWL409" s="120"/>
      <c r="JWM409" s="121"/>
      <c r="JWN409" s="119"/>
      <c r="JWO409" s="120"/>
      <c r="JWP409" s="120"/>
      <c r="JWQ409" s="120"/>
      <c r="JWR409" s="120"/>
      <c r="JWS409" s="120"/>
      <c r="JWT409" s="121"/>
      <c r="JWU409" s="119"/>
      <c r="JWV409" s="120"/>
      <c r="JWW409" s="120"/>
      <c r="JWX409" s="120"/>
      <c r="JWY409" s="120"/>
      <c r="JWZ409" s="120"/>
      <c r="JXA409" s="121"/>
      <c r="JXB409" s="119"/>
      <c r="JXC409" s="120"/>
      <c r="JXD409" s="120"/>
      <c r="JXE409" s="120"/>
      <c r="JXF409" s="120"/>
      <c r="JXG409" s="120"/>
      <c r="JXH409" s="121"/>
      <c r="JXI409" s="119"/>
      <c r="JXJ409" s="120"/>
      <c r="JXK409" s="120"/>
      <c r="JXL409" s="120"/>
      <c r="JXM409" s="120"/>
      <c r="JXN409" s="120"/>
      <c r="JXO409" s="121"/>
      <c r="JXP409" s="119"/>
      <c r="JXQ409" s="120"/>
      <c r="JXR409" s="120"/>
      <c r="JXS409" s="120"/>
      <c r="JXT409" s="120"/>
      <c r="JXU409" s="120"/>
      <c r="JXV409" s="121"/>
      <c r="JXW409" s="119"/>
      <c r="JXX409" s="120"/>
      <c r="JXY409" s="120"/>
      <c r="JXZ409" s="120"/>
      <c r="JYA409" s="120"/>
      <c r="JYB409" s="120"/>
      <c r="JYC409" s="121"/>
      <c r="JYD409" s="119"/>
      <c r="JYE409" s="120"/>
      <c r="JYF409" s="120"/>
      <c r="JYG409" s="120"/>
      <c r="JYH409" s="120"/>
      <c r="JYI409" s="120"/>
      <c r="JYJ409" s="121"/>
      <c r="JYK409" s="119"/>
      <c r="JYL409" s="120"/>
      <c r="JYM409" s="120"/>
      <c r="JYN409" s="120"/>
      <c r="JYO409" s="120"/>
      <c r="JYP409" s="120"/>
      <c r="JYQ409" s="121"/>
      <c r="JYR409" s="119"/>
      <c r="JYS409" s="120"/>
      <c r="JYT409" s="120"/>
      <c r="JYU409" s="120"/>
      <c r="JYV409" s="120"/>
      <c r="JYW409" s="120"/>
      <c r="JYX409" s="121"/>
      <c r="JYY409" s="119"/>
      <c r="JYZ409" s="120"/>
      <c r="JZA409" s="120"/>
      <c r="JZB409" s="120"/>
      <c r="JZC409" s="120"/>
      <c r="JZD409" s="120"/>
      <c r="JZE409" s="121"/>
      <c r="JZF409" s="119"/>
      <c r="JZG409" s="120"/>
      <c r="JZH409" s="120"/>
      <c r="JZI409" s="120"/>
      <c r="JZJ409" s="120"/>
      <c r="JZK409" s="120"/>
      <c r="JZL409" s="121"/>
      <c r="JZM409" s="119"/>
      <c r="JZN409" s="120"/>
      <c r="JZO409" s="120"/>
      <c r="JZP409" s="120"/>
      <c r="JZQ409" s="120"/>
      <c r="JZR409" s="120"/>
      <c r="JZS409" s="121"/>
      <c r="JZT409" s="119"/>
      <c r="JZU409" s="120"/>
      <c r="JZV409" s="120"/>
      <c r="JZW409" s="120"/>
      <c r="JZX409" s="120"/>
      <c r="JZY409" s="120"/>
      <c r="JZZ409" s="121"/>
      <c r="KAA409" s="119"/>
      <c r="KAB409" s="120"/>
      <c r="KAC409" s="120"/>
      <c r="KAD409" s="120"/>
      <c r="KAE409" s="120"/>
      <c r="KAF409" s="120"/>
      <c r="KAG409" s="121"/>
      <c r="KAH409" s="119"/>
      <c r="KAI409" s="120"/>
      <c r="KAJ409" s="120"/>
      <c r="KAK409" s="120"/>
      <c r="KAL409" s="120"/>
      <c r="KAM409" s="120"/>
      <c r="KAN409" s="121"/>
      <c r="KAO409" s="119"/>
      <c r="KAP409" s="120"/>
      <c r="KAQ409" s="120"/>
      <c r="KAR409" s="120"/>
      <c r="KAS409" s="120"/>
      <c r="KAT409" s="120"/>
      <c r="KAU409" s="121"/>
      <c r="KAV409" s="119"/>
      <c r="KAW409" s="120"/>
      <c r="KAX409" s="120"/>
      <c r="KAY409" s="120"/>
      <c r="KAZ409" s="120"/>
      <c r="KBA409" s="120"/>
      <c r="KBB409" s="121"/>
      <c r="KBC409" s="119"/>
      <c r="KBD409" s="120"/>
      <c r="KBE409" s="120"/>
      <c r="KBF409" s="120"/>
      <c r="KBG409" s="120"/>
      <c r="KBH409" s="120"/>
      <c r="KBI409" s="121"/>
      <c r="KBJ409" s="119"/>
      <c r="KBK409" s="120"/>
      <c r="KBL409" s="120"/>
      <c r="KBM409" s="120"/>
      <c r="KBN409" s="120"/>
      <c r="KBO409" s="120"/>
      <c r="KBP409" s="121"/>
      <c r="KBQ409" s="119"/>
      <c r="KBR409" s="120"/>
      <c r="KBS409" s="120"/>
      <c r="KBT409" s="120"/>
      <c r="KBU409" s="120"/>
      <c r="KBV409" s="120"/>
      <c r="KBW409" s="121"/>
      <c r="KBX409" s="119"/>
      <c r="KBY409" s="120"/>
      <c r="KBZ409" s="120"/>
      <c r="KCA409" s="120"/>
      <c r="KCB409" s="120"/>
      <c r="KCC409" s="120"/>
      <c r="KCD409" s="121"/>
      <c r="KCE409" s="119"/>
      <c r="KCF409" s="120"/>
      <c r="KCG409" s="120"/>
      <c r="KCH409" s="120"/>
      <c r="KCI409" s="120"/>
      <c r="KCJ409" s="120"/>
      <c r="KCK409" s="121"/>
      <c r="KCL409" s="119"/>
      <c r="KCM409" s="120"/>
      <c r="KCN409" s="120"/>
      <c r="KCO409" s="120"/>
      <c r="KCP409" s="120"/>
      <c r="KCQ409" s="120"/>
      <c r="KCR409" s="121"/>
      <c r="KCS409" s="119"/>
      <c r="KCT409" s="120"/>
      <c r="KCU409" s="120"/>
      <c r="KCV409" s="120"/>
      <c r="KCW409" s="120"/>
      <c r="KCX409" s="120"/>
      <c r="KCY409" s="121"/>
      <c r="KCZ409" s="119"/>
      <c r="KDA409" s="120"/>
      <c r="KDB409" s="120"/>
      <c r="KDC409" s="120"/>
      <c r="KDD409" s="120"/>
      <c r="KDE409" s="120"/>
      <c r="KDF409" s="121"/>
      <c r="KDG409" s="119"/>
      <c r="KDH409" s="120"/>
      <c r="KDI409" s="120"/>
      <c r="KDJ409" s="120"/>
      <c r="KDK409" s="120"/>
      <c r="KDL409" s="120"/>
      <c r="KDM409" s="121"/>
      <c r="KDN409" s="119"/>
      <c r="KDO409" s="120"/>
      <c r="KDP409" s="120"/>
      <c r="KDQ409" s="120"/>
      <c r="KDR409" s="120"/>
      <c r="KDS409" s="120"/>
      <c r="KDT409" s="121"/>
      <c r="KDU409" s="119"/>
      <c r="KDV409" s="120"/>
      <c r="KDW409" s="120"/>
      <c r="KDX409" s="120"/>
      <c r="KDY409" s="120"/>
      <c r="KDZ409" s="120"/>
      <c r="KEA409" s="121"/>
      <c r="KEB409" s="119"/>
      <c r="KEC409" s="120"/>
      <c r="KED409" s="120"/>
      <c r="KEE409" s="120"/>
      <c r="KEF409" s="120"/>
      <c r="KEG409" s="120"/>
      <c r="KEH409" s="121"/>
      <c r="KEI409" s="119"/>
      <c r="KEJ409" s="120"/>
      <c r="KEK409" s="120"/>
      <c r="KEL409" s="120"/>
      <c r="KEM409" s="120"/>
      <c r="KEN409" s="120"/>
      <c r="KEO409" s="121"/>
      <c r="KEP409" s="119"/>
      <c r="KEQ409" s="120"/>
      <c r="KER409" s="120"/>
      <c r="KES409" s="120"/>
      <c r="KET409" s="120"/>
      <c r="KEU409" s="120"/>
      <c r="KEV409" s="121"/>
      <c r="KEW409" s="119"/>
      <c r="KEX409" s="120"/>
      <c r="KEY409" s="120"/>
      <c r="KEZ409" s="120"/>
      <c r="KFA409" s="120"/>
      <c r="KFB409" s="120"/>
      <c r="KFC409" s="121"/>
      <c r="KFD409" s="119"/>
      <c r="KFE409" s="120"/>
      <c r="KFF409" s="120"/>
      <c r="KFG409" s="120"/>
      <c r="KFH409" s="120"/>
      <c r="KFI409" s="120"/>
      <c r="KFJ409" s="121"/>
      <c r="KFK409" s="119"/>
      <c r="KFL409" s="120"/>
      <c r="KFM409" s="120"/>
      <c r="KFN409" s="120"/>
      <c r="KFO409" s="120"/>
      <c r="KFP409" s="120"/>
      <c r="KFQ409" s="121"/>
      <c r="KFR409" s="119"/>
      <c r="KFS409" s="120"/>
      <c r="KFT409" s="120"/>
      <c r="KFU409" s="120"/>
      <c r="KFV409" s="120"/>
      <c r="KFW409" s="120"/>
      <c r="KFX409" s="121"/>
      <c r="KFY409" s="119"/>
      <c r="KFZ409" s="120"/>
      <c r="KGA409" s="120"/>
      <c r="KGB409" s="120"/>
      <c r="KGC409" s="120"/>
      <c r="KGD409" s="120"/>
      <c r="KGE409" s="121"/>
      <c r="KGF409" s="119"/>
      <c r="KGG409" s="120"/>
      <c r="KGH409" s="120"/>
      <c r="KGI409" s="120"/>
      <c r="KGJ409" s="120"/>
      <c r="KGK409" s="120"/>
      <c r="KGL409" s="121"/>
      <c r="KGM409" s="119"/>
      <c r="KGN409" s="120"/>
      <c r="KGO409" s="120"/>
      <c r="KGP409" s="120"/>
      <c r="KGQ409" s="120"/>
      <c r="KGR409" s="120"/>
      <c r="KGS409" s="121"/>
      <c r="KGT409" s="119"/>
      <c r="KGU409" s="120"/>
      <c r="KGV409" s="120"/>
      <c r="KGW409" s="120"/>
      <c r="KGX409" s="120"/>
      <c r="KGY409" s="120"/>
      <c r="KGZ409" s="121"/>
      <c r="KHA409" s="119"/>
      <c r="KHB409" s="120"/>
      <c r="KHC409" s="120"/>
      <c r="KHD409" s="120"/>
      <c r="KHE409" s="120"/>
      <c r="KHF409" s="120"/>
      <c r="KHG409" s="121"/>
      <c r="KHH409" s="119"/>
      <c r="KHI409" s="120"/>
      <c r="KHJ409" s="120"/>
      <c r="KHK409" s="120"/>
      <c r="KHL409" s="120"/>
      <c r="KHM409" s="120"/>
      <c r="KHN409" s="121"/>
      <c r="KHO409" s="119"/>
      <c r="KHP409" s="120"/>
      <c r="KHQ409" s="120"/>
      <c r="KHR409" s="120"/>
      <c r="KHS409" s="120"/>
      <c r="KHT409" s="120"/>
      <c r="KHU409" s="121"/>
      <c r="KHV409" s="119"/>
      <c r="KHW409" s="120"/>
      <c r="KHX409" s="120"/>
      <c r="KHY409" s="120"/>
      <c r="KHZ409" s="120"/>
      <c r="KIA409" s="120"/>
      <c r="KIB409" s="121"/>
      <c r="KIC409" s="119"/>
      <c r="KID409" s="120"/>
      <c r="KIE409" s="120"/>
      <c r="KIF409" s="120"/>
      <c r="KIG409" s="120"/>
      <c r="KIH409" s="120"/>
      <c r="KII409" s="121"/>
      <c r="KIJ409" s="119"/>
      <c r="KIK409" s="120"/>
      <c r="KIL409" s="120"/>
      <c r="KIM409" s="120"/>
      <c r="KIN409" s="120"/>
      <c r="KIO409" s="120"/>
      <c r="KIP409" s="121"/>
      <c r="KIQ409" s="119"/>
      <c r="KIR409" s="120"/>
      <c r="KIS409" s="120"/>
      <c r="KIT409" s="120"/>
      <c r="KIU409" s="120"/>
      <c r="KIV409" s="120"/>
      <c r="KIW409" s="121"/>
      <c r="KIX409" s="119"/>
      <c r="KIY409" s="120"/>
      <c r="KIZ409" s="120"/>
      <c r="KJA409" s="120"/>
      <c r="KJB409" s="120"/>
      <c r="KJC409" s="120"/>
      <c r="KJD409" s="121"/>
      <c r="KJE409" s="119"/>
      <c r="KJF409" s="120"/>
      <c r="KJG409" s="120"/>
      <c r="KJH409" s="120"/>
      <c r="KJI409" s="120"/>
      <c r="KJJ409" s="120"/>
      <c r="KJK409" s="121"/>
      <c r="KJL409" s="119"/>
      <c r="KJM409" s="120"/>
      <c r="KJN409" s="120"/>
      <c r="KJO409" s="120"/>
      <c r="KJP409" s="120"/>
      <c r="KJQ409" s="120"/>
      <c r="KJR409" s="121"/>
      <c r="KJS409" s="119"/>
      <c r="KJT409" s="120"/>
      <c r="KJU409" s="120"/>
      <c r="KJV409" s="120"/>
      <c r="KJW409" s="120"/>
      <c r="KJX409" s="120"/>
      <c r="KJY409" s="121"/>
      <c r="KJZ409" s="119"/>
      <c r="KKA409" s="120"/>
      <c r="KKB409" s="120"/>
      <c r="KKC409" s="120"/>
      <c r="KKD409" s="120"/>
      <c r="KKE409" s="120"/>
      <c r="KKF409" s="121"/>
      <c r="KKG409" s="119"/>
      <c r="KKH409" s="120"/>
      <c r="KKI409" s="120"/>
      <c r="KKJ409" s="120"/>
      <c r="KKK409" s="120"/>
      <c r="KKL409" s="120"/>
      <c r="KKM409" s="121"/>
      <c r="KKN409" s="119"/>
      <c r="KKO409" s="120"/>
      <c r="KKP409" s="120"/>
      <c r="KKQ409" s="120"/>
      <c r="KKR409" s="120"/>
      <c r="KKS409" s="120"/>
      <c r="KKT409" s="121"/>
      <c r="KKU409" s="119"/>
      <c r="KKV409" s="120"/>
      <c r="KKW409" s="120"/>
      <c r="KKX409" s="120"/>
      <c r="KKY409" s="120"/>
      <c r="KKZ409" s="120"/>
      <c r="KLA409" s="121"/>
      <c r="KLB409" s="119"/>
      <c r="KLC409" s="120"/>
      <c r="KLD409" s="120"/>
      <c r="KLE409" s="120"/>
      <c r="KLF409" s="120"/>
      <c r="KLG409" s="120"/>
      <c r="KLH409" s="121"/>
      <c r="KLI409" s="119"/>
      <c r="KLJ409" s="120"/>
      <c r="KLK409" s="120"/>
      <c r="KLL409" s="120"/>
      <c r="KLM409" s="120"/>
      <c r="KLN409" s="120"/>
      <c r="KLO409" s="121"/>
      <c r="KLP409" s="119"/>
      <c r="KLQ409" s="120"/>
      <c r="KLR409" s="120"/>
      <c r="KLS409" s="120"/>
      <c r="KLT409" s="120"/>
      <c r="KLU409" s="120"/>
      <c r="KLV409" s="121"/>
      <c r="KLW409" s="119"/>
      <c r="KLX409" s="120"/>
      <c r="KLY409" s="120"/>
      <c r="KLZ409" s="120"/>
      <c r="KMA409" s="120"/>
      <c r="KMB409" s="120"/>
      <c r="KMC409" s="121"/>
      <c r="KMD409" s="119"/>
      <c r="KME409" s="120"/>
      <c r="KMF409" s="120"/>
      <c r="KMG409" s="120"/>
      <c r="KMH409" s="120"/>
      <c r="KMI409" s="120"/>
      <c r="KMJ409" s="121"/>
      <c r="KMK409" s="119"/>
      <c r="KML409" s="120"/>
      <c r="KMM409" s="120"/>
      <c r="KMN409" s="120"/>
      <c r="KMO409" s="120"/>
      <c r="KMP409" s="120"/>
      <c r="KMQ409" s="121"/>
      <c r="KMR409" s="119"/>
      <c r="KMS409" s="120"/>
      <c r="KMT409" s="120"/>
      <c r="KMU409" s="120"/>
      <c r="KMV409" s="120"/>
      <c r="KMW409" s="120"/>
      <c r="KMX409" s="121"/>
      <c r="KMY409" s="119"/>
      <c r="KMZ409" s="120"/>
      <c r="KNA409" s="120"/>
      <c r="KNB409" s="120"/>
      <c r="KNC409" s="120"/>
      <c r="KND409" s="120"/>
      <c r="KNE409" s="121"/>
      <c r="KNF409" s="119"/>
      <c r="KNG409" s="120"/>
      <c r="KNH409" s="120"/>
      <c r="KNI409" s="120"/>
      <c r="KNJ409" s="120"/>
      <c r="KNK409" s="120"/>
      <c r="KNL409" s="121"/>
      <c r="KNM409" s="119"/>
      <c r="KNN409" s="120"/>
      <c r="KNO409" s="120"/>
      <c r="KNP409" s="120"/>
      <c r="KNQ409" s="120"/>
      <c r="KNR409" s="120"/>
      <c r="KNS409" s="121"/>
      <c r="KNT409" s="119"/>
      <c r="KNU409" s="120"/>
      <c r="KNV409" s="120"/>
      <c r="KNW409" s="120"/>
      <c r="KNX409" s="120"/>
      <c r="KNY409" s="120"/>
      <c r="KNZ409" s="121"/>
      <c r="KOA409" s="119"/>
      <c r="KOB409" s="120"/>
      <c r="KOC409" s="120"/>
      <c r="KOD409" s="120"/>
      <c r="KOE409" s="120"/>
      <c r="KOF409" s="120"/>
      <c r="KOG409" s="121"/>
      <c r="KOH409" s="119"/>
      <c r="KOI409" s="120"/>
      <c r="KOJ409" s="120"/>
      <c r="KOK409" s="120"/>
      <c r="KOL409" s="120"/>
      <c r="KOM409" s="120"/>
      <c r="KON409" s="121"/>
      <c r="KOO409" s="119"/>
      <c r="KOP409" s="120"/>
      <c r="KOQ409" s="120"/>
      <c r="KOR409" s="120"/>
      <c r="KOS409" s="120"/>
      <c r="KOT409" s="120"/>
      <c r="KOU409" s="121"/>
      <c r="KOV409" s="119"/>
      <c r="KOW409" s="120"/>
      <c r="KOX409" s="120"/>
      <c r="KOY409" s="120"/>
      <c r="KOZ409" s="120"/>
      <c r="KPA409" s="120"/>
      <c r="KPB409" s="121"/>
      <c r="KPC409" s="119"/>
      <c r="KPD409" s="120"/>
      <c r="KPE409" s="120"/>
      <c r="KPF409" s="120"/>
      <c r="KPG409" s="120"/>
      <c r="KPH409" s="120"/>
      <c r="KPI409" s="121"/>
      <c r="KPJ409" s="119"/>
      <c r="KPK409" s="120"/>
      <c r="KPL409" s="120"/>
      <c r="KPM409" s="120"/>
      <c r="KPN409" s="120"/>
      <c r="KPO409" s="120"/>
      <c r="KPP409" s="121"/>
      <c r="KPQ409" s="119"/>
      <c r="KPR409" s="120"/>
      <c r="KPS409" s="120"/>
      <c r="KPT409" s="120"/>
      <c r="KPU409" s="120"/>
      <c r="KPV409" s="120"/>
      <c r="KPW409" s="121"/>
      <c r="KPX409" s="119"/>
      <c r="KPY409" s="120"/>
      <c r="KPZ409" s="120"/>
      <c r="KQA409" s="120"/>
      <c r="KQB409" s="120"/>
      <c r="KQC409" s="120"/>
      <c r="KQD409" s="121"/>
      <c r="KQE409" s="119"/>
      <c r="KQF409" s="120"/>
      <c r="KQG409" s="120"/>
      <c r="KQH409" s="120"/>
      <c r="KQI409" s="120"/>
      <c r="KQJ409" s="120"/>
      <c r="KQK409" s="121"/>
      <c r="KQL409" s="119"/>
      <c r="KQM409" s="120"/>
      <c r="KQN409" s="120"/>
      <c r="KQO409" s="120"/>
      <c r="KQP409" s="120"/>
      <c r="KQQ409" s="120"/>
      <c r="KQR409" s="121"/>
      <c r="KQS409" s="119"/>
      <c r="KQT409" s="120"/>
      <c r="KQU409" s="120"/>
      <c r="KQV409" s="120"/>
      <c r="KQW409" s="120"/>
      <c r="KQX409" s="120"/>
      <c r="KQY409" s="121"/>
      <c r="KQZ409" s="119"/>
      <c r="KRA409" s="120"/>
      <c r="KRB409" s="120"/>
      <c r="KRC409" s="120"/>
      <c r="KRD409" s="120"/>
      <c r="KRE409" s="120"/>
      <c r="KRF409" s="121"/>
      <c r="KRG409" s="119"/>
      <c r="KRH409" s="120"/>
      <c r="KRI409" s="120"/>
      <c r="KRJ409" s="120"/>
      <c r="KRK409" s="120"/>
      <c r="KRL409" s="120"/>
      <c r="KRM409" s="121"/>
      <c r="KRN409" s="119"/>
      <c r="KRO409" s="120"/>
      <c r="KRP409" s="120"/>
      <c r="KRQ409" s="120"/>
      <c r="KRR409" s="120"/>
      <c r="KRS409" s="120"/>
      <c r="KRT409" s="121"/>
      <c r="KRU409" s="119"/>
      <c r="KRV409" s="120"/>
      <c r="KRW409" s="120"/>
      <c r="KRX409" s="120"/>
      <c r="KRY409" s="120"/>
      <c r="KRZ409" s="120"/>
      <c r="KSA409" s="121"/>
      <c r="KSB409" s="119"/>
      <c r="KSC409" s="120"/>
      <c r="KSD409" s="120"/>
      <c r="KSE409" s="120"/>
      <c r="KSF409" s="120"/>
      <c r="KSG409" s="120"/>
      <c r="KSH409" s="121"/>
      <c r="KSI409" s="119"/>
      <c r="KSJ409" s="120"/>
      <c r="KSK409" s="120"/>
      <c r="KSL409" s="120"/>
      <c r="KSM409" s="120"/>
      <c r="KSN409" s="120"/>
      <c r="KSO409" s="121"/>
      <c r="KSP409" s="119"/>
      <c r="KSQ409" s="120"/>
      <c r="KSR409" s="120"/>
      <c r="KSS409" s="120"/>
      <c r="KST409" s="120"/>
      <c r="KSU409" s="120"/>
      <c r="KSV409" s="121"/>
      <c r="KSW409" s="119"/>
      <c r="KSX409" s="120"/>
      <c r="KSY409" s="120"/>
      <c r="KSZ409" s="120"/>
      <c r="KTA409" s="120"/>
      <c r="KTB409" s="120"/>
      <c r="KTC409" s="121"/>
      <c r="KTD409" s="119"/>
      <c r="KTE409" s="120"/>
      <c r="KTF409" s="120"/>
      <c r="KTG409" s="120"/>
      <c r="KTH409" s="120"/>
      <c r="KTI409" s="120"/>
      <c r="KTJ409" s="121"/>
      <c r="KTK409" s="119"/>
      <c r="KTL409" s="120"/>
      <c r="KTM409" s="120"/>
      <c r="KTN409" s="120"/>
      <c r="KTO409" s="120"/>
      <c r="KTP409" s="120"/>
      <c r="KTQ409" s="121"/>
      <c r="KTR409" s="119"/>
      <c r="KTS409" s="120"/>
      <c r="KTT409" s="120"/>
      <c r="KTU409" s="120"/>
      <c r="KTV409" s="120"/>
      <c r="KTW409" s="120"/>
      <c r="KTX409" s="121"/>
      <c r="KTY409" s="119"/>
      <c r="KTZ409" s="120"/>
      <c r="KUA409" s="120"/>
      <c r="KUB409" s="120"/>
      <c r="KUC409" s="120"/>
      <c r="KUD409" s="120"/>
      <c r="KUE409" s="121"/>
      <c r="KUF409" s="119"/>
      <c r="KUG409" s="120"/>
      <c r="KUH409" s="120"/>
      <c r="KUI409" s="120"/>
      <c r="KUJ409" s="120"/>
      <c r="KUK409" s="120"/>
      <c r="KUL409" s="121"/>
      <c r="KUM409" s="119"/>
      <c r="KUN409" s="120"/>
      <c r="KUO409" s="120"/>
      <c r="KUP409" s="120"/>
      <c r="KUQ409" s="120"/>
      <c r="KUR409" s="120"/>
      <c r="KUS409" s="121"/>
      <c r="KUT409" s="119"/>
      <c r="KUU409" s="120"/>
      <c r="KUV409" s="120"/>
      <c r="KUW409" s="120"/>
      <c r="KUX409" s="120"/>
      <c r="KUY409" s="120"/>
      <c r="KUZ409" s="121"/>
      <c r="KVA409" s="119"/>
      <c r="KVB409" s="120"/>
      <c r="KVC409" s="120"/>
      <c r="KVD409" s="120"/>
      <c r="KVE409" s="120"/>
      <c r="KVF409" s="120"/>
      <c r="KVG409" s="121"/>
      <c r="KVH409" s="119"/>
      <c r="KVI409" s="120"/>
      <c r="KVJ409" s="120"/>
      <c r="KVK409" s="120"/>
      <c r="KVL409" s="120"/>
      <c r="KVM409" s="120"/>
      <c r="KVN409" s="121"/>
      <c r="KVO409" s="119"/>
      <c r="KVP409" s="120"/>
      <c r="KVQ409" s="120"/>
      <c r="KVR409" s="120"/>
      <c r="KVS409" s="120"/>
      <c r="KVT409" s="120"/>
      <c r="KVU409" s="121"/>
      <c r="KVV409" s="119"/>
      <c r="KVW409" s="120"/>
      <c r="KVX409" s="120"/>
      <c r="KVY409" s="120"/>
      <c r="KVZ409" s="120"/>
      <c r="KWA409" s="120"/>
      <c r="KWB409" s="121"/>
      <c r="KWC409" s="119"/>
      <c r="KWD409" s="120"/>
      <c r="KWE409" s="120"/>
      <c r="KWF409" s="120"/>
      <c r="KWG409" s="120"/>
      <c r="KWH409" s="120"/>
      <c r="KWI409" s="121"/>
      <c r="KWJ409" s="119"/>
      <c r="KWK409" s="120"/>
      <c r="KWL409" s="120"/>
      <c r="KWM409" s="120"/>
      <c r="KWN409" s="120"/>
      <c r="KWO409" s="120"/>
      <c r="KWP409" s="121"/>
      <c r="KWQ409" s="119"/>
      <c r="KWR409" s="120"/>
      <c r="KWS409" s="120"/>
      <c r="KWT409" s="120"/>
      <c r="KWU409" s="120"/>
      <c r="KWV409" s="120"/>
      <c r="KWW409" s="121"/>
      <c r="KWX409" s="119"/>
      <c r="KWY409" s="120"/>
      <c r="KWZ409" s="120"/>
      <c r="KXA409" s="120"/>
      <c r="KXB409" s="120"/>
      <c r="KXC409" s="120"/>
      <c r="KXD409" s="121"/>
      <c r="KXE409" s="119"/>
      <c r="KXF409" s="120"/>
      <c r="KXG409" s="120"/>
      <c r="KXH409" s="120"/>
      <c r="KXI409" s="120"/>
      <c r="KXJ409" s="120"/>
      <c r="KXK409" s="121"/>
      <c r="KXL409" s="119"/>
      <c r="KXM409" s="120"/>
      <c r="KXN409" s="120"/>
      <c r="KXO409" s="120"/>
      <c r="KXP409" s="120"/>
      <c r="KXQ409" s="120"/>
      <c r="KXR409" s="121"/>
      <c r="KXS409" s="119"/>
      <c r="KXT409" s="120"/>
      <c r="KXU409" s="120"/>
      <c r="KXV409" s="120"/>
      <c r="KXW409" s="120"/>
      <c r="KXX409" s="120"/>
      <c r="KXY409" s="121"/>
      <c r="KXZ409" s="119"/>
      <c r="KYA409" s="120"/>
      <c r="KYB409" s="120"/>
      <c r="KYC409" s="120"/>
      <c r="KYD409" s="120"/>
      <c r="KYE409" s="120"/>
      <c r="KYF409" s="121"/>
      <c r="KYG409" s="119"/>
      <c r="KYH409" s="120"/>
      <c r="KYI409" s="120"/>
      <c r="KYJ409" s="120"/>
      <c r="KYK409" s="120"/>
      <c r="KYL409" s="120"/>
      <c r="KYM409" s="121"/>
      <c r="KYN409" s="119"/>
      <c r="KYO409" s="120"/>
      <c r="KYP409" s="120"/>
      <c r="KYQ409" s="120"/>
      <c r="KYR409" s="120"/>
      <c r="KYS409" s="120"/>
      <c r="KYT409" s="121"/>
      <c r="KYU409" s="119"/>
      <c r="KYV409" s="120"/>
      <c r="KYW409" s="120"/>
      <c r="KYX409" s="120"/>
      <c r="KYY409" s="120"/>
      <c r="KYZ409" s="120"/>
      <c r="KZA409" s="121"/>
      <c r="KZB409" s="119"/>
      <c r="KZC409" s="120"/>
      <c r="KZD409" s="120"/>
      <c r="KZE409" s="120"/>
      <c r="KZF409" s="120"/>
      <c r="KZG409" s="120"/>
      <c r="KZH409" s="121"/>
      <c r="KZI409" s="119"/>
      <c r="KZJ409" s="120"/>
      <c r="KZK409" s="120"/>
      <c r="KZL409" s="120"/>
      <c r="KZM409" s="120"/>
      <c r="KZN409" s="120"/>
      <c r="KZO409" s="121"/>
      <c r="KZP409" s="119"/>
      <c r="KZQ409" s="120"/>
      <c r="KZR409" s="120"/>
      <c r="KZS409" s="120"/>
      <c r="KZT409" s="120"/>
      <c r="KZU409" s="120"/>
      <c r="KZV409" s="121"/>
      <c r="KZW409" s="119"/>
      <c r="KZX409" s="120"/>
      <c r="KZY409" s="120"/>
      <c r="KZZ409" s="120"/>
      <c r="LAA409" s="120"/>
      <c r="LAB409" s="120"/>
      <c r="LAC409" s="121"/>
      <c r="LAD409" s="119"/>
      <c r="LAE409" s="120"/>
      <c r="LAF409" s="120"/>
      <c r="LAG409" s="120"/>
      <c r="LAH409" s="120"/>
      <c r="LAI409" s="120"/>
      <c r="LAJ409" s="121"/>
      <c r="LAK409" s="119"/>
      <c r="LAL409" s="120"/>
      <c r="LAM409" s="120"/>
      <c r="LAN409" s="120"/>
      <c r="LAO409" s="120"/>
      <c r="LAP409" s="120"/>
      <c r="LAQ409" s="121"/>
      <c r="LAR409" s="119"/>
      <c r="LAS409" s="120"/>
      <c r="LAT409" s="120"/>
      <c r="LAU409" s="120"/>
      <c r="LAV409" s="120"/>
      <c r="LAW409" s="120"/>
      <c r="LAX409" s="121"/>
      <c r="LAY409" s="119"/>
      <c r="LAZ409" s="120"/>
      <c r="LBA409" s="120"/>
      <c r="LBB409" s="120"/>
      <c r="LBC409" s="120"/>
      <c r="LBD409" s="120"/>
      <c r="LBE409" s="121"/>
      <c r="LBF409" s="119"/>
      <c r="LBG409" s="120"/>
      <c r="LBH409" s="120"/>
      <c r="LBI409" s="120"/>
      <c r="LBJ409" s="120"/>
      <c r="LBK409" s="120"/>
      <c r="LBL409" s="121"/>
      <c r="LBM409" s="119"/>
      <c r="LBN409" s="120"/>
      <c r="LBO409" s="120"/>
      <c r="LBP409" s="120"/>
      <c r="LBQ409" s="120"/>
      <c r="LBR409" s="120"/>
      <c r="LBS409" s="121"/>
      <c r="LBT409" s="119"/>
      <c r="LBU409" s="120"/>
      <c r="LBV409" s="120"/>
      <c r="LBW409" s="120"/>
      <c r="LBX409" s="120"/>
      <c r="LBY409" s="120"/>
      <c r="LBZ409" s="121"/>
      <c r="LCA409" s="119"/>
      <c r="LCB409" s="120"/>
      <c r="LCC409" s="120"/>
      <c r="LCD409" s="120"/>
      <c r="LCE409" s="120"/>
      <c r="LCF409" s="120"/>
      <c r="LCG409" s="121"/>
      <c r="LCH409" s="119"/>
      <c r="LCI409" s="120"/>
      <c r="LCJ409" s="120"/>
      <c r="LCK409" s="120"/>
      <c r="LCL409" s="120"/>
      <c r="LCM409" s="120"/>
      <c r="LCN409" s="121"/>
      <c r="LCO409" s="119"/>
      <c r="LCP409" s="120"/>
      <c r="LCQ409" s="120"/>
      <c r="LCR409" s="120"/>
      <c r="LCS409" s="120"/>
      <c r="LCT409" s="120"/>
      <c r="LCU409" s="121"/>
      <c r="LCV409" s="119"/>
      <c r="LCW409" s="120"/>
      <c r="LCX409" s="120"/>
      <c r="LCY409" s="120"/>
      <c r="LCZ409" s="120"/>
      <c r="LDA409" s="120"/>
      <c r="LDB409" s="121"/>
      <c r="LDC409" s="119"/>
      <c r="LDD409" s="120"/>
      <c r="LDE409" s="120"/>
      <c r="LDF409" s="120"/>
      <c r="LDG409" s="120"/>
      <c r="LDH409" s="120"/>
      <c r="LDI409" s="121"/>
      <c r="LDJ409" s="119"/>
      <c r="LDK409" s="120"/>
      <c r="LDL409" s="120"/>
      <c r="LDM409" s="120"/>
      <c r="LDN409" s="120"/>
      <c r="LDO409" s="120"/>
      <c r="LDP409" s="121"/>
      <c r="LDQ409" s="119"/>
      <c r="LDR409" s="120"/>
      <c r="LDS409" s="120"/>
      <c r="LDT409" s="120"/>
      <c r="LDU409" s="120"/>
      <c r="LDV409" s="120"/>
      <c r="LDW409" s="121"/>
      <c r="LDX409" s="119"/>
      <c r="LDY409" s="120"/>
      <c r="LDZ409" s="120"/>
      <c r="LEA409" s="120"/>
      <c r="LEB409" s="120"/>
      <c r="LEC409" s="120"/>
      <c r="LED409" s="121"/>
      <c r="LEE409" s="119"/>
      <c r="LEF409" s="120"/>
      <c r="LEG409" s="120"/>
      <c r="LEH409" s="120"/>
      <c r="LEI409" s="120"/>
      <c r="LEJ409" s="120"/>
      <c r="LEK409" s="121"/>
      <c r="LEL409" s="119"/>
      <c r="LEM409" s="120"/>
      <c r="LEN409" s="120"/>
      <c r="LEO409" s="120"/>
      <c r="LEP409" s="120"/>
      <c r="LEQ409" s="120"/>
      <c r="LER409" s="121"/>
      <c r="LES409" s="119"/>
      <c r="LET409" s="120"/>
      <c r="LEU409" s="120"/>
      <c r="LEV409" s="120"/>
      <c r="LEW409" s="120"/>
      <c r="LEX409" s="120"/>
      <c r="LEY409" s="121"/>
      <c r="LEZ409" s="119"/>
      <c r="LFA409" s="120"/>
      <c r="LFB409" s="120"/>
      <c r="LFC409" s="120"/>
      <c r="LFD409" s="120"/>
      <c r="LFE409" s="120"/>
      <c r="LFF409" s="121"/>
      <c r="LFG409" s="119"/>
      <c r="LFH409" s="120"/>
      <c r="LFI409" s="120"/>
      <c r="LFJ409" s="120"/>
      <c r="LFK409" s="120"/>
      <c r="LFL409" s="120"/>
      <c r="LFM409" s="121"/>
      <c r="LFN409" s="119"/>
      <c r="LFO409" s="120"/>
      <c r="LFP409" s="120"/>
      <c r="LFQ409" s="120"/>
      <c r="LFR409" s="120"/>
      <c r="LFS409" s="120"/>
      <c r="LFT409" s="121"/>
      <c r="LFU409" s="119"/>
      <c r="LFV409" s="120"/>
      <c r="LFW409" s="120"/>
      <c r="LFX409" s="120"/>
      <c r="LFY409" s="120"/>
      <c r="LFZ409" s="120"/>
      <c r="LGA409" s="121"/>
      <c r="LGB409" s="119"/>
      <c r="LGC409" s="120"/>
      <c r="LGD409" s="120"/>
      <c r="LGE409" s="120"/>
      <c r="LGF409" s="120"/>
      <c r="LGG409" s="120"/>
      <c r="LGH409" s="121"/>
      <c r="LGI409" s="119"/>
      <c r="LGJ409" s="120"/>
      <c r="LGK409" s="120"/>
      <c r="LGL409" s="120"/>
      <c r="LGM409" s="120"/>
      <c r="LGN409" s="120"/>
      <c r="LGO409" s="121"/>
      <c r="LGP409" s="119"/>
      <c r="LGQ409" s="120"/>
      <c r="LGR409" s="120"/>
      <c r="LGS409" s="120"/>
      <c r="LGT409" s="120"/>
      <c r="LGU409" s="120"/>
      <c r="LGV409" s="121"/>
      <c r="LGW409" s="119"/>
      <c r="LGX409" s="120"/>
      <c r="LGY409" s="120"/>
      <c r="LGZ409" s="120"/>
      <c r="LHA409" s="120"/>
      <c r="LHB409" s="120"/>
      <c r="LHC409" s="121"/>
      <c r="LHD409" s="119"/>
      <c r="LHE409" s="120"/>
      <c r="LHF409" s="120"/>
      <c r="LHG409" s="120"/>
      <c r="LHH409" s="120"/>
      <c r="LHI409" s="120"/>
      <c r="LHJ409" s="121"/>
      <c r="LHK409" s="119"/>
      <c r="LHL409" s="120"/>
      <c r="LHM409" s="120"/>
      <c r="LHN409" s="120"/>
      <c r="LHO409" s="120"/>
      <c r="LHP409" s="120"/>
      <c r="LHQ409" s="121"/>
      <c r="LHR409" s="119"/>
      <c r="LHS409" s="120"/>
      <c r="LHT409" s="120"/>
      <c r="LHU409" s="120"/>
      <c r="LHV409" s="120"/>
      <c r="LHW409" s="120"/>
      <c r="LHX409" s="121"/>
      <c r="LHY409" s="119"/>
      <c r="LHZ409" s="120"/>
      <c r="LIA409" s="120"/>
      <c r="LIB409" s="120"/>
      <c r="LIC409" s="120"/>
      <c r="LID409" s="120"/>
      <c r="LIE409" s="121"/>
      <c r="LIF409" s="119"/>
      <c r="LIG409" s="120"/>
      <c r="LIH409" s="120"/>
      <c r="LII409" s="120"/>
      <c r="LIJ409" s="120"/>
      <c r="LIK409" s="120"/>
      <c r="LIL409" s="121"/>
      <c r="LIM409" s="119"/>
      <c r="LIN409" s="120"/>
      <c r="LIO409" s="120"/>
      <c r="LIP409" s="120"/>
      <c r="LIQ409" s="120"/>
      <c r="LIR409" s="120"/>
      <c r="LIS409" s="121"/>
      <c r="LIT409" s="119"/>
      <c r="LIU409" s="120"/>
      <c r="LIV409" s="120"/>
      <c r="LIW409" s="120"/>
      <c r="LIX409" s="120"/>
      <c r="LIY409" s="120"/>
      <c r="LIZ409" s="121"/>
      <c r="LJA409" s="119"/>
      <c r="LJB409" s="120"/>
      <c r="LJC409" s="120"/>
      <c r="LJD409" s="120"/>
      <c r="LJE409" s="120"/>
      <c r="LJF409" s="120"/>
      <c r="LJG409" s="121"/>
      <c r="LJH409" s="119"/>
      <c r="LJI409" s="120"/>
      <c r="LJJ409" s="120"/>
      <c r="LJK409" s="120"/>
      <c r="LJL409" s="120"/>
      <c r="LJM409" s="120"/>
      <c r="LJN409" s="121"/>
      <c r="LJO409" s="119"/>
      <c r="LJP409" s="120"/>
      <c r="LJQ409" s="120"/>
      <c r="LJR409" s="120"/>
      <c r="LJS409" s="120"/>
      <c r="LJT409" s="120"/>
      <c r="LJU409" s="121"/>
      <c r="LJV409" s="119"/>
      <c r="LJW409" s="120"/>
      <c r="LJX409" s="120"/>
      <c r="LJY409" s="120"/>
      <c r="LJZ409" s="120"/>
      <c r="LKA409" s="120"/>
      <c r="LKB409" s="121"/>
      <c r="LKC409" s="119"/>
      <c r="LKD409" s="120"/>
      <c r="LKE409" s="120"/>
      <c r="LKF409" s="120"/>
      <c r="LKG409" s="120"/>
      <c r="LKH409" s="120"/>
      <c r="LKI409" s="121"/>
      <c r="LKJ409" s="119"/>
      <c r="LKK409" s="120"/>
      <c r="LKL409" s="120"/>
      <c r="LKM409" s="120"/>
      <c r="LKN409" s="120"/>
      <c r="LKO409" s="120"/>
      <c r="LKP409" s="121"/>
      <c r="LKQ409" s="119"/>
      <c r="LKR409" s="120"/>
      <c r="LKS409" s="120"/>
      <c r="LKT409" s="120"/>
      <c r="LKU409" s="120"/>
      <c r="LKV409" s="120"/>
      <c r="LKW409" s="121"/>
      <c r="LKX409" s="119"/>
      <c r="LKY409" s="120"/>
      <c r="LKZ409" s="120"/>
      <c r="LLA409" s="120"/>
      <c r="LLB409" s="120"/>
      <c r="LLC409" s="120"/>
      <c r="LLD409" s="121"/>
      <c r="LLE409" s="119"/>
      <c r="LLF409" s="120"/>
      <c r="LLG409" s="120"/>
      <c r="LLH409" s="120"/>
      <c r="LLI409" s="120"/>
      <c r="LLJ409" s="120"/>
      <c r="LLK409" s="121"/>
      <c r="LLL409" s="119"/>
      <c r="LLM409" s="120"/>
      <c r="LLN409" s="120"/>
      <c r="LLO409" s="120"/>
      <c r="LLP409" s="120"/>
      <c r="LLQ409" s="120"/>
      <c r="LLR409" s="121"/>
      <c r="LLS409" s="119"/>
      <c r="LLT409" s="120"/>
      <c r="LLU409" s="120"/>
      <c r="LLV409" s="120"/>
      <c r="LLW409" s="120"/>
      <c r="LLX409" s="120"/>
      <c r="LLY409" s="121"/>
      <c r="LLZ409" s="119"/>
      <c r="LMA409" s="120"/>
      <c r="LMB409" s="120"/>
      <c r="LMC409" s="120"/>
      <c r="LMD409" s="120"/>
      <c r="LME409" s="120"/>
      <c r="LMF409" s="121"/>
      <c r="LMG409" s="119"/>
      <c r="LMH409" s="120"/>
      <c r="LMI409" s="120"/>
      <c r="LMJ409" s="120"/>
      <c r="LMK409" s="120"/>
      <c r="LML409" s="120"/>
      <c r="LMM409" s="121"/>
      <c r="LMN409" s="119"/>
      <c r="LMO409" s="120"/>
      <c r="LMP409" s="120"/>
      <c r="LMQ409" s="120"/>
      <c r="LMR409" s="120"/>
      <c r="LMS409" s="120"/>
      <c r="LMT409" s="121"/>
      <c r="LMU409" s="119"/>
      <c r="LMV409" s="120"/>
      <c r="LMW409" s="120"/>
      <c r="LMX409" s="120"/>
      <c r="LMY409" s="120"/>
      <c r="LMZ409" s="120"/>
      <c r="LNA409" s="121"/>
      <c r="LNB409" s="119"/>
      <c r="LNC409" s="120"/>
      <c r="LND409" s="120"/>
      <c r="LNE409" s="120"/>
      <c r="LNF409" s="120"/>
      <c r="LNG409" s="120"/>
      <c r="LNH409" s="121"/>
      <c r="LNI409" s="119"/>
      <c r="LNJ409" s="120"/>
      <c r="LNK409" s="120"/>
      <c r="LNL409" s="120"/>
      <c r="LNM409" s="120"/>
      <c r="LNN409" s="120"/>
      <c r="LNO409" s="121"/>
      <c r="LNP409" s="119"/>
      <c r="LNQ409" s="120"/>
      <c r="LNR409" s="120"/>
      <c r="LNS409" s="120"/>
      <c r="LNT409" s="120"/>
      <c r="LNU409" s="120"/>
      <c r="LNV409" s="121"/>
      <c r="LNW409" s="119"/>
      <c r="LNX409" s="120"/>
      <c r="LNY409" s="120"/>
      <c r="LNZ409" s="120"/>
      <c r="LOA409" s="120"/>
      <c r="LOB409" s="120"/>
      <c r="LOC409" s="121"/>
      <c r="LOD409" s="119"/>
      <c r="LOE409" s="120"/>
      <c r="LOF409" s="120"/>
      <c r="LOG409" s="120"/>
      <c r="LOH409" s="120"/>
      <c r="LOI409" s="120"/>
      <c r="LOJ409" s="121"/>
      <c r="LOK409" s="119"/>
      <c r="LOL409" s="120"/>
      <c r="LOM409" s="120"/>
      <c r="LON409" s="120"/>
      <c r="LOO409" s="120"/>
      <c r="LOP409" s="120"/>
      <c r="LOQ409" s="121"/>
      <c r="LOR409" s="119"/>
      <c r="LOS409" s="120"/>
      <c r="LOT409" s="120"/>
      <c r="LOU409" s="120"/>
      <c r="LOV409" s="120"/>
      <c r="LOW409" s="120"/>
      <c r="LOX409" s="121"/>
      <c r="LOY409" s="119"/>
      <c r="LOZ409" s="120"/>
      <c r="LPA409" s="120"/>
      <c r="LPB409" s="120"/>
      <c r="LPC409" s="120"/>
      <c r="LPD409" s="120"/>
      <c r="LPE409" s="121"/>
      <c r="LPF409" s="119"/>
      <c r="LPG409" s="120"/>
      <c r="LPH409" s="120"/>
      <c r="LPI409" s="120"/>
      <c r="LPJ409" s="120"/>
      <c r="LPK409" s="120"/>
      <c r="LPL409" s="121"/>
      <c r="LPM409" s="119"/>
      <c r="LPN409" s="120"/>
      <c r="LPO409" s="120"/>
      <c r="LPP409" s="120"/>
      <c r="LPQ409" s="120"/>
      <c r="LPR409" s="120"/>
      <c r="LPS409" s="121"/>
      <c r="LPT409" s="119"/>
      <c r="LPU409" s="120"/>
      <c r="LPV409" s="120"/>
      <c r="LPW409" s="120"/>
      <c r="LPX409" s="120"/>
      <c r="LPY409" s="120"/>
      <c r="LPZ409" s="121"/>
      <c r="LQA409" s="119"/>
      <c r="LQB409" s="120"/>
      <c r="LQC409" s="120"/>
      <c r="LQD409" s="120"/>
      <c r="LQE409" s="120"/>
      <c r="LQF409" s="120"/>
      <c r="LQG409" s="121"/>
      <c r="LQH409" s="119"/>
      <c r="LQI409" s="120"/>
      <c r="LQJ409" s="120"/>
      <c r="LQK409" s="120"/>
      <c r="LQL409" s="120"/>
      <c r="LQM409" s="120"/>
      <c r="LQN409" s="121"/>
      <c r="LQO409" s="119"/>
      <c r="LQP409" s="120"/>
      <c r="LQQ409" s="120"/>
      <c r="LQR409" s="120"/>
      <c r="LQS409" s="120"/>
      <c r="LQT409" s="120"/>
      <c r="LQU409" s="121"/>
      <c r="LQV409" s="119"/>
      <c r="LQW409" s="120"/>
      <c r="LQX409" s="120"/>
      <c r="LQY409" s="120"/>
      <c r="LQZ409" s="120"/>
      <c r="LRA409" s="120"/>
      <c r="LRB409" s="121"/>
      <c r="LRC409" s="119"/>
      <c r="LRD409" s="120"/>
      <c r="LRE409" s="120"/>
      <c r="LRF409" s="120"/>
      <c r="LRG409" s="120"/>
      <c r="LRH409" s="120"/>
      <c r="LRI409" s="121"/>
      <c r="LRJ409" s="119"/>
      <c r="LRK409" s="120"/>
      <c r="LRL409" s="120"/>
      <c r="LRM409" s="120"/>
      <c r="LRN409" s="120"/>
      <c r="LRO409" s="120"/>
      <c r="LRP409" s="121"/>
      <c r="LRQ409" s="119"/>
      <c r="LRR409" s="120"/>
      <c r="LRS409" s="120"/>
      <c r="LRT409" s="120"/>
      <c r="LRU409" s="120"/>
      <c r="LRV409" s="120"/>
      <c r="LRW409" s="121"/>
      <c r="LRX409" s="119"/>
      <c r="LRY409" s="120"/>
      <c r="LRZ409" s="120"/>
      <c r="LSA409" s="120"/>
      <c r="LSB409" s="120"/>
      <c r="LSC409" s="120"/>
      <c r="LSD409" s="121"/>
      <c r="LSE409" s="119"/>
      <c r="LSF409" s="120"/>
      <c r="LSG409" s="120"/>
      <c r="LSH409" s="120"/>
      <c r="LSI409" s="120"/>
      <c r="LSJ409" s="120"/>
      <c r="LSK409" s="121"/>
      <c r="LSL409" s="119"/>
      <c r="LSM409" s="120"/>
      <c r="LSN409" s="120"/>
      <c r="LSO409" s="120"/>
      <c r="LSP409" s="120"/>
      <c r="LSQ409" s="120"/>
      <c r="LSR409" s="121"/>
      <c r="LSS409" s="119"/>
      <c r="LST409" s="120"/>
      <c r="LSU409" s="120"/>
      <c r="LSV409" s="120"/>
      <c r="LSW409" s="120"/>
      <c r="LSX409" s="120"/>
      <c r="LSY409" s="121"/>
      <c r="LSZ409" s="119"/>
      <c r="LTA409" s="120"/>
      <c r="LTB409" s="120"/>
      <c r="LTC409" s="120"/>
      <c r="LTD409" s="120"/>
      <c r="LTE409" s="120"/>
      <c r="LTF409" s="121"/>
      <c r="LTG409" s="119"/>
      <c r="LTH409" s="120"/>
      <c r="LTI409" s="120"/>
      <c r="LTJ409" s="120"/>
      <c r="LTK409" s="120"/>
      <c r="LTL409" s="120"/>
      <c r="LTM409" s="121"/>
      <c r="LTN409" s="119"/>
      <c r="LTO409" s="120"/>
      <c r="LTP409" s="120"/>
      <c r="LTQ409" s="120"/>
      <c r="LTR409" s="120"/>
      <c r="LTS409" s="120"/>
      <c r="LTT409" s="121"/>
      <c r="LTU409" s="119"/>
      <c r="LTV409" s="120"/>
      <c r="LTW409" s="120"/>
      <c r="LTX409" s="120"/>
      <c r="LTY409" s="120"/>
      <c r="LTZ409" s="120"/>
      <c r="LUA409" s="121"/>
      <c r="LUB409" s="119"/>
      <c r="LUC409" s="120"/>
      <c r="LUD409" s="120"/>
      <c r="LUE409" s="120"/>
      <c r="LUF409" s="120"/>
      <c r="LUG409" s="120"/>
      <c r="LUH409" s="121"/>
      <c r="LUI409" s="119"/>
      <c r="LUJ409" s="120"/>
      <c r="LUK409" s="120"/>
      <c r="LUL409" s="120"/>
      <c r="LUM409" s="120"/>
      <c r="LUN409" s="120"/>
      <c r="LUO409" s="121"/>
      <c r="LUP409" s="119"/>
      <c r="LUQ409" s="120"/>
      <c r="LUR409" s="120"/>
      <c r="LUS409" s="120"/>
      <c r="LUT409" s="120"/>
      <c r="LUU409" s="120"/>
      <c r="LUV409" s="121"/>
      <c r="LUW409" s="119"/>
      <c r="LUX409" s="120"/>
      <c r="LUY409" s="120"/>
      <c r="LUZ409" s="120"/>
      <c r="LVA409" s="120"/>
      <c r="LVB409" s="120"/>
      <c r="LVC409" s="121"/>
      <c r="LVD409" s="119"/>
      <c r="LVE409" s="120"/>
      <c r="LVF409" s="120"/>
      <c r="LVG409" s="120"/>
      <c r="LVH409" s="120"/>
      <c r="LVI409" s="120"/>
      <c r="LVJ409" s="121"/>
      <c r="LVK409" s="119"/>
      <c r="LVL409" s="120"/>
      <c r="LVM409" s="120"/>
      <c r="LVN409" s="120"/>
      <c r="LVO409" s="120"/>
      <c r="LVP409" s="120"/>
      <c r="LVQ409" s="121"/>
      <c r="LVR409" s="119"/>
      <c r="LVS409" s="120"/>
      <c r="LVT409" s="120"/>
      <c r="LVU409" s="120"/>
      <c r="LVV409" s="120"/>
      <c r="LVW409" s="120"/>
      <c r="LVX409" s="121"/>
      <c r="LVY409" s="119"/>
      <c r="LVZ409" s="120"/>
      <c r="LWA409" s="120"/>
      <c r="LWB409" s="120"/>
      <c r="LWC409" s="120"/>
      <c r="LWD409" s="120"/>
      <c r="LWE409" s="121"/>
      <c r="LWF409" s="119"/>
      <c r="LWG409" s="120"/>
      <c r="LWH409" s="120"/>
      <c r="LWI409" s="120"/>
      <c r="LWJ409" s="120"/>
      <c r="LWK409" s="120"/>
      <c r="LWL409" s="121"/>
      <c r="LWM409" s="119"/>
      <c r="LWN409" s="120"/>
      <c r="LWO409" s="120"/>
      <c r="LWP409" s="120"/>
      <c r="LWQ409" s="120"/>
      <c r="LWR409" s="120"/>
      <c r="LWS409" s="121"/>
      <c r="LWT409" s="119"/>
      <c r="LWU409" s="120"/>
      <c r="LWV409" s="120"/>
      <c r="LWW409" s="120"/>
      <c r="LWX409" s="120"/>
      <c r="LWY409" s="120"/>
      <c r="LWZ409" s="121"/>
      <c r="LXA409" s="119"/>
      <c r="LXB409" s="120"/>
      <c r="LXC409" s="120"/>
      <c r="LXD409" s="120"/>
      <c r="LXE409" s="120"/>
      <c r="LXF409" s="120"/>
      <c r="LXG409" s="121"/>
      <c r="LXH409" s="119"/>
      <c r="LXI409" s="120"/>
      <c r="LXJ409" s="120"/>
      <c r="LXK409" s="120"/>
      <c r="LXL409" s="120"/>
      <c r="LXM409" s="120"/>
      <c r="LXN409" s="121"/>
      <c r="LXO409" s="119"/>
      <c r="LXP409" s="120"/>
      <c r="LXQ409" s="120"/>
      <c r="LXR409" s="120"/>
      <c r="LXS409" s="120"/>
      <c r="LXT409" s="120"/>
      <c r="LXU409" s="121"/>
      <c r="LXV409" s="119"/>
      <c r="LXW409" s="120"/>
      <c r="LXX409" s="120"/>
      <c r="LXY409" s="120"/>
      <c r="LXZ409" s="120"/>
      <c r="LYA409" s="120"/>
      <c r="LYB409" s="121"/>
      <c r="LYC409" s="119"/>
      <c r="LYD409" s="120"/>
      <c r="LYE409" s="120"/>
      <c r="LYF409" s="120"/>
      <c r="LYG409" s="120"/>
      <c r="LYH409" s="120"/>
      <c r="LYI409" s="121"/>
      <c r="LYJ409" s="119"/>
      <c r="LYK409" s="120"/>
      <c r="LYL409" s="120"/>
      <c r="LYM409" s="120"/>
      <c r="LYN409" s="120"/>
      <c r="LYO409" s="120"/>
      <c r="LYP409" s="121"/>
      <c r="LYQ409" s="119"/>
      <c r="LYR409" s="120"/>
      <c r="LYS409" s="120"/>
      <c r="LYT409" s="120"/>
      <c r="LYU409" s="120"/>
      <c r="LYV409" s="120"/>
      <c r="LYW409" s="121"/>
      <c r="LYX409" s="119"/>
      <c r="LYY409" s="120"/>
      <c r="LYZ409" s="120"/>
      <c r="LZA409" s="120"/>
      <c r="LZB409" s="120"/>
      <c r="LZC409" s="120"/>
      <c r="LZD409" s="121"/>
      <c r="LZE409" s="119"/>
      <c r="LZF409" s="120"/>
      <c r="LZG409" s="120"/>
      <c r="LZH409" s="120"/>
      <c r="LZI409" s="120"/>
      <c r="LZJ409" s="120"/>
      <c r="LZK409" s="121"/>
      <c r="LZL409" s="119"/>
      <c r="LZM409" s="120"/>
      <c r="LZN409" s="120"/>
      <c r="LZO409" s="120"/>
      <c r="LZP409" s="120"/>
      <c r="LZQ409" s="120"/>
      <c r="LZR409" s="121"/>
      <c r="LZS409" s="119"/>
      <c r="LZT409" s="120"/>
      <c r="LZU409" s="120"/>
      <c r="LZV409" s="120"/>
      <c r="LZW409" s="120"/>
      <c r="LZX409" s="120"/>
      <c r="LZY409" s="121"/>
      <c r="LZZ409" s="119"/>
      <c r="MAA409" s="120"/>
      <c r="MAB409" s="120"/>
      <c r="MAC409" s="120"/>
      <c r="MAD409" s="120"/>
      <c r="MAE409" s="120"/>
      <c r="MAF409" s="121"/>
      <c r="MAG409" s="119"/>
      <c r="MAH409" s="120"/>
      <c r="MAI409" s="120"/>
      <c r="MAJ409" s="120"/>
      <c r="MAK409" s="120"/>
      <c r="MAL409" s="120"/>
      <c r="MAM409" s="121"/>
      <c r="MAN409" s="119"/>
      <c r="MAO409" s="120"/>
      <c r="MAP409" s="120"/>
      <c r="MAQ409" s="120"/>
      <c r="MAR409" s="120"/>
      <c r="MAS409" s="120"/>
      <c r="MAT409" s="121"/>
      <c r="MAU409" s="119"/>
      <c r="MAV409" s="120"/>
      <c r="MAW409" s="120"/>
      <c r="MAX409" s="120"/>
      <c r="MAY409" s="120"/>
      <c r="MAZ409" s="120"/>
      <c r="MBA409" s="121"/>
      <c r="MBB409" s="119"/>
      <c r="MBC409" s="120"/>
      <c r="MBD409" s="120"/>
      <c r="MBE409" s="120"/>
      <c r="MBF409" s="120"/>
      <c r="MBG409" s="120"/>
      <c r="MBH409" s="121"/>
      <c r="MBI409" s="119"/>
      <c r="MBJ409" s="120"/>
      <c r="MBK409" s="120"/>
      <c r="MBL409" s="120"/>
      <c r="MBM409" s="120"/>
      <c r="MBN409" s="120"/>
      <c r="MBO409" s="121"/>
      <c r="MBP409" s="119"/>
      <c r="MBQ409" s="120"/>
      <c r="MBR409" s="120"/>
      <c r="MBS409" s="120"/>
      <c r="MBT409" s="120"/>
      <c r="MBU409" s="120"/>
      <c r="MBV409" s="121"/>
      <c r="MBW409" s="119"/>
      <c r="MBX409" s="120"/>
      <c r="MBY409" s="120"/>
      <c r="MBZ409" s="120"/>
      <c r="MCA409" s="120"/>
      <c r="MCB409" s="120"/>
      <c r="MCC409" s="121"/>
      <c r="MCD409" s="119"/>
      <c r="MCE409" s="120"/>
      <c r="MCF409" s="120"/>
      <c r="MCG409" s="120"/>
      <c r="MCH409" s="120"/>
      <c r="MCI409" s="120"/>
      <c r="MCJ409" s="121"/>
      <c r="MCK409" s="119"/>
      <c r="MCL409" s="120"/>
      <c r="MCM409" s="120"/>
      <c r="MCN409" s="120"/>
      <c r="MCO409" s="120"/>
      <c r="MCP409" s="120"/>
      <c r="MCQ409" s="121"/>
      <c r="MCR409" s="119"/>
      <c r="MCS409" s="120"/>
      <c r="MCT409" s="120"/>
      <c r="MCU409" s="120"/>
      <c r="MCV409" s="120"/>
      <c r="MCW409" s="120"/>
      <c r="MCX409" s="121"/>
      <c r="MCY409" s="119"/>
      <c r="MCZ409" s="120"/>
      <c r="MDA409" s="120"/>
      <c r="MDB409" s="120"/>
      <c r="MDC409" s="120"/>
      <c r="MDD409" s="120"/>
      <c r="MDE409" s="121"/>
      <c r="MDF409" s="119"/>
      <c r="MDG409" s="120"/>
      <c r="MDH409" s="120"/>
      <c r="MDI409" s="120"/>
      <c r="MDJ409" s="120"/>
      <c r="MDK409" s="120"/>
      <c r="MDL409" s="121"/>
      <c r="MDM409" s="119"/>
      <c r="MDN409" s="120"/>
      <c r="MDO409" s="120"/>
      <c r="MDP409" s="120"/>
      <c r="MDQ409" s="120"/>
      <c r="MDR409" s="120"/>
      <c r="MDS409" s="121"/>
      <c r="MDT409" s="119"/>
      <c r="MDU409" s="120"/>
      <c r="MDV409" s="120"/>
      <c r="MDW409" s="120"/>
      <c r="MDX409" s="120"/>
      <c r="MDY409" s="120"/>
      <c r="MDZ409" s="121"/>
      <c r="MEA409" s="119"/>
      <c r="MEB409" s="120"/>
      <c r="MEC409" s="120"/>
      <c r="MED409" s="120"/>
      <c r="MEE409" s="120"/>
      <c r="MEF409" s="120"/>
      <c r="MEG409" s="121"/>
      <c r="MEH409" s="119"/>
      <c r="MEI409" s="120"/>
      <c r="MEJ409" s="120"/>
      <c r="MEK409" s="120"/>
      <c r="MEL409" s="120"/>
      <c r="MEM409" s="120"/>
      <c r="MEN409" s="121"/>
      <c r="MEO409" s="119"/>
      <c r="MEP409" s="120"/>
      <c r="MEQ409" s="120"/>
      <c r="MER409" s="120"/>
      <c r="MES409" s="120"/>
      <c r="MET409" s="120"/>
      <c r="MEU409" s="121"/>
      <c r="MEV409" s="119"/>
      <c r="MEW409" s="120"/>
      <c r="MEX409" s="120"/>
      <c r="MEY409" s="120"/>
      <c r="MEZ409" s="120"/>
      <c r="MFA409" s="120"/>
      <c r="MFB409" s="121"/>
      <c r="MFC409" s="119"/>
      <c r="MFD409" s="120"/>
      <c r="MFE409" s="120"/>
      <c r="MFF409" s="120"/>
      <c r="MFG409" s="120"/>
      <c r="MFH409" s="120"/>
      <c r="MFI409" s="121"/>
      <c r="MFJ409" s="119"/>
      <c r="MFK409" s="120"/>
      <c r="MFL409" s="120"/>
      <c r="MFM409" s="120"/>
      <c r="MFN409" s="120"/>
      <c r="MFO409" s="120"/>
      <c r="MFP409" s="121"/>
      <c r="MFQ409" s="119"/>
      <c r="MFR409" s="120"/>
      <c r="MFS409" s="120"/>
      <c r="MFT409" s="120"/>
      <c r="MFU409" s="120"/>
      <c r="MFV409" s="120"/>
      <c r="MFW409" s="121"/>
      <c r="MFX409" s="119"/>
      <c r="MFY409" s="120"/>
      <c r="MFZ409" s="120"/>
      <c r="MGA409" s="120"/>
      <c r="MGB409" s="120"/>
      <c r="MGC409" s="120"/>
      <c r="MGD409" s="121"/>
      <c r="MGE409" s="119"/>
      <c r="MGF409" s="120"/>
      <c r="MGG409" s="120"/>
      <c r="MGH409" s="120"/>
      <c r="MGI409" s="120"/>
      <c r="MGJ409" s="120"/>
      <c r="MGK409" s="121"/>
      <c r="MGL409" s="119"/>
      <c r="MGM409" s="120"/>
      <c r="MGN409" s="120"/>
      <c r="MGO409" s="120"/>
      <c r="MGP409" s="120"/>
      <c r="MGQ409" s="120"/>
      <c r="MGR409" s="121"/>
      <c r="MGS409" s="119"/>
      <c r="MGT409" s="120"/>
      <c r="MGU409" s="120"/>
      <c r="MGV409" s="120"/>
      <c r="MGW409" s="120"/>
      <c r="MGX409" s="120"/>
      <c r="MGY409" s="121"/>
      <c r="MGZ409" s="119"/>
      <c r="MHA409" s="120"/>
      <c r="MHB409" s="120"/>
      <c r="MHC409" s="120"/>
      <c r="MHD409" s="120"/>
      <c r="MHE409" s="120"/>
      <c r="MHF409" s="121"/>
      <c r="MHG409" s="119"/>
      <c r="MHH409" s="120"/>
      <c r="MHI409" s="120"/>
      <c r="MHJ409" s="120"/>
      <c r="MHK409" s="120"/>
      <c r="MHL409" s="120"/>
      <c r="MHM409" s="121"/>
      <c r="MHN409" s="119"/>
      <c r="MHO409" s="120"/>
      <c r="MHP409" s="120"/>
      <c r="MHQ409" s="120"/>
      <c r="MHR409" s="120"/>
      <c r="MHS409" s="120"/>
      <c r="MHT409" s="121"/>
      <c r="MHU409" s="119"/>
      <c r="MHV409" s="120"/>
      <c r="MHW409" s="120"/>
      <c r="MHX409" s="120"/>
      <c r="MHY409" s="120"/>
      <c r="MHZ409" s="120"/>
      <c r="MIA409" s="121"/>
      <c r="MIB409" s="119"/>
      <c r="MIC409" s="120"/>
      <c r="MID409" s="120"/>
      <c r="MIE409" s="120"/>
      <c r="MIF409" s="120"/>
      <c r="MIG409" s="120"/>
      <c r="MIH409" s="121"/>
      <c r="MII409" s="119"/>
      <c r="MIJ409" s="120"/>
      <c r="MIK409" s="120"/>
      <c r="MIL409" s="120"/>
      <c r="MIM409" s="120"/>
      <c r="MIN409" s="120"/>
      <c r="MIO409" s="121"/>
      <c r="MIP409" s="119"/>
      <c r="MIQ409" s="120"/>
      <c r="MIR409" s="120"/>
      <c r="MIS409" s="120"/>
      <c r="MIT409" s="120"/>
      <c r="MIU409" s="120"/>
      <c r="MIV409" s="121"/>
      <c r="MIW409" s="119"/>
      <c r="MIX409" s="120"/>
      <c r="MIY409" s="120"/>
      <c r="MIZ409" s="120"/>
      <c r="MJA409" s="120"/>
      <c r="MJB409" s="120"/>
      <c r="MJC409" s="121"/>
      <c r="MJD409" s="119"/>
      <c r="MJE409" s="120"/>
      <c r="MJF409" s="120"/>
      <c r="MJG409" s="120"/>
      <c r="MJH409" s="120"/>
      <c r="MJI409" s="120"/>
      <c r="MJJ409" s="121"/>
      <c r="MJK409" s="119"/>
      <c r="MJL409" s="120"/>
      <c r="MJM409" s="120"/>
      <c r="MJN409" s="120"/>
      <c r="MJO409" s="120"/>
      <c r="MJP409" s="120"/>
      <c r="MJQ409" s="121"/>
      <c r="MJR409" s="119"/>
      <c r="MJS409" s="120"/>
      <c r="MJT409" s="120"/>
      <c r="MJU409" s="120"/>
      <c r="MJV409" s="120"/>
      <c r="MJW409" s="120"/>
      <c r="MJX409" s="121"/>
      <c r="MJY409" s="119"/>
      <c r="MJZ409" s="120"/>
      <c r="MKA409" s="120"/>
      <c r="MKB409" s="120"/>
      <c r="MKC409" s="120"/>
      <c r="MKD409" s="120"/>
      <c r="MKE409" s="121"/>
      <c r="MKF409" s="119"/>
      <c r="MKG409" s="120"/>
      <c r="MKH409" s="120"/>
      <c r="MKI409" s="120"/>
      <c r="MKJ409" s="120"/>
      <c r="MKK409" s="120"/>
      <c r="MKL409" s="121"/>
      <c r="MKM409" s="119"/>
      <c r="MKN409" s="120"/>
      <c r="MKO409" s="120"/>
      <c r="MKP409" s="120"/>
      <c r="MKQ409" s="120"/>
      <c r="MKR409" s="120"/>
      <c r="MKS409" s="121"/>
      <c r="MKT409" s="119"/>
      <c r="MKU409" s="120"/>
      <c r="MKV409" s="120"/>
      <c r="MKW409" s="120"/>
      <c r="MKX409" s="120"/>
      <c r="MKY409" s="120"/>
      <c r="MKZ409" s="121"/>
      <c r="MLA409" s="119"/>
      <c r="MLB409" s="120"/>
      <c r="MLC409" s="120"/>
      <c r="MLD409" s="120"/>
      <c r="MLE409" s="120"/>
      <c r="MLF409" s="120"/>
      <c r="MLG409" s="121"/>
      <c r="MLH409" s="119"/>
      <c r="MLI409" s="120"/>
      <c r="MLJ409" s="120"/>
      <c r="MLK409" s="120"/>
      <c r="MLL409" s="120"/>
      <c r="MLM409" s="120"/>
      <c r="MLN409" s="121"/>
      <c r="MLO409" s="119"/>
      <c r="MLP409" s="120"/>
      <c r="MLQ409" s="120"/>
      <c r="MLR409" s="120"/>
      <c r="MLS409" s="120"/>
      <c r="MLT409" s="120"/>
      <c r="MLU409" s="121"/>
      <c r="MLV409" s="119"/>
      <c r="MLW409" s="120"/>
      <c r="MLX409" s="120"/>
      <c r="MLY409" s="120"/>
      <c r="MLZ409" s="120"/>
      <c r="MMA409" s="120"/>
      <c r="MMB409" s="121"/>
      <c r="MMC409" s="119"/>
      <c r="MMD409" s="120"/>
      <c r="MME409" s="120"/>
      <c r="MMF409" s="120"/>
      <c r="MMG409" s="120"/>
      <c r="MMH409" s="120"/>
      <c r="MMI409" s="121"/>
      <c r="MMJ409" s="119"/>
      <c r="MMK409" s="120"/>
      <c r="MML409" s="120"/>
      <c r="MMM409" s="120"/>
      <c r="MMN409" s="120"/>
      <c r="MMO409" s="120"/>
      <c r="MMP409" s="121"/>
      <c r="MMQ409" s="119"/>
      <c r="MMR409" s="120"/>
      <c r="MMS409" s="120"/>
      <c r="MMT409" s="120"/>
      <c r="MMU409" s="120"/>
      <c r="MMV409" s="120"/>
      <c r="MMW409" s="121"/>
      <c r="MMX409" s="119"/>
      <c r="MMY409" s="120"/>
      <c r="MMZ409" s="120"/>
      <c r="MNA409" s="120"/>
      <c r="MNB409" s="120"/>
      <c r="MNC409" s="120"/>
      <c r="MND409" s="121"/>
      <c r="MNE409" s="119"/>
      <c r="MNF409" s="120"/>
      <c r="MNG409" s="120"/>
      <c r="MNH409" s="120"/>
      <c r="MNI409" s="120"/>
      <c r="MNJ409" s="120"/>
      <c r="MNK409" s="121"/>
      <c r="MNL409" s="119"/>
      <c r="MNM409" s="120"/>
      <c r="MNN409" s="120"/>
      <c r="MNO409" s="120"/>
      <c r="MNP409" s="120"/>
      <c r="MNQ409" s="120"/>
      <c r="MNR409" s="121"/>
      <c r="MNS409" s="119"/>
      <c r="MNT409" s="120"/>
      <c r="MNU409" s="120"/>
      <c r="MNV409" s="120"/>
      <c r="MNW409" s="120"/>
      <c r="MNX409" s="120"/>
      <c r="MNY409" s="121"/>
      <c r="MNZ409" s="119"/>
      <c r="MOA409" s="120"/>
      <c r="MOB409" s="120"/>
      <c r="MOC409" s="120"/>
      <c r="MOD409" s="120"/>
      <c r="MOE409" s="120"/>
      <c r="MOF409" s="121"/>
      <c r="MOG409" s="119"/>
      <c r="MOH409" s="120"/>
      <c r="MOI409" s="120"/>
      <c r="MOJ409" s="120"/>
      <c r="MOK409" s="120"/>
      <c r="MOL409" s="120"/>
      <c r="MOM409" s="121"/>
      <c r="MON409" s="119"/>
      <c r="MOO409" s="120"/>
      <c r="MOP409" s="120"/>
      <c r="MOQ409" s="120"/>
      <c r="MOR409" s="120"/>
      <c r="MOS409" s="120"/>
      <c r="MOT409" s="121"/>
      <c r="MOU409" s="119"/>
      <c r="MOV409" s="120"/>
      <c r="MOW409" s="120"/>
      <c r="MOX409" s="120"/>
      <c r="MOY409" s="120"/>
      <c r="MOZ409" s="120"/>
      <c r="MPA409" s="121"/>
      <c r="MPB409" s="119"/>
      <c r="MPC409" s="120"/>
      <c r="MPD409" s="120"/>
      <c r="MPE409" s="120"/>
      <c r="MPF409" s="120"/>
      <c r="MPG409" s="120"/>
      <c r="MPH409" s="121"/>
      <c r="MPI409" s="119"/>
      <c r="MPJ409" s="120"/>
      <c r="MPK409" s="120"/>
      <c r="MPL409" s="120"/>
      <c r="MPM409" s="120"/>
      <c r="MPN409" s="120"/>
      <c r="MPO409" s="121"/>
      <c r="MPP409" s="119"/>
      <c r="MPQ409" s="120"/>
      <c r="MPR409" s="120"/>
      <c r="MPS409" s="120"/>
      <c r="MPT409" s="120"/>
      <c r="MPU409" s="120"/>
      <c r="MPV409" s="121"/>
      <c r="MPW409" s="119"/>
      <c r="MPX409" s="120"/>
      <c r="MPY409" s="120"/>
      <c r="MPZ409" s="120"/>
      <c r="MQA409" s="120"/>
      <c r="MQB409" s="120"/>
      <c r="MQC409" s="121"/>
      <c r="MQD409" s="119"/>
      <c r="MQE409" s="120"/>
      <c r="MQF409" s="120"/>
      <c r="MQG409" s="120"/>
      <c r="MQH409" s="120"/>
      <c r="MQI409" s="120"/>
      <c r="MQJ409" s="121"/>
      <c r="MQK409" s="119"/>
      <c r="MQL409" s="120"/>
      <c r="MQM409" s="120"/>
      <c r="MQN409" s="120"/>
      <c r="MQO409" s="120"/>
      <c r="MQP409" s="120"/>
      <c r="MQQ409" s="121"/>
      <c r="MQR409" s="119"/>
      <c r="MQS409" s="120"/>
      <c r="MQT409" s="120"/>
      <c r="MQU409" s="120"/>
      <c r="MQV409" s="120"/>
      <c r="MQW409" s="120"/>
      <c r="MQX409" s="121"/>
      <c r="MQY409" s="119"/>
      <c r="MQZ409" s="120"/>
      <c r="MRA409" s="120"/>
      <c r="MRB409" s="120"/>
      <c r="MRC409" s="120"/>
      <c r="MRD409" s="120"/>
      <c r="MRE409" s="121"/>
      <c r="MRF409" s="119"/>
      <c r="MRG409" s="120"/>
      <c r="MRH409" s="120"/>
      <c r="MRI409" s="120"/>
      <c r="MRJ409" s="120"/>
      <c r="MRK409" s="120"/>
      <c r="MRL409" s="121"/>
      <c r="MRM409" s="119"/>
      <c r="MRN409" s="120"/>
      <c r="MRO409" s="120"/>
      <c r="MRP409" s="120"/>
      <c r="MRQ409" s="120"/>
      <c r="MRR409" s="120"/>
      <c r="MRS409" s="121"/>
      <c r="MRT409" s="119"/>
      <c r="MRU409" s="120"/>
      <c r="MRV409" s="120"/>
      <c r="MRW409" s="120"/>
      <c r="MRX409" s="120"/>
      <c r="MRY409" s="120"/>
      <c r="MRZ409" s="121"/>
      <c r="MSA409" s="119"/>
      <c r="MSB409" s="120"/>
      <c r="MSC409" s="120"/>
      <c r="MSD409" s="120"/>
      <c r="MSE409" s="120"/>
      <c r="MSF409" s="120"/>
      <c r="MSG409" s="121"/>
      <c r="MSH409" s="119"/>
      <c r="MSI409" s="120"/>
      <c r="MSJ409" s="120"/>
      <c r="MSK409" s="120"/>
      <c r="MSL409" s="120"/>
      <c r="MSM409" s="120"/>
      <c r="MSN409" s="121"/>
      <c r="MSO409" s="119"/>
      <c r="MSP409" s="120"/>
      <c r="MSQ409" s="120"/>
      <c r="MSR409" s="120"/>
      <c r="MSS409" s="120"/>
      <c r="MST409" s="120"/>
      <c r="MSU409" s="121"/>
      <c r="MSV409" s="119"/>
      <c r="MSW409" s="120"/>
      <c r="MSX409" s="120"/>
      <c r="MSY409" s="120"/>
      <c r="MSZ409" s="120"/>
      <c r="MTA409" s="120"/>
      <c r="MTB409" s="121"/>
      <c r="MTC409" s="119"/>
      <c r="MTD409" s="120"/>
      <c r="MTE409" s="120"/>
      <c r="MTF409" s="120"/>
      <c r="MTG409" s="120"/>
      <c r="MTH409" s="120"/>
      <c r="MTI409" s="121"/>
      <c r="MTJ409" s="119"/>
      <c r="MTK409" s="120"/>
      <c r="MTL409" s="120"/>
      <c r="MTM409" s="120"/>
      <c r="MTN409" s="120"/>
      <c r="MTO409" s="120"/>
      <c r="MTP409" s="121"/>
      <c r="MTQ409" s="119"/>
      <c r="MTR409" s="120"/>
      <c r="MTS409" s="120"/>
      <c r="MTT409" s="120"/>
      <c r="MTU409" s="120"/>
      <c r="MTV409" s="120"/>
      <c r="MTW409" s="121"/>
      <c r="MTX409" s="119"/>
      <c r="MTY409" s="120"/>
      <c r="MTZ409" s="120"/>
      <c r="MUA409" s="120"/>
      <c r="MUB409" s="120"/>
      <c r="MUC409" s="120"/>
      <c r="MUD409" s="121"/>
      <c r="MUE409" s="119"/>
      <c r="MUF409" s="120"/>
      <c r="MUG409" s="120"/>
      <c r="MUH409" s="120"/>
      <c r="MUI409" s="120"/>
      <c r="MUJ409" s="120"/>
      <c r="MUK409" s="121"/>
      <c r="MUL409" s="119"/>
      <c r="MUM409" s="120"/>
      <c r="MUN409" s="120"/>
      <c r="MUO409" s="120"/>
      <c r="MUP409" s="120"/>
      <c r="MUQ409" s="120"/>
      <c r="MUR409" s="121"/>
      <c r="MUS409" s="119"/>
      <c r="MUT409" s="120"/>
      <c r="MUU409" s="120"/>
      <c r="MUV409" s="120"/>
      <c r="MUW409" s="120"/>
      <c r="MUX409" s="120"/>
      <c r="MUY409" s="121"/>
      <c r="MUZ409" s="119"/>
      <c r="MVA409" s="120"/>
      <c r="MVB409" s="120"/>
      <c r="MVC409" s="120"/>
      <c r="MVD409" s="120"/>
      <c r="MVE409" s="120"/>
      <c r="MVF409" s="121"/>
      <c r="MVG409" s="119"/>
      <c r="MVH409" s="120"/>
      <c r="MVI409" s="120"/>
      <c r="MVJ409" s="120"/>
      <c r="MVK409" s="120"/>
      <c r="MVL409" s="120"/>
      <c r="MVM409" s="121"/>
      <c r="MVN409" s="119"/>
      <c r="MVO409" s="120"/>
      <c r="MVP409" s="120"/>
      <c r="MVQ409" s="120"/>
      <c r="MVR409" s="120"/>
      <c r="MVS409" s="120"/>
      <c r="MVT409" s="121"/>
      <c r="MVU409" s="119"/>
      <c r="MVV409" s="120"/>
      <c r="MVW409" s="120"/>
      <c r="MVX409" s="120"/>
      <c r="MVY409" s="120"/>
      <c r="MVZ409" s="120"/>
      <c r="MWA409" s="121"/>
      <c r="MWB409" s="119"/>
      <c r="MWC409" s="120"/>
      <c r="MWD409" s="120"/>
      <c r="MWE409" s="120"/>
      <c r="MWF409" s="120"/>
      <c r="MWG409" s="120"/>
      <c r="MWH409" s="121"/>
      <c r="MWI409" s="119"/>
      <c r="MWJ409" s="120"/>
      <c r="MWK409" s="120"/>
      <c r="MWL409" s="120"/>
      <c r="MWM409" s="120"/>
      <c r="MWN409" s="120"/>
      <c r="MWO409" s="121"/>
      <c r="MWP409" s="119"/>
      <c r="MWQ409" s="120"/>
      <c r="MWR409" s="120"/>
      <c r="MWS409" s="120"/>
      <c r="MWT409" s="120"/>
      <c r="MWU409" s="120"/>
      <c r="MWV409" s="121"/>
      <c r="MWW409" s="119"/>
      <c r="MWX409" s="120"/>
      <c r="MWY409" s="120"/>
      <c r="MWZ409" s="120"/>
      <c r="MXA409" s="120"/>
      <c r="MXB409" s="120"/>
      <c r="MXC409" s="121"/>
      <c r="MXD409" s="119"/>
      <c r="MXE409" s="120"/>
      <c r="MXF409" s="120"/>
      <c r="MXG409" s="120"/>
      <c r="MXH409" s="120"/>
      <c r="MXI409" s="120"/>
      <c r="MXJ409" s="121"/>
      <c r="MXK409" s="119"/>
      <c r="MXL409" s="120"/>
      <c r="MXM409" s="120"/>
      <c r="MXN409" s="120"/>
      <c r="MXO409" s="120"/>
      <c r="MXP409" s="120"/>
      <c r="MXQ409" s="121"/>
      <c r="MXR409" s="119"/>
      <c r="MXS409" s="120"/>
      <c r="MXT409" s="120"/>
      <c r="MXU409" s="120"/>
      <c r="MXV409" s="120"/>
      <c r="MXW409" s="120"/>
      <c r="MXX409" s="121"/>
      <c r="MXY409" s="119"/>
      <c r="MXZ409" s="120"/>
      <c r="MYA409" s="120"/>
      <c r="MYB409" s="120"/>
      <c r="MYC409" s="120"/>
      <c r="MYD409" s="120"/>
      <c r="MYE409" s="121"/>
      <c r="MYF409" s="119"/>
      <c r="MYG409" s="120"/>
      <c r="MYH409" s="120"/>
      <c r="MYI409" s="120"/>
      <c r="MYJ409" s="120"/>
      <c r="MYK409" s="120"/>
      <c r="MYL409" s="121"/>
      <c r="MYM409" s="119"/>
      <c r="MYN409" s="120"/>
      <c r="MYO409" s="120"/>
      <c r="MYP409" s="120"/>
      <c r="MYQ409" s="120"/>
      <c r="MYR409" s="120"/>
      <c r="MYS409" s="121"/>
      <c r="MYT409" s="119"/>
      <c r="MYU409" s="120"/>
      <c r="MYV409" s="120"/>
      <c r="MYW409" s="120"/>
      <c r="MYX409" s="120"/>
      <c r="MYY409" s="120"/>
      <c r="MYZ409" s="121"/>
      <c r="MZA409" s="119"/>
      <c r="MZB409" s="120"/>
      <c r="MZC409" s="120"/>
      <c r="MZD409" s="120"/>
      <c r="MZE409" s="120"/>
      <c r="MZF409" s="120"/>
      <c r="MZG409" s="121"/>
      <c r="MZH409" s="119"/>
      <c r="MZI409" s="120"/>
      <c r="MZJ409" s="120"/>
      <c r="MZK409" s="120"/>
      <c r="MZL409" s="120"/>
      <c r="MZM409" s="120"/>
      <c r="MZN409" s="121"/>
      <c r="MZO409" s="119"/>
      <c r="MZP409" s="120"/>
      <c r="MZQ409" s="120"/>
      <c r="MZR409" s="120"/>
      <c r="MZS409" s="120"/>
      <c r="MZT409" s="120"/>
      <c r="MZU409" s="121"/>
      <c r="MZV409" s="119"/>
      <c r="MZW409" s="120"/>
      <c r="MZX409" s="120"/>
      <c r="MZY409" s="120"/>
      <c r="MZZ409" s="120"/>
      <c r="NAA409" s="120"/>
      <c r="NAB409" s="121"/>
      <c r="NAC409" s="119"/>
      <c r="NAD409" s="120"/>
      <c r="NAE409" s="120"/>
      <c r="NAF409" s="120"/>
      <c r="NAG409" s="120"/>
      <c r="NAH409" s="120"/>
      <c r="NAI409" s="121"/>
      <c r="NAJ409" s="119"/>
      <c r="NAK409" s="120"/>
      <c r="NAL409" s="120"/>
      <c r="NAM409" s="120"/>
      <c r="NAN409" s="120"/>
      <c r="NAO409" s="120"/>
      <c r="NAP409" s="121"/>
      <c r="NAQ409" s="119"/>
      <c r="NAR409" s="120"/>
      <c r="NAS409" s="120"/>
      <c r="NAT409" s="120"/>
      <c r="NAU409" s="120"/>
      <c r="NAV409" s="120"/>
      <c r="NAW409" s="121"/>
      <c r="NAX409" s="119"/>
      <c r="NAY409" s="120"/>
      <c r="NAZ409" s="120"/>
      <c r="NBA409" s="120"/>
      <c r="NBB409" s="120"/>
      <c r="NBC409" s="120"/>
      <c r="NBD409" s="121"/>
      <c r="NBE409" s="119"/>
      <c r="NBF409" s="120"/>
      <c r="NBG409" s="120"/>
      <c r="NBH409" s="120"/>
      <c r="NBI409" s="120"/>
      <c r="NBJ409" s="120"/>
      <c r="NBK409" s="121"/>
      <c r="NBL409" s="119"/>
      <c r="NBM409" s="120"/>
      <c r="NBN409" s="120"/>
      <c r="NBO409" s="120"/>
      <c r="NBP409" s="120"/>
      <c r="NBQ409" s="120"/>
      <c r="NBR409" s="121"/>
      <c r="NBS409" s="119"/>
      <c r="NBT409" s="120"/>
      <c r="NBU409" s="120"/>
      <c r="NBV409" s="120"/>
      <c r="NBW409" s="120"/>
      <c r="NBX409" s="120"/>
      <c r="NBY409" s="121"/>
      <c r="NBZ409" s="119"/>
      <c r="NCA409" s="120"/>
      <c r="NCB409" s="120"/>
      <c r="NCC409" s="120"/>
      <c r="NCD409" s="120"/>
      <c r="NCE409" s="120"/>
      <c r="NCF409" s="121"/>
      <c r="NCG409" s="119"/>
      <c r="NCH409" s="120"/>
      <c r="NCI409" s="120"/>
      <c r="NCJ409" s="120"/>
      <c r="NCK409" s="120"/>
      <c r="NCL409" s="120"/>
      <c r="NCM409" s="121"/>
      <c r="NCN409" s="119"/>
      <c r="NCO409" s="120"/>
      <c r="NCP409" s="120"/>
      <c r="NCQ409" s="120"/>
      <c r="NCR409" s="120"/>
      <c r="NCS409" s="120"/>
      <c r="NCT409" s="121"/>
      <c r="NCU409" s="119"/>
      <c r="NCV409" s="120"/>
      <c r="NCW409" s="120"/>
      <c r="NCX409" s="120"/>
      <c r="NCY409" s="120"/>
      <c r="NCZ409" s="120"/>
      <c r="NDA409" s="121"/>
      <c r="NDB409" s="119"/>
      <c r="NDC409" s="120"/>
      <c r="NDD409" s="120"/>
      <c r="NDE409" s="120"/>
      <c r="NDF409" s="120"/>
      <c r="NDG409" s="120"/>
      <c r="NDH409" s="121"/>
      <c r="NDI409" s="119"/>
      <c r="NDJ409" s="120"/>
      <c r="NDK409" s="120"/>
      <c r="NDL409" s="120"/>
      <c r="NDM409" s="120"/>
      <c r="NDN409" s="120"/>
      <c r="NDO409" s="121"/>
      <c r="NDP409" s="119"/>
      <c r="NDQ409" s="120"/>
      <c r="NDR409" s="120"/>
      <c r="NDS409" s="120"/>
      <c r="NDT409" s="120"/>
      <c r="NDU409" s="120"/>
      <c r="NDV409" s="121"/>
      <c r="NDW409" s="119"/>
      <c r="NDX409" s="120"/>
      <c r="NDY409" s="120"/>
      <c r="NDZ409" s="120"/>
      <c r="NEA409" s="120"/>
      <c r="NEB409" s="120"/>
      <c r="NEC409" s="121"/>
      <c r="NED409" s="119"/>
      <c r="NEE409" s="120"/>
      <c r="NEF409" s="120"/>
      <c r="NEG409" s="120"/>
      <c r="NEH409" s="120"/>
      <c r="NEI409" s="120"/>
      <c r="NEJ409" s="121"/>
      <c r="NEK409" s="119"/>
      <c r="NEL409" s="120"/>
      <c r="NEM409" s="120"/>
      <c r="NEN409" s="120"/>
      <c r="NEO409" s="120"/>
      <c r="NEP409" s="120"/>
      <c r="NEQ409" s="121"/>
      <c r="NER409" s="119"/>
      <c r="NES409" s="120"/>
      <c r="NET409" s="120"/>
      <c r="NEU409" s="120"/>
      <c r="NEV409" s="120"/>
      <c r="NEW409" s="120"/>
      <c r="NEX409" s="121"/>
      <c r="NEY409" s="119"/>
      <c r="NEZ409" s="120"/>
      <c r="NFA409" s="120"/>
      <c r="NFB409" s="120"/>
      <c r="NFC409" s="120"/>
      <c r="NFD409" s="120"/>
      <c r="NFE409" s="121"/>
      <c r="NFF409" s="119"/>
      <c r="NFG409" s="120"/>
      <c r="NFH409" s="120"/>
      <c r="NFI409" s="120"/>
      <c r="NFJ409" s="120"/>
      <c r="NFK409" s="120"/>
      <c r="NFL409" s="121"/>
      <c r="NFM409" s="119"/>
      <c r="NFN409" s="120"/>
      <c r="NFO409" s="120"/>
      <c r="NFP409" s="120"/>
      <c r="NFQ409" s="120"/>
      <c r="NFR409" s="120"/>
      <c r="NFS409" s="121"/>
      <c r="NFT409" s="119"/>
      <c r="NFU409" s="120"/>
      <c r="NFV409" s="120"/>
      <c r="NFW409" s="120"/>
      <c r="NFX409" s="120"/>
      <c r="NFY409" s="120"/>
      <c r="NFZ409" s="121"/>
      <c r="NGA409" s="119"/>
      <c r="NGB409" s="120"/>
      <c r="NGC409" s="120"/>
      <c r="NGD409" s="120"/>
      <c r="NGE409" s="120"/>
      <c r="NGF409" s="120"/>
      <c r="NGG409" s="121"/>
      <c r="NGH409" s="119"/>
      <c r="NGI409" s="120"/>
      <c r="NGJ409" s="120"/>
      <c r="NGK409" s="120"/>
      <c r="NGL409" s="120"/>
      <c r="NGM409" s="120"/>
      <c r="NGN409" s="121"/>
      <c r="NGO409" s="119"/>
      <c r="NGP409" s="120"/>
      <c r="NGQ409" s="120"/>
      <c r="NGR409" s="120"/>
      <c r="NGS409" s="120"/>
      <c r="NGT409" s="120"/>
      <c r="NGU409" s="121"/>
      <c r="NGV409" s="119"/>
      <c r="NGW409" s="120"/>
      <c r="NGX409" s="120"/>
      <c r="NGY409" s="120"/>
      <c r="NGZ409" s="120"/>
      <c r="NHA409" s="120"/>
      <c r="NHB409" s="121"/>
      <c r="NHC409" s="119"/>
      <c r="NHD409" s="120"/>
      <c r="NHE409" s="120"/>
      <c r="NHF409" s="120"/>
      <c r="NHG409" s="120"/>
      <c r="NHH409" s="120"/>
      <c r="NHI409" s="121"/>
      <c r="NHJ409" s="119"/>
      <c r="NHK409" s="120"/>
      <c r="NHL409" s="120"/>
      <c r="NHM409" s="120"/>
      <c r="NHN409" s="120"/>
      <c r="NHO409" s="120"/>
      <c r="NHP409" s="121"/>
      <c r="NHQ409" s="119"/>
      <c r="NHR409" s="120"/>
      <c r="NHS409" s="120"/>
      <c r="NHT409" s="120"/>
      <c r="NHU409" s="120"/>
      <c r="NHV409" s="120"/>
      <c r="NHW409" s="121"/>
      <c r="NHX409" s="119"/>
      <c r="NHY409" s="120"/>
      <c r="NHZ409" s="120"/>
      <c r="NIA409" s="120"/>
      <c r="NIB409" s="120"/>
      <c r="NIC409" s="120"/>
      <c r="NID409" s="121"/>
      <c r="NIE409" s="119"/>
      <c r="NIF409" s="120"/>
      <c r="NIG409" s="120"/>
      <c r="NIH409" s="120"/>
      <c r="NII409" s="120"/>
      <c r="NIJ409" s="120"/>
      <c r="NIK409" s="121"/>
      <c r="NIL409" s="119"/>
      <c r="NIM409" s="120"/>
      <c r="NIN409" s="120"/>
      <c r="NIO409" s="120"/>
      <c r="NIP409" s="120"/>
      <c r="NIQ409" s="120"/>
      <c r="NIR409" s="121"/>
      <c r="NIS409" s="119"/>
      <c r="NIT409" s="120"/>
      <c r="NIU409" s="120"/>
      <c r="NIV409" s="120"/>
      <c r="NIW409" s="120"/>
      <c r="NIX409" s="120"/>
      <c r="NIY409" s="121"/>
      <c r="NIZ409" s="119"/>
      <c r="NJA409" s="120"/>
      <c r="NJB409" s="120"/>
      <c r="NJC409" s="120"/>
      <c r="NJD409" s="120"/>
      <c r="NJE409" s="120"/>
      <c r="NJF409" s="121"/>
      <c r="NJG409" s="119"/>
      <c r="NJH409" s="120"/>
      <c r="NJI409" s="120"/>
      <c r="NJJ409" s="120"/>
      <c r="NJK409" s="120"/>
      <c r="NJL409" s="120"/>
      <c r="NJM409" s="121"/>
      <c r="NJN409" s="119"/>
      <c r="NJO409" s="120"/>
      <c r="NJP409" s="120"/>
      <c r="NJQ409" s="120"/>
      <c r="NJR409" s="120"/>
      <c r="NJS409" s="120"/>
      <c r="NJT409" s="121"/>
      <c r="NJU409" s="119"/>
      <c r="NJV409" s="120"/>
      <c r="NJW409" s="120"/>
      <c r="NJX409" s="120"/>
      <c r="NJY409" s="120"/>
      <c r="NJZ409" s="120"/>
      <c r="NKA409" s="121"/>
      <c r="NKB409" s="119"/>
      <c r="NKC409" s="120"/>
      <c r="NKD409" s="120"/>
      <c r="NKE409" s="120"/>
      <c r="NKF409" s="120"/>
      <c r="NKG409" s="120"/>
      <c r="NKH409" s="121"/>
      <c r="NKI409" s="119"/>
      <c r="NKJ409" s="120"/>
      <c r="NKK409" s="120"/>
      <c r="NKL409" s="120"/>
      <c r="NKM409" s="120"/>
      <c r="NKN409" s="120"/>
      <c r="NKO409" s="121"/>
      <c r="NKP409" s="119"/>
      <c r="NKQ409" s="120"/>
      <c r="NKR409" s="120"/>
      <c r="NKS409" s="120"/>
      <c r="NKT409" s="120"/>
      <c r="NKU409" s="120"/>
      <c r="NKV409" s="121"/>
      <c r="NKW409" s="119"/>
      <c r="NKX409" s="120"/>
      <c r="NKY409" s="120"/>
      <c r="NKZ409" s="120"/>
      <c r="NLA409" s="120"/>
      <c r="NLB409" s="120"/>
      <c r="NLC409" s="121"/>
      <c r="NLD409" s="119"/>
      <c r="NLE409" s="120"/>
      <c r="NLF409" s="120"/>
      <c r="NLG409" s="120"/>
      <c r="NLH409" s="120"/>
      <c r="NLI409" s="120"/>
      <c r="NLJ409" s="121"/>
      <c r="NLK409" s="119"/>
      <c r="NLL409" s="120"/>
      <c r="NLM409" s="120"/>
      <c r="NLN409" s="120"/>
      <c r="NLO409" s="120"/>
      <c r="NLP409" s="120"/>
      <c r="NLQ409" s="121"/>
      <c r="NLR409" s="119"/>
      <c r="NLS409" s="120"/>
      <c r="NLT409" s="120"/>
      <c r="NLU409" s="120"/>
      <c r="NLV409" s="120"/>
      <c r="NLW409" s="120"/>
      <c r="NLX409" s="121"/>
      <c r="NLY409" s="119"/>
      <c r="NLZ409" s="120"/>
      <c r="NMA409" s="120"/>
      <c r="NMB409" s="120"/>
      <c r="NMC409" s="120"/>
      <c r="NMD409" s="120"/>
      <c r="NME409" s="121"/>
      <c r="NMF409" s="119"/>
      <c r="NMG409" s="120"/>
      <c r="NMH409" s="120"/>
      <c r="NMI409" s="120"/>
      <c r="NMJ409" s="120"/>
      <c r="NMK409" s="120"/>
      <c r="NML409" s="121"/>
      <c r="NMM409" s="119"/>
      <c r="NMN409" s="120"/>
      <c r="NMO409" s="120"/>
      <c r="NMP409" s="120"/>
      <c r="NMQ409" s="120"/>
      <c r="NMR409" s="120"/>
      <c r="NMS409" s="121"/>
      <c r="NMT409" s="119"/>
      <c r="NMU409" s="120"/>
      <c r="NMV409" s="120"/>
      <c r="NMW409" s="120"/>
      <c r="NMX409" s="120"/>
      <c r="NMY409" s="120"/>
      <c r="NMZ409" s="121"/>
      <c r="NNA409" s="119"/>
      <c r="NNB409" s="120"/>
      <c r="NNC409" s="120"/>
      <c r="NND409" s="120"/>
      <c r="NNE409" s="120"/>
      <c r="NNF409" s="120"/>
      <c r="NNG409" s="121"/>
      <c r="NNH409" s="119"/>
      <c r="NNI409" s="120"/>
      <c r="NNJ409" s="120"/>
      <c r="NNK409" s="120"/>
      <c r="NNL409" s="120"/>
      <c r="NNM409" s="120"/>
      <c r="NNN409" s="121"/>
      <c r="NNO409" s="119"/>
      <c r="NNP409" s="120"/>
      <c r="NNQ409" s="120"/>
      <c r="NNR409" s="120"/>
      <c r="NNS409" s="120"/>
      <c r="NNT409" s="120"/>
      <c r="NNU409" s="121"/>
      <c r="NNV409" s="119"/>
      <c r="NNW409" s="120"/>
      <c r="NNX409" s="120"/>
      <c r="NNY409" s="120"/>
      <c r="NNZ409" s="120"/>
      <c r="NOA409" s="120"/>
      <c r="NOB409" s="121"/>
      <c r="NOC409" s="119"/>
      <c r="NOD409" s="120"/>
      <c r="NOE409" s="120"/>
      <c r="NOF409" s="120"/>
      <c r="NOG409" s="120"/>
      <c r="NOH409" s="120"/>
      <c r="NOI409" s="121"/>
      <c r="NOJ409" s="119"/>
      <c r="NOK409" s="120"/>
      <c r="NOL409" s="120"/>
      <c r="NOM409" s="120"/>
      <c r="NON409" s="120"/>
      <c r="NOO409" s="120"/>
      <c r="NOP409" s="121"/>
      <c r="NOQ409" s="119"/>
      <c r="NOR409" s="120"/>
      <c r="NOS409" s="120"/>
      <c r="NOT409" s="120"/>
      <c r="NOU409" s="120"/>
      <c r="NOV409" s="120"/>
      <c r="NOW409" s="121"/>
      <c r="NOX409" s="119"/>
      <c r="NOY409" s="120"/>
      <c r="NOZ409" s="120"/>
      <c r="NPA409" s="120"/>
      <c r="NPB409" s="120"/>
      <c r="NPC409" s="120"/>
      <c r="NPD409" s="121"/>
      <c r="NPE409" s="119"/>
      <c r="NPF409" s="120"/>
      <c r="NPG409" s="120"/>
      <c r="NPH409" s="120"/>
      <c r="NPI409" s="120"/>
      <c r="NPJ409" s="120"/>
      <c r="NPK409" s="121"/>
      <c r="NPL409" s="119"/>
      <c r="NPM409" s="120"/>
      <c r="NPN409" s="120"/>
      <c r="NPO409" s="120"/>
      <c r="NPP409" s="120"/>
      <c r="NPQ409" s="120"/>
      <c r="NPR409" s="121"/>
      <c r="NPS409" s="119"/>
      <c r="NPT409" s="120"/>
      <c r="NPU409" s="120"/>
      <c r="NPV409" s="120"/>
      <c r="NPW409" s="120"/>
      <c r="NPX409" s="120"/>
      <c r="NPY409" s="121"/>
      <c r="NPZ409" s="119"/>
      <c r="NQA409" s="120"/>
      <c r="NQB409" s="120"/>
      <c r="NQC409" s="120"/>
      <c r="NQD409" s="120"/>
      <c r="NQE409" s="120"/>
      <c r="NQF409" s="121"/>
      <c r="NQG409" s="119"/>
      <c r="NQH409" s="120"/>
      <c r="NQI409" s="120"/>
      <c r="NQJ409" s="120"/>
      <c r="NQK409" s="120"/>
      <c r="NQL409" s="120"/>
      <c r="NQM409" s="121"/>
      <c r="NQN409" s="119"/>
      <c r="NQO409" s="120"/>
      <c r="NQP409" s="120"/>
      <c r="NQQ409" s="120"/>
      <c r="NQR409" s="120"/>
      <c r="NQS409" s="120"/>
      <c r="NQT409" s="121"/>
      <c r="NQU409" s="119"/>
      <c r="NQV409" s="120"/>
      <c r="NQW409" s="120"/>
      <c r="NQX409" s="120"/>
      <c r="NQY409" s="120"/>
      <c r="NQZ409" s="120"/>
      <c r="NRA409" s="121"/>
      <c r="NRB409" s="119"/>
      <c r="NRC409" s="120"/>
      <c r="NRD409" s="120"/>
      <c r="NRE409" s="120"/>
      <c r="NRF409" s="120"/>
      <c r="NRG409" s="120"/>
      <c r="NRH409" s="121"/>
      <c r="NRI409" s="119"/>
      <c r="NRJ409" s="120"/>
      <c r="NRK409" s="120"/>
      <c r="NRL409" s="120"/>
      <c r="NRM409" s="120"/>
      <c r="NRN409" s="120"/>
      <c r="NRO409" s="121"/>
      <c r="NRP409" s="119"/>
      <c r="NRQ409" s="120"/>
      <c r="NRR409" s="120"/>
      <c r="NRS409" s="120"/>
      <c r="NRT409" s="120"/>
      <c r="NRU409" s="120"/>
      <c r="NRV409" s="121"/>
      <c r="NRW409" s="119"/>
      <c r="NRX409" s="120"/>
      <c r="NRY409" s="120"/>
      <c r="NRZ409" s="120"/>
      <c r="NSA409" s="120"/>
      <c r="NSB409" s="120"/>
      <c r="NSC409" s="121"/>
      <c r="NSD409" s="119"/>
      <c r="NSE409" s="120"/>
      <c r="NSF409" s="120"/>
      <c r="NSG409" s="120"/>
      <c r="NSH409" s="120"/>
      <c r="NSI409" s="120"/>
      <c r="NSJ409" s="121"/>
      <c r="NSK409" s="119"/>
      <c r="NSL409" s="120"/>
      <c r="NSM409" s="120"/>
      <c r="NSN409" s="120"/>
      <c r="NSO409" s="120"/>
      <c r="NSP409" s="120"/>
      <c r="NSQ409" s="121"/>
      <c r="NSR409" s="119"/>
      <c r="NSS409" s="120"/>
      <c r="NST409" s="120"/>
      <c r="NSU409" s="120"/>
      <c r="NSV409" s="120"/>
      <c r="NSW409" s="120"/>
      <c r="NSX409" s="121"/>
      <c r="NSY409" s="119"/>
      <c r="NSZ409" s="120"/>
      <c r="NTA409" s="120"/>
      <c r="NTB409" s="120"/>
      <c r="NTC409" s="120"/>
      <c r="NTD409" s="120"/>
      <c r="NTE409" s="121"/>
      <c r="NTF409" s="119"/>
      <c r="NTG409" s="120"/>
      <c r="NTH409" s="120"/>
      <c r="NTI409" s="120"/>
      <c r="NTJ409" s="120"/>
      <c r="NTK409" s="120"/>
      <c r="NTL409" s="121"/>
      <c r="NTM409" s="119"/>
      <c r="NTN409" s="120"/>
      <c r="NTO409" s="120"/>
      <c r="NTP409" s="120"/>
      <c r="NTQ409" s="120"/>
      <c r="NTR409" s="120"/>
      <c r="NTS409" s="121"/>
      <c r="NTT409" s="119"/>
      <c r="NTU409" s="120"/>
      <c r="NTV409" s="120"/>
      <c r="NTW409" s="120"/>
      <c r="NTX409" s="120"/>
      <c r="NTY409" s="120"/>
      <c r="NTZ409" s="121"/>
      <c r="NUA409" s="119"/>
      <c r="NUB409" s="120"/>
      <c r="NUC409" s="120"/>
      <c r="NUD409" s="120"/>
      <c r="NUE409" s="120"/>
      <c r="NUF409" s="120"/>
      <c r="NUG409" s="121"/>
      <c r="NUH409" s="119"/>
      <c r="NUI409" s="120"/>
      <c r="NUJ409" s="120"/>
      <c r="NUK409" s="120"/>
      <c r="NUL409" s="120"/>
      <c r="NUM409" s="120"/>
      <c r="NUN409" s="121"/>
      <c r="NUO409" s="119"/>
      <c r="NUP409" s="120"/>
      <c r="NUQ409" s="120"/>
      <c r="NUR409" s="120"/>
      <c r="NUS409" s="120"/>
      <c r="NUT409" s="120"/>
      <c r="NUU409" s="121"/>
      <c r="NUV409" s="119"/>
      <c r="NUW409" s="120"/>
      <c r="NUX409" s="120"/>
      <c r="NUY409" s="120"/>
      <c r="NUZ409" s="120"/>
      <c r="NVA409" s="120"/>
      <c r="NVB409" s="121"/>
      <c r="NVC409" s="119"/>
      <c r="NVD409" s="120"/>
      <c r="NVE409" s="120"/>
      <c r="NVF409" s="120"/>
      <c r="NVG409" s="120"/>
      <c r="NVH409" s="120"/>
      <c r="NVI409" s="121"/>
      <c r="NVJ409" s="119"/>
      <c r="NVK409" s="120"/>
      <c r="NVL409" s="120"/>
      <c r="NVM409" s="120"/>
      <c r="NVN409" s="120"/>
      <c r="NVO409" s="120"/>
      <c r="NVP409" s="121"/>
      <c r="NVQ409" s="119"/>
      <c r="NVR409" s="120"/>
      <c r="NVS409" s="120"/>
      <c r="NVT409" s="120"/>
      <c r="NVU409" s="120"/>
      <c r="NVV409" s="120"/>
      <c r="NVW409" s="121"/>
      <c r="NVX409" s="119"/>
      <c r="NVY409" s="120"/>
      <c r="NVZ409" s="120"/>
      <c r="NWA409" s="120"/>
      <c r="NWB409" s="120"/>
      <c r="NWC409" s="120"/>
      <c r="NWD409" s="121"/>
      <c r="NWE409" s="119"/>
      <c r="NWF409" s="120"/>
      <c r="NWG409" s="120"/>
      <c r="NWH409" s="120"/>
      <c r="NWI409" s="120"/>
      <c r="NWJ409" s="120"/>
      <c r="NWK409" s="121"/>
      <c r="NWL409" s="119"/>
      <c r="NWM409" s="120"/>
      <c r="NWN409" s="120"/>
      <c r="NWO409" s="120"/>
      <c r="NWP409" s="120"/>
      <c r="NWQ409" s="120"/>
      <c r="NWR409" s="121"/>
      <c r="NWS409" s="119"/>
      <c r="NWT409" s="120"/>
      <c r="NWU409" s="120"/>
      <c r="NWV409" s="120"/>
      <c r="NWW409" s="120"/>
      <c r="NWX409" s="120"/>
      <c r="NWY409" s="121"/>
      <c r="NWZ409" s="119"/>
      <c r="NXA409" s="120"/>
      <c r="NXB409" s="120"/>
      <c r="NXC409" s="120"/>
      <c r="NXD409" s="120"/>
      <c r="NXE409" s="120"/>
      <c r="NXF409" s="121"/>
      <c r="NXG409" s="119"/>
      <c r="NXH409" s="120"/>
      <c r="NXI409" s="120"/>
      <c r="NXJ409" s="120"/>
      <c r="NXK409" s="120"/>
      <c r="NXL409" s="120"/>
      <c r="NXM409" s="121"/>
      <c r="NXN409" s="119"/>
      <c r="NXO409" s="120"/>
      <c r="NXP409" s="120"/>
      <c r="NXQ409" s="120"/>
      <c r="NXR409" s="120"/>
      <c r="NXS409" s="120"/>
      <c r="NXT409" s="121"/>
      <c r="NXU409" s="119"/>
      <c r="NXV409" s="120"/>
      <c r="NXW409" s="120"/>
      <c r="NXX409" s="120"/>
      <c r="NXY409" s="120"/>
      <c r="NXZ409" s="120"/>
      <c r="NYA409" s="121"/>
      <c r="NYB409" s="119"/>
      <c r="NYC409" s="120"/>
      <c r="NYD409" s="120"/>
      <c r="NYE409" s="120"/>
      <c r="NYF409" s="120"/>
      <c r="NYG409" s="120"/>
      <c r="NYH409" s="121"/>
      <c r="NYI409" s="119"/>
      <c r="NYJ409" s="120"/>
      <c r="NYK409" s="120"/>
      <c r="NYL409" s="120"/>
      <c r="NYM409" s="120"/>
      <c r="NYN409" s="120"/>
      <c r="NYO409" s="121"/>
      <c r="NYP409" s="119"/>
      <c r="NYQ409" s="120"/>
      <c r="NYR409" s="120"/>
      <c r="NYS409" s="120"/>
      <c r="NYT409" s="120"/>
      <c r="NYU409" s="120"/>
      <c r="NYV409" s="121"/>
      <c r="NYW409" s="119"/>
      <c r="NYX409" s="120"/>
      <c r="NYY409" s="120"/>
      <c r="NYZ409" s="120"/>
      <c r="NZA409" s="120"/>
      <c r="NZB409" s="120"/>
      <c r="NZC409" s="121"/>
      <c r="NZD409" s="119"/>
      <c r="NZE409" s="120"/>
      <c r="NZF409" s="120"/>
      <c r="NZG409" s="120"/>
      <c r="NZH409" s="120"/>
      <c r="NZI409" s="120"/>
      <c r="NZJ409" s="121"/>
      <c r="NZK409" s="119"/>
      <c r="NZL409" s="120"/>
      <c r="NZM409" s="120"/>
      <c r="NZN409" s="120"/>
      <c r="NZO409" s="120"/>
      <c r="NZP409" s="120"/>
      <c r="NZQ409" s="121"/>
      <c r="NZR409" s="119"/>
      <c r="NZS409" s="120"/>
      <c r="NZT409" s="120"/>
      <c r="NZU409" s="120"/>
      <c r="NZV409" s="120"/>
      <c r="NZW409" s="120"/>
      <c r="NZX409" s="121"/>
      <c r="NZY409" s="119"/>
      <c r="NZZ409" s="120"/>
      <c r="OAA409" s="120"/>
      <c r="OAB409" s="120"/>
      <c r="OAC409" s="120"/>
      <c r="OAD409" s="120"/>
      <c r="OAE409" s="121"/>
      <c r="OAF409" s="119"/>
      <c r="OAG409" s="120"/>
      <c r="OAH409" s="120"/>
      <c r="OAI409" s="120"/>
      <c r="OAJ409" s="120"/>
      <c r="OAK409" s="120"/>
      <c r="OAL409" s="121"/>
      <c r="OAM409" s="119"/>
      <c r="OAN409" s="120"/>
      <c r="OAO409" s="120"/>
      <c r="OAP409" s="120"/>
      <c r="OAQ409" s="120"/>
      <c r="OAR409" s="120"/>
      <c r="OAS409" s="121"/>
      <c r="OAT409" s="119"/>
      <c r="OAU409" s="120"/>
      <c r="OAV409" s="120"/>
      <c r="OAW409" s="120"/>
      <c r="OAX409" s="120"/>
      <c r="OAY409" s="120"/>
      <c r="OAZ409" s="121"/>
      <c r="OBA409" s="119"/>
      <c r="OBB409" s="120"/>
      <c r="OBC409" s="120"/>
      <c r="OBD409" s="120"/>
      <c r="OBE409" s="120"/>
      <c r="OBF409" s="120"/>
      <c r="OBG409" s="121"/>
      <c r="OBH409" s="119"/>
      <c r="OBI409" s="120"/>
      <c r="OBJ409" s="120"/>
      <c r="OBK409" s="120"/>
      <c r="OBL409" s="120"/>
      <c r="OBM409" s="120"/>
      <c r="OBN409" s="121"/>
      <c r="OBO409" s="119"/>
      <c r="OBP409" s="120"/>
      <c r="OBQ409" s="120"/>
      <c r="OBR409" s="120"/>
      <c r="OBS409" s="120"/>
      <c r="OBT409" s="120"/>
      <c r="OBU409" s="121"/>
      <c r="OBV409" s="119"/>
      <c r="OBW409" s="120"/>
      <c r="OBX409" s="120"/>
      <c r="OBY409" s="120"/>
      <c r="OBZ409" s="120"/>
      <c r="OCA409" s="120"/>
      <c r="OCB409" s="121"/>
      <c r="OCC409" s="119"/>
      <c r="OCD409" s="120"/>
      <c r="OCE409" s="120"/>
      <c r="OCF409" s="120"/>
      <c r="OCG409" s="120"/>
      <c r="OCH409" s="120"/>
      <c r="OCI409" s="121"/>
      <c r="OCJ409" s="119"/>
      <c r="OCK409" s="120"/>
      <c r="OCL409" s="120"/>
      <c r="OCM409" s="120"/>
      <c r="OCN409" s="120"/>
      <c r="OCO409" s="120"/>
      <c r="OCP409" s="121"/>
      <c r="OCQ409" s="119"/>
      <c r="OCR409" s="120"/>
      <c r="OCS409" s="120"/>
      <c r="OCT409" s="120"/>
      <c r="OCU409" s="120"/>
      <c r="OCV409" s="120"/>
      <c r="OCW409" s="121"/>
      <c r="OCX409" s="119"/>
      <c r="OCY409" s="120"/>
      <c r="OCZ409" s="120"/>
      <c r="ODA409" s="120"/>
      <c r="ODB409" s="120"/>
      <c r="ODC409" s="120"/>
      <c r="ODD409" s="121"/>
      <c r="ODE409" s="119"/>
      <c r="ODF409" s="120"/>
      <c r="ODG409" s="120"/>
      <c r="ODH409" s="120"/>
      <c r="ODI409" s="120"/>
      <c r="ODJ409" s="120"/>
      <c r="ODK409" s="121"/>
      <c r="ODL409" s="119"/>
      <c r="ODM409" s="120"/>
      <c r="ODN409" s="120"/>
      <c r="ODO409" s="120"/>
      <c r="ODP409" s="120"/>
      <c r="ODQ409" s="120"/>
      <c r="ODR409" s="121"/>
      <c r="ODS409" s="119"/>
      <c r="ODT409" s="120"/>
      <c r="ODU409" s="120"/>
      <c r="ODV409" s="120"/>
      <c r="ODW409" s="120"/>
      <c r="ODX409" s="120"/>
      <c r="ODY409" s="121"/>
      <c r="ODZ409" s="119"/>
      <c r="OEA409" s="120"/>
      <c r="OEB409" s="120"/>
      <c r="OEC409" s="120"/>
      <c r="OED409" s="120"/>
      <c r="OEE409" s="120"/>
      <c r="OEF409" s="121"/>
      <c r="OEG409" s="119"/>
      <c r="OEH409" s="120"/>
      <c r="OEI409" s="120"/>
      <c r="OEJ409" s="120"/>
      <c r="OEK409" s="120"/>
      <c r="OEL409" s="120"/>
      <c r="OEM409" s="121"/>
      <c r="OEN409" s="119"/>
      <c r="OEO409" s="120"/>
      <c r="OEP409" s="120"/>
      <c r="OEQ409" s="120"/>
      <c r="OER409" s="120"/>
      <c r="OES409" s="120"/>
      <c r="OET409" s="121"/>
      <c r="OEU409" s="119"/>
      <c r="OEV409" s="120"/>
      <c r="OEW409" s="120"/>
      <c r="OEX409" s="120"/>
      <c r="OEY409" s="120"/>
      <c r="OEZ409" s="120"/>
      <c r="OFA409" s="121"/>
      <c r="OFB409" s="119"/>
      <c r="OFC409" s="120"/>
      <c r="OFD409" s="120"/>
      <c r="OFE409" s="120"/>
      <c r="OFF409" s="120"/>
      <c r="OFG409" s="120"/>
      <c r="OFH409" s="121"/>
      <c r="OFI409" s="119"/>
      <c r="OFJ409" s="120"/>
      <c r="OFK409" s="120"/>
      <c r="OFL409" s="120"/>
      <c r="OFM409" s="120"/>
      <c r="OFN409" s="120"/>
      <c r="OFO409" s="121"/>
      <c r="OFP409" s="119"/>
      <c r="OFQ409" s="120"/>
      <c r="OFR409" s="120"/>
      <c r="OFS409" s="120"/>
      <c r="OFT409" s="120"/>
      <c r="OFU409" s="120"/>
      <c r="OFV409" s="121"/>
      <c r="OFW409" s="119"/>
      <c r="OFX409" s="120"/>
      <c r="OFY409" s="120"/>
      <c r="OFZ409" s="120"/>
      <c r="OGA409" s="120"/>
      <c r="OGB409" s="120"/>
      <c r="OGC409" s="121"/>
      <c r="OGD409" s="119"/>
      <c r="OGE409" s="120"/>
      <c r="OGF409" s="120"/>
      <c r="OGG409" s="120"/>
      <c r="OGH409" s="120"/>
      <c r="OGI409" s="120"/>
      <c r="OGJ409" s="121"/>
      <c r="OGK409" s="119"/>
      <c r="OGL409" s="120"/>
      <c r="OGM409" s="120"/>
      <c r="OGN409" s="120"/>
      <c r="OGO409" s="120"/>
      <c r="OGP409" s="120"/>
      <c r="OGQ409" s="121"/>
      <c r="OGR409" s="119"/>
      <c r="OGS409" s="120"/>
      <c r="OGT409" s="120"/>
      <c r="OGU409" s="120"/>
      <c r="OGV409" s="120"/>
      <c r="OGW409" s="120"/>
      <c r="OGX409" s="121"/>
      <c r="OGY409" s="119"/>
      <c r="OGZ409" s="120"/>
      <c r="OHA409" s="120"/>
      <c r="OHB409" s="120"/>
      <c r="OHC409" s="120"/>
      <c r="OHD409" s="120"/>
      <c r="OHE409" s="121"/>
      <c r="OHF409" s="119"/>
      <c r="OHG409" s="120"/>
      <c r="OHH409" s="120"/>
      <c r="OHI409" s="120"/>
      <c r="OHJ409" s="120"/>
      <c r="OHK409" s="120"/>
      <c r="OHL409" s="121"/>
      <c r="OHM409" s="119"/>
      <c r="OHN409" s="120"/>
      <c r="OHO409" s="120"/>
      <c r="OHP409" s="120"/>
      <c r="OHQ409" s="120"/>
      <c r="OHR409" s="120"/>
      <c r="OHS409" s="121"/>
      <c r="OHT409" s="119"/>
      <c r="OHU409" s="120"/>
      <c r="OHV409" s="120"/>
      <c r="OHW409" s="120"/>
      <c r="OHX409" s="120"/>
      <c r="OHY409" s="120"/>
      <c r="OHZ409" s="121"/>
      <c r="OIA409" s="119"/>
      <c r="OIB409" s="120"/>
      <c r="OIC409" s="120"/>
      <c r="OID409" s="120"/>
      <c r="OIE409" s="120"/>
      <c r="OIF409" s="120"/>
      <c r="OIG409" s="121"/>
      <c r="OIH409" s="119"/>
      <c r="OII409" s="120"/>
      <c r="OIJ409" s="120"/>
      <c r="OIK409" s="120"/>
      <c r="OIL409" s="120"/>
      <c r="OIM409" s="120"/>
      <c r="OIN409" s="121"/>
      <c r="OIO409" s="119"/>
      <c r="OIP409" s="120"/>
      <c r="OIQ409" s="120"/>
      <c r="OIR409" s="120"/>
      <c r="OIS409" s="120"/>
      <c r="OIT409" s="120"/>
      <c r="OIU409" s="121"/>
      <c r="OIV409" s="119"/>
      <c r="OIW409" s="120"/>
      <c r="OIX409" s="120"/>
      <c r="OIY409" s="120"/>
      <c r="OIZ409" s="120"/>
      <c r="OJA409" s="120"/>
      <c r="OJB409" s="121"/>
      <c r="OJC409" s="119"/>
      <c r="OJD409" s="120"/>
      <c r="OJE409" s="120"/>
      <c r="OJF409" s="120"/>
      <c r="OJG409" s="120"/>
      <c r="OJH409" s="120"/>
      <c r="OJI409" s="121"/>
      <c r="OJJ409" s="119"/>
      <c r="OJK409" s="120"/>
      <c r="OJL409" s="120"/>
      <c r="OJM409" s="120"/>
      <c r="OJN409" s="120"/>
      <c r="OJO409" s="120"/>
      <c r="OJP409" s="121"/>
      <c r="OJQ409" s="119"/>
      <c r="OJR409" s="120"/>
      <c r="OJS409" s="120"/>
      <c r="OJT409" s="120"/>
      <c r="OJU409" s="120"/>
      <c r="OJV409" s="120"/>
      <c r="OJW409" s="121"/>
      <c r="OJX409" s="119"/>
      <c r="OJY409" s="120"/>
      <c r="OJZ409" s="120"/>
      <c r="OKA409" s="120"/>
      <c r="OKB409" s="120"/>
      <c r="OKC409" s="120"/>
      <c r="OKD409" s="121"/>
      <c r="OKE409" s="119"/>
      <c r="OKF409" s="120"/>
      <c r="OKG409" s="120"/>
      <c r="OKH409" s="120"/>
      <c r="OKI409" s="120"/>
      <c r="OKJ409" s="120"/>
      <c r="OKK409" s="121"/>
      <c r="OKL409" s="119"/>
      <c r="OKM409" s="120"/>
      <c r="OKN409" s="120"/>
      <c r="OKO409" s="120"/>
      <c r="OKP409" s="120"/>
      <c r="OKQ409" s="120"/>
      <c r="OKR409" s="121"/>
      <c r="OKS409" s="119"/>
      <c r="OKT409" s="120"/>
      <c r="OKU409" s="120"/>
      <c r="OKV409" s="120"/>
      <c r="OKW409" s="120"/>
      <c r="OKX409" s="120"/>
      <c r="OKY409" s="121"/>
      <c r="OKZ409" s="119"/>
      <c r="OLA409" s="120"/>
      <c r="OLB409" s="120"/>
      <c r="OLC409" s="120"/>
      <c r="OLD409" s="120"/>
      <c r="OLE409" s="120"/>
      <c r="OLF409" s="121"/>
      <c r="OLG409" s="119"/>
      <c r="OLH409" s="120"/>
      <c r="OLI409" s="120"/>
      <c r="OLJ409" s="120"/>
      <c r="OLK409" s="120"/>
      <c r="OLL409" s="120"/>
      <c r="OLM409" s="121"/>
      <c r="OLN409" s="119"/>
      <c r="OLO409" s="120"/>
      <c r="OLP409" s="120"/>
      <c r="OLQ409" s="120"/>
      <c r="OLR409" s="120"/>
      <c r="OLS409" s="120"/>
      <c r="OLT409" s="121"/>
      <c r="OLU409" s="119"/>
      <c r="OLV409" s="120"/>
      <c r="OLW409" s="120"/>
      <c r="OLX409" s="120"/>
      <c r="OLY409" s="120"/>
      <c r="OLZ409" s="120"/>
      <c r="OMA409" s="121"/>
      <c r="OMB409" s="119"/>
      <c r="OMC409" s="120"/>
      <c r="OMD409" s="120"/>
      <c r="OME409" s="120"/>
      <c r="OMF409" s="120"/>
      <c r="OMG409" s="120"/>
      <c r="OMH409" s="121"/>
      <c r="OMI409" s="119"/>
      <c r="OMJ409" s="120"/>
      <c r="OMK409" s="120"/>
      <c r="OML409" s="120"/>
      <c r="OMM409" s="120"/>
      <c r="OMN409" s="120"/>
      <c r="OMO409" s="121"/>
      <c r="OMP409" s="119"/>
      <c r="OMQ409" s="120"/>
      <c r="OMR409" s="120"/>
      <c r="OMS409" s="120"/>
      <c r="OMT409" s="120"/>
      <c r="OMU409" s="120"/>
      <c r="OMV409" s="121"/>
      <c r="OMW409" s="119"/>
      <c r="OMX409" s="120"/>
      <c r="OMY409" s="120"/>
      <c r="OMZ409" s="120"/>
      <c r="ONA409" s="120"/>
      <c r="ONB409" s="120"/>
      <c r="ONC409" s="121"/>
      <c r="OND409" s="119"/>
      <c r="ONE409" s="120"/>
      <c r="ONF409" s="120"/>
      <c r="ONG409" s="120"/>
      <c r="ONH409" s="120"/>
      <c r="ONI409" s="120"/>
      <c r="ONJ409" s="121"/>
      <c r="ONK409" s="119"/>
      <c r="ONL409" s="120"/>
      <c r="ONM409" s="120"/>
      <c r="ONN409" s="120"/>
      <c r="ONO409" s="120"/>
      <c r="ONP409" s="120"/>
      <c r="ONQ409" s="121"/>
      <c r="ONR409" s="119"/>
      <c r="ONS409" s="120"/>
      <c r="ONT409" s="120"/>
      <c r="ONU409" s="120"/>
      <c r="ONV409" s="120"/>
      <c r="ONW409" s="120"/>
      <c r="ONX409" s="121"/>
      <c r="ONY409" s="119"/>
      <c r="ONZ409" s="120"/>
      <c r="OOA409" s="120"/>
      <c r="OOB409" s="120"/>
      <c r="OOC409" s="120"/>
      <c r="OOD409" s="120"/>
      <c r="OOE409" s="121"/>
      <c r="OOF409" s="119"/>
      <c r="OOG409" s="120"/>
      <c r="OOH409" s="120"/>
      <c r="OOI409" s="120"/>
      <c r="OOJ409" s="120"/>
      <c r="OOK409" s="120"/>
      <c r="OOL409" s="121"/>
      <c r="OOM409" s="119"/>
      <c r="OON409" s="120"/>
      <c r="OOO409" s="120"/>
      <c r="OOP409" s="120"/>
      <c r="OOQ409" s="120"/>
      <c r="OOR409" s="120"/>
      <c r="OOS409" s="121"/>
      <c r="OOT409" s="119"/>
      <c r="OOU409" s="120"/>
      <c r="OOV409" s="120"/>
      <c r="OOW409" s="120"/>
      <c r="OOX409" s="120"/>
      <c r="OOY409" s="120"/>
      <c r="OOZ409" s="121"/>
      <c r="OPA409" s="119"/>
      <c r="OPB409" s="120"/>
      <c r="OPC409" s="120"/>
      <c r="OPD409" s="120"/>
      <c r="OPE409" s="120"/>
      <c r="OPF409" s="120"/>
      <c r="OPG409" s="121"/>
      <c r="OPH409" s="119"/>
      <c r="OPI409" s="120"/>
      <c r="OPJ409" s="120"/>
      <c r="OPK409" s="120"/>
      <c r="OPL409" s="120"/>
      <c r="OPM409" s="120"/>
      <c r="OPN409" s="121"/>
      <c r="OPO409" s="119"/>
      <c r="OPP409" s="120"/>
      <c r="OPQ409" s="120"/>
      <c r="OPR409" s="120"/>
      <c r="OPS409" s="120"/>
      <c r="OPT409" s="120"/>
      <c r="OPU409" s="121"/>
      <c r="OPV409" s="119"/>
      <c r="OPW409" s="120"/>
      <c r="OPX409" s="120"/>
      <c r="OPY409" s="120"/>
      <c r="OPZ409" s="120"/>
      <c r="OQA409" s="120"/>
      <c r="OQB409" s="121"/>
      <c r="OQC409" s="119"/>
      <c r="OQD409" s="120"/>
      <c r="OQE409" s="120"/>
      <c r="OQF409" s="120"/>
      <c r="OQG409" s="120"/>
      <c r="OQH409" s="120"/>
      <c r="OQI409" s="121"/>
      <c r="OQJ409" s="119"/>
      <c r="OQK409" s="120"/>
      <c r="OQL409" s="120"/>
      <c r="OQM409" s="120"/>
      <c r="OQN409" s="120"/>
      <c r="OQO409" s="120"/>
      <c r="OQP409" s="121"/>
      <c r="OQQ409" s="119"/>
      <c r="OQR409" s="120"/>
      <c r="OQS409" s="120"/>
      <c r="OQT409" s="120"/>
      <c r="OQU409" s="120"/>
      <c r="OQV409" s="120"/>
      <c r="OQW409" s="121"/>
      <c r="OQX409" s="119"/>
      <c r="OQY409" s="120"/>
      <c r="OQZ409" s="120"/>
      <c r="ORA409" s="120"/>
      <c r="ORB409" s="120"/>
      <c r="ORC409" s="120"/>
      <c r="ORD409" s="121"/>
      <c r="ORE409" s="119"/>
      <c r="ORF409" s="120"/>
      <c r="ORG409" s="120"/>
      <c r="ORH409" s="120"/>
      <c r="ORI409" s="120"/>
      <c r="ORJ409" s="120"/>
      <c r="ORK409" s="121"/>
      <c r="ORL409" s="119"/>
      <c r="ORM409" s="120"/>
      <c r="ORN409" s="120"/>
      <c r="ORO409" s="120"/>
      <c r="ORP409" s="120"/>
      <c r="ORQ409" s="120"/>
      <c r="ORR409" s="121"/>
      <c r="ORS409" s="119"/>
      <c r="ORT409" s="120"/>
      <c r="ORU409" s="120"/>
      <c r="ORV409" s="120"/>
      <c r="ORW409" s="120"/>
      <c r="ORX409" s="120"/>
      <c r="ORY409" s="121"/>
      <c r="ORZ409" s="119"/>
      <c r="OSA409" s="120"/>
      <c r="OSB409" s="120"/>
      <c r="OSC409" s="120"/>
      <c r="OSD409" s="120"/>
      <c r="OSE409" s="120"/>
      <c r="OSF409" s="121"/>
      <c r="OSG409" s="119"/>
      <c r="OSH409" s="120"/>
      <c r="OSI409" s="120"/>
      <c r="OSJ409" s="120"/>
      <c r="OSK409" s="120"/>
      <c r="OSL409" s="120"/>
      <c r="OSM409" s="121"/>
      <c r="OSN409" s="119"/>
      <c r="OSO409" s="120"/>
      <c r="OSP409" s="120"/>
      <c r="OSQ409" s="120"/>
      <c r="OSR409" s="120"/>
      <c r="OSS409" s="120"/>
      <c r="OST409" s="121"/>
      <c r="OSU409" s="119"/>
      <c r="OSV409" s="120"/>
      <c r="OSW409" s="120"/>
      <c r="OSX409" s="120"/>
      <c r="OSY409" s="120"/>
      <c r="OSZ409" s="120"/>
      <c r="OTA409" s="121"/>
      <c r="OTB409" s="119"/>
      <c r="OTC409" s="120"/>
      <c r="OTD409" s="120"/>
      <c r="OTE409" s="120"/>
      <c r="OTF409" s="120"/>
      <c r="OTG409" s="120"/>
      <c r="OTH409" s="121"/>
      <c r="OTI409" s="119"/>
      <c r="OTJ409" s="120"/>
      <c r="OTK409" s="120"/>
      <c r="OTL409" s="120"/>
      <c r="OTM409" s="120"/>
      <c r="OTN409" s="120"/>
      <c r="OTO409" s="121"/>
      <c r="OTP409" s="119"/>
      <c r="OTQ409" s="120"/>
      <c r="OTR409" s="120"/>
      <c r="OTS409" s="120"/>
      <c r="OTT409" s="120"/>
      <c r="OTU409" s="120"/>
      <c r="OTV409" s="121"/>
      <c r="OTW409" s="119"/>
      <c r="OTX409" s="120"/>
      <c r="OTY409" s="120"/>
      <c r="OTZ409" s="120"/>
      <c r="OUA409" s="120"/>
      <c r="OUB409" s="120"/>
      <c r="OUC409" s="121"/>
      <c r="OUD409" s="119"/>
      <c r="OUE409" s="120"/>
      <c r="OUF409" s="120"/>
      <c r="OUG409" s="120"/>
      <c r="OUH409" s="120"/>
      <c r="OUI409" s="120"/>
      <c r="OUJ409" s="121"/>
      <c r="OUK409" s="119"/>
      <c r="OUL409" s="120"/>
      <c r="OUM409" s="120"/>
      <c r="OUN409" s="120"/>
      <c r="OUO409" s="120"/>
      <c r="OUP409" s="120"/>
      <c r="OUQ409" s="121"/>
      <c r="OUR409" s="119"/>
      <c r="OUS409" s="120"/>
      <c r="OUT409" s="120"/>
      <c r="OUU409" s="120"/>
      <c r="OUV409" s="120"/>
      <c r="OUW409" s="120"/>
      <c r="OUX409" s="121"/>
      <c r="OUY409" s="119"/>
      <c r="OUZ409" s="120"/>
      <c r="OVA409" s="120"/>
      <c r="OVB409" s="120"/>
      <c r="OVC409" s="120"/>
      <c r="OVD409" s="120"/>
      <c r="OVE409" s="121"/>
      <c r="OVF409" s="119"/>
      <c r="OVG409" s="120"/>
      <c r="OVH409" s="120"/>
      <c r="OVI409" s="120"/>
      <c r="OVJ409" s="120"/>
      <c r="OVK409" s="120"/>
      <c r="OVL409" s="121"/>
      <c r="OVM409" s="119"/>
      <c r="OVN409" s="120"/>
      <c r="OVO409" s="120"/>
      <c r="OVP409" s="120"/>
      <c r="OVQ409" s="120"/>
      <c r="OVR409" s="120"/>
      <c r="OVS409" s="121"/>
      <c r="OVT409" s="119"/>
      <c r="OVU409" s="120"/>
      <c r="OVV409" s="120"/>
      <c r="OVW409" s="120"/>
      <c r="OVX409" s="120"/>
      <c r="OVY409" s="120"/>
      <c r="OVZ409" s="121"/>
      <c r="OWA409" s="119"/>
      <c r="OWB409" s="120"/>
      <c r="OWC409" s="120"/>
      <c r="OWD409" s="120"/>
      <c r="OWE409" s="120"/>
      <c r="OWF409" s="120"/>
      <c r="OWG409" s="121"/>
      <c r="OWH409" s="119"/>
      <c r="OWI409" s="120"/>
      <c r="OWJ409" s="120"/>
      <c r="OWK409" s="120"/>
      <c r="OWL409" s="120"/>
      <c r="OWM409" s="120"/>
      <c r="OWN409" s="121"/>
      <c r="OWO409" s="119"/>
      <c r="OWP409" s="120"/>
      <c r="OWQ409" s="120"/>
      <c r="OWR409" s="120"/>
      <c r="OWS409" s="120"/>
      <c r="OWT409" s="120"/>
      <c r="OWU409" s="121"/>
      <c r="OWV409" s="119"/>
      <c r="OWW409" s="120"/>
      <c r="OWX409" s="120"/>
      <c r="OWY409" s="120"/>
      <c r="OWZ409" s="120"/>
      <c r="OXA409" s="120"/>
      <c r="OXB409" s="121"/>
      <c r="OXC409" s="119"/>
      <c r="OXD409" s="120"/>
      <c r="OXE409" s="120"/>
      <c r="OXF409" s="120"/>
      <c r="OXG409" s="120"/>
      <c r="OXH409" s="120"/>
      <c r="OXI409" s="121"/>
      <c r="OXJ409" s="119"/>
      <c r="OXK409" s="120"/>
      <c r="OXL409" s="120"/>
      <c r="OXM409" s="120"/>
      <c r="OXN409" s="120"/>
      <c r="OXO409" s="120"/>
      <c r="OXP409" s="121"/>
      <c r="OXQ409" s="119"/>
      <c r="OXR409" s="120"/>
      <c r="OXS409" s="120"/>
      <c r="OXT409" s="120"/>
      <c r="OXU409" s="120"/>
      <c r="OXV409" s="120"/>
      <c r="OXW409" s="121"/>
      <c r="OXX409" s="119"/>
      <c r="OXY409" s="120"/>
      <c r="OXZ409" s="120"/>
      <c r="OYA409" s="120"/>
      <c r="OYB409" s="120"/>
      <c r="OYC409" s="120"/>
      <c r="OYD409" s="121"/>
      <c r="OYE409" s="119"/>
      <c r="OYF409" s="120"/>
      <c r="OYG409" s="120"/>
      <c r="OYH409" s="120"/>
      <c r="OYI409" s="120"/>
      <c r="OYJ409" s="120"/>
      <c r="OYK409" s="121"/>
      <c r="OYL409" s="119"/>
      <c r="OYM409" s="120"/>
      <c r="OYN409" s="120"/>
      <c r="OYO409" s="120"/>
      <c r="OYP409" s="120"/>
      <c r="OYQ409" s="120"/>
      <c r="OYR409" s="121"/>
      <c r="OYS409" s="119"/>
      <c r="OYT409" s="120"/>
      <c r="OYU409" s="120"/>
      <c r="OYV409" s="120"/>
      <c r="OYW409" s="120"/>
      <c r="OYX409" s="120"/>
      <c r="OYY409" s="121"/>
      <c r="OYZ409" s="119"/>
      <c r="OZA409" s="120"/>
      <c r="OZB409" s="120"/>
      <c r="OZC409" s="120"/>
      <c r="OZD409" s="120"/>
      <c r="OZE409" s="120"/>
      <c r="OZF409" s="121"/>
      <c r="OZG409" s="119"/>
      <c r="OZH409" s="120"/>
      <c r="OZI409" s="120"/>
      <c r="OZJ409" s="120"/>
      <c r="OZK409" s="120"/>
      <c r="OZL409" s="120"/>
      <c r="OZM409" s="121"/>
      <c r="OZN409" s="119"/>
      <c r="OZO409" s="120"/>
      <c r="OZP409" s="120"/>
      <c r="OZQ409" s="120"/>
      <c r="OZR409" s="120"/>
      <c r="OZS409" s="120"/>
      <c r="OZT409" s="121"/>
      <c r="OZU409" s="119"/>
      <c r="OZV409" s="120"/>
      <c r="OZW409" s="120"/>
      <c r="OZX409" s="120"/>
      <c r="OZY409" s="120"/>
      <c r="OZZ409" s="120"/>
      <c r="PAA409" s="121"/>
      <c r="PAB409" s="119"/>
      <c r="PAC409" s="120"/>
      <c r="PAD409" s="120"/>
      <c r="PAE409" s="120"/>
      <c r="PAF409" s="120"/>
      <c r="PAG409" s="120"/>
      <c r="PAH409" s="121"/>
      <c r="PAI409" s="119"/>
      <c r="PAJ409" s="120"/>
      <c r="PAK409" s="120"/>
      <c r="PAL409" s="120"/>
      <c r="PAM409" s="120"/>
      <c r="PAN409" s="120"/>
      <c r="PAO409" s="121"/>
      <c r="PAP409" s="119"/>
      <c r="PAQ409" s="120"/>
      <c r="PAR409" s="120"/>
      <c r="PAS409" s="120"/>
      <c r="PAT409" s="120"/>
      <c r="PAU409" s="120"/>
      <c r="PAV409" s="121"/>
      <c r="PAW409" s="119"/>
      <c r="PAX409" s="120"/>
      <c r="PAY409" s="120"/>
      <c r="PAZ409" s="120"/>
      <c r="PBA409" s="120"/>
      <c r="PBB409" s="120"/>
      <c r="PBC409" s="121"/>
      <c r="PBD409" s="119"/>
      <c r="PBE409" s="120"/>
      <c r="PBF409" s="120"/>
      <c r="PBG409" s="120"/>
      <c r="PBH409" s="120"/>
      <c r="PBI409" s="120"/>
      <c r="PBJ409" s="121"/>
      <c r="PBK409" s="119"/>
      <c r="PBL409" s="120"/>
      <c r="PBM409" s="120"/>
      <c r="PBN409" s="120"/>
      <c r="PBO409" s="120"/>
      <c r="PBP409" s="120"/>
      <c r="PBQ409" s="121"/>
      <c r="PBR409" s="119"/>
      <c r="PBS409" s="120"/>
      <c r="PBT409" s="120"/>
      <c r="PBU409" s="120"/>
      <c r="PBV409" s="120"/>
      <c r="PBW409" s="120"/>
      <c r="PBX409" s="121"/>
      <c r="PBY409" s="119"/>
      <c r="PBZ409" s="120"/>
      <c r="PCA409" s="120"/>
      <c r="PCB409" s="120"/>
      <c r="PCC409" s="120"/>
      <c r="PCD409" s="120"/>
      <c r="PCE409" s="121"/>
      <c r="PCF409" s="119"/>
      <c r="PCG409" s="120"/>
      <c r="PCH409" s="120"/>
      <c r="PCI409" s="120"/>
      <c r="PCJ409" s="120"/>
      <c r="PCK409" s="120"/>
      <c r="PCL409" s="121"/>
      <c r="PCM409" s="119"/>
      <c r="PCN409" s="120"/>
      <c r="PCO409" s="120"/>
      <c r="PCP409" s="120"/>
      <c r="PCQ409" s="120"/>
      <c r="PCR409" s="120"/>
      <c r="PCS409" s="121"/>
      <c r="PCT409" s="119"/>
      <c r="PCU409" s="120"/>
      <c r="PCV409" s="120"/>
      <c r="PCW409" s="120"/>
      <c r="PCX409" s="120"/>
      <c r="PCY409" s="120"/>
      <c r="PCZ409" s="121"/>
      <c r="PDA409" s="119"/>
      <c r="PDB409" s="120"/>
      <c r="PDC409" s="120"/>
      <c r="PDD409" s="120"/>
      <c r="PDE409" s="120"/>
      <c r="PDF409" s="120"/>
      <c r="PDG409" s="121"/>
      <c r="PDH409" s="119"/>
      <c r="PDI409" s="120"/>
      <c r="PDJ409" s="120"/>
      <c r="PDK409" s="120"/>
      <c r="PDL409" s="120"/>
      <c r="PDM409" s="120"/>
      <c r="PDN409" s="121"/>
      <c r="PDO409" s="119"/>
      <c r="PDP409" s="120"/>
      <c r="PDQ409" s="120"/>
      <c r="PDR409" s="120"/>
      <c r="PDS409" s="120"/>
      <c r="PDT409" s="120"/>
      <c r="PDU409" s="121"/>
      <c r="PDV409" s="119"/>
      <c r="PDW409" s="120"/>
      <c r="PDX409" s="120"/>
      <c r="PDY409" s="120"/>
      <c r="PDZ409" s="120"/>
      <c r="PEA409" s="120"/>
      <c r="PEB409" s="121"/>
      <c r="PEC409" s="119"/>
      <c r="PED409" s="120"/>
      <c r="PEE409" s="120"/>
      <c r="PEF409" s="120"/>
      <c r="PEG409" s="120"/>
      <c r="PEH409" s="120"/>
      <c r="PEI409" s="121"/>
      <c r="PEJ409" s="119"/>
      <c r="PEK409" s="120"/>
      <c r="PEL409" s="120"/>
      <c r="PEM409" s="120"/>
      <c r="PEN409" s="120"/>
      <c r="PEO409" s="120"/>
      <c r="PEP409" s="121"/>
      <c r="PEQ409" s="119"/>
      <c r="PER409" s="120"/>
      <c r="PES409" s="120"/>
      <c r="PET409" s="120"/>
      <c r="PEU409" s="120"/>
      <c r="PEV409" s="120"/>
      <c r="PEW409" s="121"/>
      <c r="PEX409" s="119"/>
      <c r="PEY409" s="120"/>
      <c r="PEZ409" s="120"/>
      <c r="PFA409" s="120"/>
      <c r="PFB409" s="120"/>
      <c r="PFC409" s="120"/>
      <c r="PFD409" s="121"/>
      <c r="PFE409" s="119"/>
      <c r="PFF409" s="120"/>
      <c r="PFG409" s="120"/>
      <c r="PFH409" s="120"/>
      <c r="PFI409" s="120"/>
      <c r="PFJ409" s="120"/>
      <c r="PFK409" s="121"/>
      <c r="PFL409" s="119"/>
      <c r="PFM409" s="120"/>
      <c r="PFN409" s="120"/>
      <c r="PFO409" s="120"/>
      <c r="PFP409" s="120"/>
      <c r="PFQ409" s="120"/>
      <c r="PFR409" s="121"/>
      <c r="PFS409" s="119"/>
      <c r="PFT409" s="120"/>
      <c r="PFU409" s="120"/>
      <c r="PFV409" s="120"/>
      <c r="PFW409" s="120"/>
      <c r="PFX409" s="120"/>
      <c r="PFY409" s="121"/>
      <c r="PFZ409" s="119"/>
      <c r="PGA409" s="120"/>
      <c r="PGB409" s="120"/>
      <c r="PGC409" s="120"/>
      <c r="PGD409" s="120"/>
      <c r="PGE409" s="120"/>
      <c r="PGF409" s="121"/>
      <c r="PGG409" s="119"/>
      <c r="PGH409" s="120"/>
      <c r="PGI409" s="120"/>
      <c r="PGJ409" s="120"/>
      <c r="PGK409" s="120"/>
      <c r="PGL409" s="120"/>
      <c r="PGM409" s="121"/>
      <c r="PGN409" s="119"/>
      <c r="PGO409" s="120"/>
      <c r="PGP409" s="120"/>
      <c r="PGQ409" s="120"/>
      <c r="PGR409" s="120"/>
      <c r="PGS409" s="120"/>
      <c r="PGT409" s="121"/>
      <c r="PGU409" s="119"/>
      <c r="PGV409" s="120"/>
      <c r="PGW409" s="120"/>
      <c r="PGX409" s="120"/>
      <c r="PGY409" s="120"/>
      <c r="PGZ409" s="120"/>
      <c r="PHA409" s="121"/>
      <c r="PHB409" s="119"/>
      <c r="PHC409" s="120"/>
      <c r="PHD409" s="120"/>
      <c r="PHE409" s="120"/>
      <c r="PHF409" s="120"/>
      <c r="PHG409" s="120"/>
      <c r="PHH409" s="121"/>
      <c r="PHI409" s="119"/>
      <c r="PHJ409" s="120"/>
      <c r="PHK409" s="120"/>
      <c r="PHL409" s="120"/>
      <c r="PHM409" s="120"/>
      <c r="PHN409" s="120"/>
      <c r="PHO409" s="121"/>
      <c r="PHP409" s="119"/>
      <c r="PHQ409" s="120"/>
      <c r="PHR409" s="120"/>
      <c r="PHS409" s="120"/>
      <c r="PHT409" s="120"/>
      <c r="PHU409" s="120"/>
      <c r="PHV409" s="121"/>
      <c r="PHW409" s="119"/>
      <c r="PHX409" s="120"/>
      <c r="PHY409" s="120"/>
      <c r="PHZ409" s="120"/>
      <c r="PIA409" s="120"/>
      <c r="PIB409" s="120"/>
      <c r="PIC409" s="121"/>
      <c r="PID409" s="119"/>
      <c r="PIE409" s="120"/>
      <c r="PIF409" s="120"/>
      <c r="PIG409" s="120"/>
      <c r="PIH409" s="120"/>
      <c r="PII409" s="120"/>
      <c r="PIJ409" s="121"/>
      <c r="PIK409" s="119"/>
      <c r="PIL409" s="120"/>
      <c r="PIM409" s="120"/>
      <c r="PIN409" s="120"/>
      <c r="PIO409" s="120"/>
      <c r="PIP409" s="120"/>
      <c r="PIQ409" s="121"/>
      <c r="PIR409" s="119"/>
      <c r="PIS409" s="120"/>
      <c r="PIT409" s="120"/>
      <c r="PIU409" s="120"/>
      <c r="PIV409" s="120"/>
      <c r="PIW409" s="120"/>
      <c r="PIX409" s="121"/>
      <c r="PIY409" s="119"/>
      <c r="PIZ409" s="120"/>
      <c r="PJA409" s="120"/>
      <c r="PJB409" s="120"/>
      <c r="PJC409" s="120"/>
      <c r="PJD409" s="120"/>
      <c r="PJE409" s="121"/>
      <c r="PJF409" s="119"/>
      <c r="PJG409" s="120"/>
      <c r="PJH409" s="120"/>
      <c r="PJI409" s="120"/>
      <c r="PJJ409" s="120"/>
      <c r="PJK409" s="120"/>
      <c r="PJL409" s="121"/>
      <c r="PJM409" s="119"/>
      <c r="PJN409" s="120"/>
      <c r="PJO409" s="120"/>
      <c r="PJP409" s="120"/>
      <c r="PJQ409" s="120"/>
      <c r="PJR409" s="120"/>
      <c r="PJS409" s="121"/>
      <c r="PJT409" s="119"/>
      <c r="PJU409" s="120"/>
      <c r="PJV409" s="120"/>
      <c r="PJW409" s="120"/>
      <c r="PJX409" s="120"/>
      <c r="PJY409" s="120"/>
      <c r="PJZ409" s="121"/>
      <c r="PKA409" s="119"/>
      <c r="PKB409" s="120"/>
      <c r="PKC409" s="120"/>
      <c r="PKD409" s="120"/>
      <c r="PKE409" s="120"/>
      <c r="PKF409" s="120"/>
      <c r="PKG409" s="121"/>
      <c r="PKH409" s="119"/>
      <c r="PKI409" s="120"/>
      <c r="PKJ409" s="120"/>
      <c r="PKK409" s="120"/>
      <c r="PKL409" s="120"/>
      <c r="PKM409" s="120"/>
      <c r="PKN409" s="121"/>
      <c r="PKO409" s="119"/>
      <c r="PKP409" s="120"/>
      <c r="PKQ409" s="120"/>
      <c r="PKR409" s="120"/>
      <c r="PKS409" s="120"/>
      <c r="PKT409" s="120"/>
      <c r="PKU409" s="121"/>
      <c r="PKV409" s="119"/>
      <c r="PKW409" s="120"/>
      <c r="PKX409" s="120"/>
      <c r="PKY409" s="120"/>
      <c r="PKZ409" s="120"/>
      <c r="PLA409" s="120"/>
      <c r="PLB409" s="121"/>
      <c r="PLC409" s="119"/>
      <c r="PLD409" s="120"/>
      <c r="PLE409" s="120"/>
      <c r="PLF409" s="120"/>
      <c r="PLG409" s="120"/>
      <c r="PLH409" s="120"/>
      <c r="PLI409" s="121"/>
      <c r="PLJ409" s="119"/>
      <c r="PLK409" s="120"/>
      <c r="PLL409" s="120"/>
      <c r="PLM409" s="120"/>
      <c r="PLN409" s="120"/>
      <c r="PLO409" s="120"/>
      <c r="PLP409" s="121"/>
      <c r="PLQ409" s="119"/>
      <c r="PLR409" s="120"/>
      <c r="PLS409" s="120"/>
      <c r="PLT409" s="120"/>
      <c r="PLU409" s="120"/>
      <c r="PLV409" s="120"/>
      <c r="PLW409" s="121"/>
      <c r="PLX409" s="119"/>
      <c r="PLY409" s="120"/>
      <c r="PLZ409" s="120"/>
      <c r="PMA409" s="120"/>
      <c r="PMB409" s="120"/>
      <c r="PMC409" s="120"/>
      <c r="PMD409" s="121"/>
      <c r="PME409" s="119"/>
      <c r="PMF409" s="120"/>
      <c r="PMG409" s="120"/>
      <c r="PMH409" s="120"/>
      <c r="PMI409" s="120"/>
      <c r="PMJ409" s="120"/>
      <c r="PMK409" s="121"/>
      <c r="PML409" s="119"/>
      <c r="PMM409" s="120"/>
      <c r="PMN409" s="120"/>
      <c r="PMO409" s="120"/>
      <c r="PMP409" s="120"/>
      <c r="PMQ409" s="120"/>
      <c r="PMR409" s="121"/>
      <c r="PMS409" s="119"/>
      <c r="PMT409" s="120"/>
      <c r="PMU409" s="120"/>
      <c r="PMV409" s="120"/>
      <c r="PMW409" s="120"/>
      <c r="PMX409" s="120"/>
      <c r="PMY409" s="121"/>
      <c r="PMZ409" s="119"/>
      <c r="PNA409" s="120"/>
      <c r="PNB409" s="120"/>
      <c r="PNC409" s="120"/>
      <c r="PND409" s="120"/>
      <c r="PNE409" s="120"/>
      <c r="PNF409" s="121"/>
      <c r="PNG409" s="119"/>
      <c r="PNH409" s="120"/>
      <c r="PNI409" s="120"/>
      <c r="PNJ409" s="120"/>
      <c r="PNK409" s="120"/>
      <c r="PNL409" s="120"/>
      <c r="PNM409" s="121"/>
      <c r="PNN409" s="119"/>
      <c r="PNO409" s="120"/>
      <c r="PNP409" s="120"/>
      <c r="PNQ409" s="120"/>
      <c r="PNR409" s="120"/>
      <c r="PNS409" s="120"/>
      <c r="PNT409" s="121"/>
      <c r="PNU409" s="119"/>
      <c r="PNV409" s="120"/>
      <c r="PNW409" s="120"/>
      <c r="PNX409" s="120"/>
      <c r="PNY409" s="120"/>
      <c r="PNZ409" s="120"/>
      <c r="POA409" s="121"/>
      <c r="POB409" s="119"/>
      <c r="POC409" s="120"/>
      <c r="POD409" s="120"/>
      <c r="POE409" s="120"/>
      <c r="POF409" s="120"/>
      <c r="POG409" s="120"/>
      <c r="POH409" s="121"/>
      <c r="POI409" s="119"/>
      <c r="POJ409" s="120"/>
      <c r="POK409" s="120"/>
      <c r="POL409" s="120"/>
      <c r="POM409" s="120"/>
      <c r="PON409" s="120"/>
      <c r="POO409" s="121"/>
      <c r="POP409" s="119"/>
      <c r="POQ409" s="120"/>
      <c r="POR409" s="120"/>
      <c r="POS409" s="120"/>
      <c r="POT409" s="120"/>
      <c r="POU409" s="120"/>
      <c r="POV409" s="121"/>
      <c r="POW409" s="119"/>
      <c r="POX409" s="120"/>
      <c r="POY409" s="120"/>
      <c r="POZ409" s="120"/>
      <c r="PPA409" s="120"/>
      <c r="PPB409" s="120"/>
      <c r="PPC409" s="121"/>
      <c r="PPD409" s="119"/>
      <c r="PPE409" s="120"/>
      <c r="PPF409" s="120"/>
      <c r="PPG409" s="120"/>
      <c r="PPH409" s="120"/>
      <c r="PPI409" s="120"/>
      <c r="PPJ409" s="121"/>
      <c r="PPK409" s="119"/>
      <c r="PPL409" s="120"/>
      <c r="PPM409" s="120"/>
      <c r="PPN409" s="120"/>
      <c r="PPO409" s="120"/>
      <c r="PPP409" s="120"/>
      <c r="PPQ409" s="121"/>
      <c r="PPR409" s="119"/>
      <c r="PPS409" s="120"/>
      <c r="PPT409" s="120"/>
      <c r="PPU409" s="120"/>
      <c r="PPV409" s="120"/>
      <c r="PPW409" s="120"/>
      <c r="PPX409" s="121"/>
      <c r="PPY409" s="119"/>
      <c r="PPZ409" s="120"/>
      <c r="PQA409" s="120"/>
      <c r="PQB409" s="120"/>
      <c r="PQC409" s="120"/>
      <c r="PQD409" s="120"/>
      <c r="PQE409" s="121"/>
      <c r="PQF409" s="119"/>
      <c r="PQG409" s="120"/>
      <c r="PQH409" s="120"/>
      <c r="PQI409" s="120"/>
      <c r="PQJ409" s="120"/>
      <c r="PQK409" s="120"/>
      <c r="PQL409" s="121"/>
      <c r="PQM409" s="119"/>
      <c r="PQN409" s="120"/>
      <c r="PQO409" s="120"/>
      <c r="PQP409" s="120"/>
      <c r="PQQ409" s="120"/>
      <c r="PQR409" s="120"/>
      <c r="PQS409" s="121"/>
      <c r="PQT409" s="119"/>
      <c r="PQU409" s="120"/>
      <c r="PQV409" s="120"/>
      <c r="PQW409" s="120"/>
      <c r="PQX409" s="120"/>
      <c r="PQY409" s="120"/>
      <c r="PQZ409" s="121"/>
      <c r="PRA409" s="119"/>
      <c r="PRB409" s="120"/>
      <c r="PRC409" s="120"/>
      <c r="PRD409" s="120"/>
      <c r="PRE409" s="120"/>
      <c r="PRF409" s="120"/>
      <c r="PRG409" s="121"/>
      <c r="PRH409" s="119"/>
      <c r="PRI409" s="120"/>
      <c r="PRJ409" s="120"/>
      <c r="PRK409" s="120"/>
      <c r="PRL409" s="120"/>
      <c r="PRM409" s="120"/>
      <c r="PRN409" s="121"/>
      <c r="PRO409" s="119"/>
      <c r="PRP409" s="120"/>
      <c r="PRQ409" s="120"/>
      <c r="PRR409" s="120"/>
      <c r="PRS409" s="120"/>
      <c r="PRT409" s="120"/>
      <c r="PRU409" s="121"/>
      <c r="PRV409" s="119"/>
      <c r="PRW409" s="120"/>
      <c r="PRX409" s="120"/>
      <c r="PRY409" s="120"/>
      <c r="PRZ409" s="120"/>
      <c r="PSA409" s="120"/>
      <c r="PSB409" s="121"/>
      <c r="PSC409" s="119"/>
      <c r="PSD409" s="120"/>
      <c r="PSE409" s="120"/>
      <c r="PSF409" s="120"/>
      <c r="PSG409" s="120"/>
      <c r="PSH409" s="120"/>
      <c r="PSI409" s="121"/>
      <c r="PSJ409" s="119"/>
      <c r="PSK409" s="120"/>
      <c r="PSL409" s="120"/>
      <c r="PSM409" s="120"/>
      <c r="PSN409" s="120"/>
      <c r="PSO409" s="120"/>
      <c r="PSP409" s="121"/>
      <c r="PSQ409" s="119"/>
      <c r="PSR409" s="120"/>
      <c r="PSS409" s="120"/>
      <c r="PST409" s="120"/>
      <c r="PSU409" s="120"/>
      <c r="PSV409" s="120"/>
      <c r="PSW409" s="121"/>
      <c r="PSX409" s="119"/>
      <c r="PSY409" s="120"/>
      <c r="PSZ409" s="120"/>
      <c r="PTA409" s="120"/>
      <c r="PTB409" s="120"/>
      <c r="PTC409" s="120"/>
      <c r="PTD409" s="121"/>
      <c r="PTE409" s="119"/>
      <c r="PTF409" s="120"/>
      <c r="PTG409" s="120"/>
      <c r="PTH409" s="120"/>
      <c r="PTI409" s="120"/>
      <c r="PTJ409" s="120"/>
      <c r="PTK409" s="121"/>
      <c r="PTL409" s="119"/>
      <c r="PTM409" s="120"/>
      <c r="PTN409" s="120"/>
      <c r="PTO409" s="120"/>
      <c r="PTP409" s="120"/>
      <c r="PTQ409" s="120"/>
      <c r="PTR409" s="121"/>
      <c r="PTS409" s="119"/>
      <c r="PTT409" s="120"/>
      <c r="PTU409" s="120"/>
      <c r="PTV409" s="120"/>
      <c r="PTW409" s="120"/>
      <c r="PTX409" s="120"/>
      <c r="PTY409" s="121"/>
      <c r="PTZ409" s="119"/>
      <c r="PUA409" s="120"/>
      <c r="PUB409" s="120"/>
      <c r="PUC409" s="120"/>
      <c r="PUD409" s="120"/>
      <c r="PUE409" s="120"/>
      <c r="PUF409" s="121"/>
      <c r="PUG409" s="119"/>
      <c r="PUH409" s="120"/>
      <c r="PUI409" s="120"/>
      <c r="PUJ409" s="120"/>
      <c r="PUK409" s="120"/>
      <c r="PUL409" s="120"/>
      <c r="PUM409" s="121"/>
      <c r="PUN409" s="119"/>
      <c r="PUO409" s="120"/>
      <c r="PUP409" s="120"/>
      <c r="PUQ409" s="120"/>
      <c r="PUR409" s="120"/>
      <c r="PUS409" s="120"/>
      <c r="PUT409" s="121"/>
      <c r="PUU409" s="119"/>
      <c r="PUV409" s="120"/>
      <c r="PUW409" s="120"/>
      <c r="PUX409" s="120"/>
      <c r="PUY409" s="120"/>
      <c r="PUZ409" s="120"/>
      <c r="PVA409" s="121"/>
      <c r="PVB409" s="119"/>
      <c r="PVC409" s="120"/>
      <c r="PVD409" s="120"/>
      <c r="PVE409" s="120"/>
      <c r="PVF409" s="120"/>
      <c r="PVG409" s="120"/>
      <c r="PVH409" s="121"/>
      <c r="PVI409" s="119"/>
      <c r="PVJ409" s="120"/>
      <c r="PVK409" s="120"/>
      <c r="PVL409" s="120"/>
      <c r="PVM409" s="120"/>
      <c r="PVN409" s="120"/>
      <c r="PVO409" s="121"/>
      <c r="PVP409" s="119"/>
      <c r="PVQ409" s="120"/>
      <c r="PVR409" s="120"/>
      <c r="PVS409" s="120"/>
      <c r="PVT409" s="120"/>
      <c r="PVU409" s="120"/>
      <c r="PVV409" s="121"/>
      <c r="PVW409" s="119"/>
      <c r="PVX409" s="120"/>
      <c r="PVY409" s="120"/>
      <c r="PVZ409" s="120"/>
      <c r="PWA409" s="120"/>
      <c r="PWB409" s="120"/>
      <c r="PWC409" s="121"/>
      <c r="PWD409" s="119"/>
      <c r="PWE409" s="120"/>
      <c r="PWF409" s="120"/>
      <c r="PWG409" s="120"/>
      <c r="PWH409" s="120"/>
      <c r="PWI409" s="120"/>
      <c r="PWJ409" s="121"/>
      <c r="PWK409" s="119"/>
      <c r="PWL409" s="120"/>
      <c r="PWM409" s="120"/>
      <c r="PWN409" s="120"/>
      <c r="PWO409" s="120"/>
      <c r="PWP409" s="120"/>
      <c r="PWQ409" s="121"/>
      <c r="PWR409" s="119"/>
      <c r="PWS409" s="120"/>
      <c r="PWT409" s="120"/>
      <c r="PWU409" s="120"/>
      <c r="PWV409" s="120"/>
      <c r="PWW409" s="120"/>
      <c r="PWX409" s="121"/>
      <c r="PWY409" s="119"/>
      <c r="PWZ409" s="120"/>
      <c r="PXA409" s="120"/>
      <c r="PXB409" s="120"/>
      <c r="PXC409" s="120"/>
      <c r="PXD409" s="120"/>
      <c r="PXE409" s="121"/>
      <c r="PXF409" s="119"/>
      <c r="PXG409" s="120"/>
      <c r="PXH409" s="120"/>
      <c r="PXI409" s="120"/>
      <c r="PXJ409" s="120"/>
      <c r="PXK409" s="120"/>
      <c r="PXL409" s="121"/>
      <c r="PXM409" s="119"/>
      <c r="PXN409" s="120"/>
      <c r="PXO409" s="120"/>
      <c r="PXP409" s="120"/>
      <c r="PXQ409" s="120"/>
      <c r="PXR409" s="120"/>
      <c r="PXS409" s="121"/>
      <c r="PXT409" s="119"/>
      <c r="PXU409" s="120"/>
      <c r="PXV409" s="120"/>
      <c r="PXW409" s="120"/>
      <c r="PXX409" s="120"/>
      <c r="PXY409" s="120"/>
      <c r="PXZ409" s="121"/>
      <c r="PYA409" s="119"/>
      <c r="PYB409" s="120"/>
      <c r="PYC409" s="120"/>
      <c r="PYD409" s="120"/>
      <c r="PYE409" s="120"/>
      <c r="PYF409" s="120"/>
      <c r="PYG409" s="121"/>
      <c r="PYH409" s="119"/>
      <c r="PYI409" s="120"/>
      <c r="PYJ409" s="120"/>
      <c r="PYK409" s="120"/>
      <c r="PYL409" s="120"/>
      <c r="PYM409" s="120"/>
      <c r="PYN409" s="121"/>
      <c r="PYO409" s="119"/>
      <c r="PYP409" s="120"/>
      <c r="PYQ409" s="120"/>
      <c r="PYR409" s="120"/>
      <c r="PYS409" s="120"/>
      <c r="PYT409" s="120"/>
      <c r="PYU409" s="121"/>
      <c r="PYV409" s="119"/>
      <c r="PYW409" s="120"/>
      <c r="PYX409" s="120"/>
      <c r="PYY409" s="120"/>
      <c r="PYZ409" s="120"/>
      <c r="PZA409" s="120"/>
      <c r="PZB409" s="121"/>
      <c r="PZC409" s="119"/>
      <c r="PZD409" s="120"/>
      <c r="PZE409" s="120"/>
      <c r="PZF409" s="120"/>
      <c r="PZG409" s="120"/>
      <c r="PZH409" s="120"/>
      <c r="PZI409" s="121"/>
      <c r="PZJ409" s="119"/>
      <c r="PZK409" s="120"/>
      <c r="PZL409" s="120"/>
      <c r="PZM409" s="120"/>
      <c r="PZN409" s="120"/>
      <c r="PZO409" s="120"/>
      <c r="PZP409" s="121"/>
      <c r="PZQ409" s="119"/>
      <c r="PZR409" s="120"/>
      <c r="PZS409" s="120"/>
      <c r="PZT409" s="120"/>
      <c r="PZU409" s="120"/>
      <c r="PZV409" s="120"/>
      <c r="PZW409" s="121"/>
      <c r="PZX409" s="119"/>
      <c r="PZY409" s="120"/>
      <c r="PZZ409" s="120"/>
      <c r="QAA409" s="120"/>
      <c r="QAB409" s="120"/>
      <c r="QAC409" s="120"/>
      <c r="QAD409" s="121"/>
      <c r="QAE409" s="119"/>
      <c r="QAF409" s="120"/>
      <c r="QAG409" s="120"/>
      <c r="QAH409" s="120"/>
      <c r="QAI409" s="120"/>
      <c r="QAJ409" s="120"/>
      <c r="QAK409" s="121"/>
      <c r="QAL409" s="119"/>
      <c r="QAM409" s="120"/>
      <c r="QAN409" s="120"/>
      <c r="QAO409" s="120"/>
      <c r="QAP409" s="120"/>
      <c r="QAQ409" s="120"/>
      <c r="QAR409" s="121"/>
      <c r="QAS409" s="119"/>
      <c r="QAT409" s="120"/>
      <c r="QAU409" s="120"/>
      <c r="QAV409" s="120"/>
      <c r="QAW409" s="120"/>
      <c r="QAX409" s="120"/>
      <c r="QAY409" s="121"/>
      <c r="QAZ409" s="119"/>
      <c r="QBA409" s="120"/>
      <c r="QBB409" s="120"/>
      <c r="QBC409" s="120"/>
      <c r="QBD409" s="120"/>
      <c r="QBE409" s="120"/>
      <c r="QBF409" s="121"/>
      <c r="QBG409" s="119"/>
      <c r="QBH409" s="120"/>
      <c r="QBI409" s="120"/>
      <c r="QBJ409" s="120"/>
      <c r="QBK409" s="120"/>
      <c r="QBL409" s="120"/>
      <c r="QBM409" s="121"/>
      <c r="QBN409" s="119"/>
      <c r="QBO409" s="120"/>
      <c r="QBP409" s="120"/>
      <c r="QBQ409" s="120"/>
      <c r="QBR409" s="120"/>
      <c r="QBS409" s="120"/>
      <c r="QBT409" s="121"/>
      <c r="QBU409" s="119"/>
      <c r="QBV409" s="120"/>
      <c r="QBW409" s="120"/>
      <c r="QBX409" s="120"/>
      <c r="QBY409" s="120"/>
      <c r="QBZ409" s="120"/>
      <c r="QCA409" s="121"/>
      <c r="QCB409" s="119"/>
      <c r="QCC409" s="120"/>
      <c r="QCD409" s="120"/>
      <c r="QCE409" s="120"/>
      <c r="QCF409" s="120"/>
      <c r="QCG409" s="120"/>
      <c r="QCH409" s="121"/>
      <c r="QCI409" s="119"/>
      <c r="QCJ409" s="120"/>
      <c r="QCK409" s="120"/>
      <c r="QCL409" s="120"/>
      <c r="QCM409" s="120"/>
      <c r="QCN409" s="120"/>
      <c r="QCO409" s="121"/>
      <c r="QCP409" s="119"/>
      <c r="QCQ409" s="120"/>
      <c r="QCR409" s="120"/>
      <c r="QCS409" s="120"/>
      <c r="QCT409" s="120"/>
      <c r="QCU409" s="120"/>
      <c r="QCV409" s="121"/>
      <c r="QCW409" s="119"/>
      <c r="QCX409" s="120"/>
      <c r="QCY409" s="120"/>
      <c r="QCZ409" s="120"/>
      <c r="QDA409" s="120"/>
      <c r="QDB409" s="120"/>
      <c r="QDC409" s="121"/>
      <c r="QDD409" s="119"/>
      <c r="QDE409" s="120"/>
      <c r="QDF409" s="120"/>
      <c r="QDG409" s="120"/>
      <c r="QDH409" s="120"/>
      <c r="QDI409" s="120"/>
      <c r="QDJ409" s="121"/>
      <c r="QDK409" s="119"/>
      <c r="QDL409" s="120"/>
      <c r="QDM409" s="120"/>
      <c r="QDN409" s="120"/>
      <c r="QDO409" s="120"/>
      <c r="QDP409" s="120"/>
      <c r="QDQ409" s="121"/>
      <c r="QDR409" s="119"/>
      <c r="QDS409" s="120"/>
      <c r="QDT409" s="120"/>
      <c r="QDU409" s="120"/>
      <c r="QDV409" s="120"/>
      <c r="QDW409" s="120"/>
      <c r="QDX409" s="121"/>
      <c r="QDY409" s="119"/>
      <c r="QDZ409" s="120"/>
      <c r="QEA409" s="120"/>
      <c r="QEB409" s="120"/>
      <c r="QEC409" s="120"/>
      <c r="QED409" s="120"/>
      <c r="QEE409" s="121"/>
      <c r="QEF409" s="119"/>
      <c r="QEG409" s="120"/>
      <c r="QEH409" s="120"/>
      <c r="QEI409" s="120"/>
      <c r="QEJ409" s="120"/>
      <c r="QEK409" s="120"/>
      <c r="QEL409" s="121"/>
      <c r="QEM409" s="119"/>
      <c r="QEN409" s="120"/>
      <c r="QEO409" s="120"/>
      <c r="QEP409" s="120"/>
      <c r="QEQ409" s="120"/>
      <c r="QER409" s="120"/>
      <c r="QES409" s="121"/>
      <c r="QET409" s="119"/>
      <c r="QEU409" s="120"/>
      <c r="QEV409" s="120"/>
      <c r="QEW409" s="120"/>
      <c r="QEX409" s="120"/>
      <c r="QEY409" s="120"/>
      <c r="QEZ409" s="121"/>
      <c r="QFA409" s="119"/>
      <c r="QFB409" s="120"/>
      <c r="QFC409" s="120"/>
      <c r="QFD409" s="120"/>
      <c r="QFE409" s="120"/>
      <c r="QFF409" s="120"/>
      <c r="QFG409" s="121"/>
      <c r="QFH409" s="119"/>
      <c r="QFI409" s="120"/>
      <c r="QFJ409" s="120"/>
      <c r="QFK409" s="120"/>
      <c r="QFL409" s="120"/>
      <c r="QFM409" s="120"/>
      <c r="QFN409" s="121"/>
      <c r="QFO409" s="119"/>
      <c r="QFP409" s="120"/>
      <c r="QFQ409" s="120"/>
      <c r="QFR409" s="120"/>
      <c r="QFS409" s="120"/>
      <c r="QFT409" s="120"/>
      <c r="QFU409" s="121"/>
      <c r="QFV409" s="119"/>
      <c r="QFW409" s="120"/>
      <c r="QFX409" s="120"/>
      <c r="QFY409" s="120"/>
      <c r="QFZ409" s="120"/>
      <c r="QGA409" s="120"/>
      <c r="QGB409" s="121"/>
      <c r="QGC409" s="119"/>
      <c r="QGD409" s="120"/>
      <c r="QGE409" s="120"/>
      <c r="QGF409" s="120"/>
      <c r="QGG409" s="120"/>
      <c r="QGH409" s="120"/>
      <c r="QGI409" s="121"/>
      <c r="QGJ409" s="119"/>
      <c r="QGK409" s="120"/>
      <c r="QGL409" s="120"/>
      <c r="QGM409" s="120"/>
      <c r="QGN409" s="120"/>
      <c r="QGO409" s="120"/>
      <c r="QGP409" s="121"/>
      <c r="QGQ409" s="119"/>
      <c r="QGR409" s="120"/>
      <c r="QGS409" s="120"/>
      <c r="QGT409" s="120"/>
      <c r="QGU409" s="120"/>
      <c r="QGV409" s="120"/>
      <c r="QGW409" s="121"/>
      <c r="QGX409" s="119"/>
      <c r="QGY409" s="120"/>
      <c r="QGZ409" s="120"/>
      <c r="QHA409" s="120"/>
      <c r="QHB409" s="120"/>
      <c r="QHC409" s="120"/>
      <c r="QHD409" s="121"/>
      <c r="QHE409" s="119"/>
      <c r="QHF409" s="120"/>
      <c r="QHG409" s="120"/>
      <c r="QHH409" s="120"/>
      <c r="QHI409" s="120"/>
      <c r="QHJ409" s="120"/>
      <c r="QHK409" s="121"/>
      <c r="QHL409" s="119"/>
      <c r="QHM409" s="120"/>
      <c r="QHN409" s="120"/>
      <c r="QHO409" s="120"/>
      <c r="QHP409" s="120"/>
      <c r="QHQ409" s="120"/>
      <c r="QHR409" s="121"/>
      <c r="QHS409" s="119"/>
      <c r="QHT409" s="120"/>
      <c r="QHU409" s="120"/>
      <c r="QHV409" s="120"/>
      <c r="QHW409" s="120"/>
      <c r="QHX409" s="120"/>
      <c r="QHY409" s="121"/>
      <c r="QHZ409" s="119"/>
      <c r="QIA409" s="120"/>
      <c r="QIB409" s="120"/>
      <c r="QIC409" s="120"/>
      <c r="QID409" s="120"/>
      <c r="QIE409" s="120"/>
      <c r="QIF409" s="121"/>
      <c r="QIG409" s="119"/>
      <c r="QIH409" s="120"/>
      <c r="QII409" s="120"/>
      <c r="QIJ409" s="120"/>
      <c r="QIK409" s="120"/>
      <c r="QIL409" s="120"/>
      <c r="QIM409" s="121"/>
      <c r="QIN409" s="119"/>
      <c r="QIO409" s="120"/>
      <c r="QIP409" s="120"/>
      <c r="QIQ409" s="120"/>
      <c r="QIR409" s="120"/>
      <c r="QIS409" s="120"/>
      <c r="QIT409" s="121"/>
      <c r="QIU409" s="119"/>
      <c r="QIV409" s="120"/>
      <c r="QIW409" s="120"/>
      <c r="QIX409" s="120"/>
      <c r="QIY409" s="120"/>
      <c r="QIZ409" s="120"/>
      <c r="QJA409" s="121"/>
      <c r="QJB409" s="119"/>
      <c r="QJC409" s="120"/>
      <c r="QJD409" s="120"/>
      <c r="QJE409" s="120"/>
      <c r="QJF409" s="120"/>
      <c r="QJG409" s="120"/>
      <c r="QJH409" s="121"/>
      <c r="QJI409" s="119"/>
      <c r="QJJ409" s="120"/>
      <c r="QJK409" s="120"/>
      <c r="QJL409" s="120"/>
      <c r="QJM409" s="120"/>
      <c r="QJN409" s="120"/>
      <c r="QJO409" s="121"/>
      <c r="QJP409" s="119"/>
      <c r="QJQ409" s="120"/>
      <c r="QJR409" s="120"/>
      <c r="QJS409" s="120"/>
      <c r="QJT409" s="120"/>
      <c r="QJU409" s="120"/>
      <c r="QJV409" s="121"/>
      <c r="QJW409" s="119"/>
      <c r="QJX409" s="120"/>
      <c r="QJY409" s="120"/>
      <c r="QJZ409" s="120"/>
      <c r="QKA409" s="120"/>
      <c r="QKB409" s="120"/>
      <c r="QKC409" s="121"/>
      <c r="QKD409" s="119"/>
      <c r="QKE409" s="120"/>
      <c r="QKF409" s="120"/>
      <c r="QKG409" s="120"/>
      <c r="QKH409" s="120"/>
      <c r="QKI409" s="120"/>
      <c r="QKJ409" s="121"/>
      <c r="QKK409" s="119"/>
      <c r="QKL409" s="120"/>
      <c r="QKM409" s="120"/>
      <c r="QKN409" s="120"/>
      <c r="QKO409" s="120"/>
      <c r="QKP409" s="120"/>
      <c r="QKQ409" s="121"/>
      <c r="QKR409" s="119"/>
      <c r="QKS409" s="120"/>
      <c r="QKT409" s="120"/>
      <c r="QKU409" s="120"/>
      <c r="QKV409" s="120"/>
      <c r="QKW409" s="120"/>
      <c r="QKX409" s="121"/>
      <c r="QKY409" s="119"/>
      <c r="QKZ409" s="120"/>
      <c r="QLA409" s="120"/>
      <c r="QLB409" s="120"/>
      <c r="QLC409" s="120"/>
      <c r="QLD409" s="120"/>
      <c r="QLE409" s="121"/>
      <c r="QLF409" s="119"/>
      <c r="QLG409" s="120"/>
      <c r="QLH409" s="120"/>
      <c r="QLI409" s="120"/>
      <c r="QLJ409" s="120"/>
      <c r="QLK409" s="120"/>
      <c r="QLL409" s="121"/>
      <c r="QLM409" s="119"/>
      <c r="QLN409" s="120"/>
      <c r="QLO409" s="120"/>
      <c r="QLP409" s="120"/>
      <c r="QLQ409" s="120"/>
      <c r="QLR409" s="120"/>
      <c r="QLS409" s="121"/>
      <c r="QLT409" s="119"/>
      <c r="QLU409" s="120"/>
      <c r="QLV409" s="120"/>
      <c r="QLW409" s="120"/>
      <c r="QLX409" s="120"/>
      <c r="QLY409" s="120"/>
      <c r="QLZ409" s="121"/>
      <c r="QMA409" s="119"/>
      <c r="QMB409" s="120"/>
      <c r="QMC409" s="120"/>
      <c r="QMD409" s="120"/>
      <c r="QME409" s="120"/>
      <c r="QMF409" s="120"/>
      <c r="QMG409" s="121"/>
      <c r="QMH409" s="119"/>
      <c r="QMI409" s="120"/>
      <c r="QMJ409" s="120"/>
      <c r="QMK409" s="120"/>
      <c r="QML409" s="120"/>
      <c r="QMM409" s="120"/>
      <c r="QMN409" s="121"/>
      <c r="QMO409" s="119"/>
      <c r="QMP409" s="120"/>
      <c r="QMQ409" s="120"/>
      <c r="QMR409" s="120"/>
      <c r="QMS409" s="120"/>
      <c r="QMT409" s="120"/>
      <c r="QMU409" s="121"/>
      <c r="QMV409" s="119"/>
      <c r="QMW409" s="120"/>
      <c r="QMX409" s="120"/>
      <c r="QMY409" s="120"/>
      <c r="QMZ409" s="120"/>
      <c r="QNA409" s="120"/>
      <c r="QNB409" s="121"/>
      <c r="QNC409" s="119"/>
      <c r="QND409" s="120"/>
      <c r="QNE409" s="120"/>
      <c r="QNF409" s="120"/>
      <c r="QNG409" s="120"/>
      <c r="QNH409" s="120"/>
      <c r="QNI409" s="121"/>
      <c r="QNJ409" s="119"/>
      <c r="QNK409" s="120"/>
      <c r="QNL409" s="120"/>
      <c r="QNM409" s="120"/>
      <c r="QNN409" s="120"/>
      <c r="QNO409" s="120"/>
      <c r="QNP409" s="121"/>
      <c r="QNQ409" s="119"/>
      <c r="QNR409" s="120"/>
      <c r="QNS409" s="120"/>
      <c r="QNT409" s="120"/>
      <c r="QNU409" s="120"/>
      <c r="QNV409" s="120"/>
      <c r="QNW409" s="121"/>
      <c r="QNX409" s="119"/>
      <c r="QNY409" s="120"/>
      <c r="QNZ409" s="120"/>
      <c r="QOA409" s="120"/>
      <c r="QOB409" s="120"/>
      <c r="QOC409" s="120"/>
      <c r="QOD409" s="121"/>
      <c r="QOE409" s="119"/>
      <c r="QOF409" s="120"/>
      <c r="QOG409" s="120"/>
      <c r="QOH409" s="120"/>
      <c r="QOI409" s="120"/>
      <c r="QOJ409" s="120"/>
      <c r="QOK409" s="121"/>
      <c r="QOL409" s="119"/>
      <c r="QOM409" s="120"/>
      <c r="QON409" s="120"/>
      <c r="QOO409" s="120"/>
      <c r="QOP409" s="120"/>
      <c r="QOQ409" s="120"/>
      <c r="QOR409" s="121"/>
      <c r="QOS409" s="119"/>
      <c r="QOT409" s="120"/>
      <c r="QOU409" s="120"/>
      <c r="QOV409" s="120"/>
      <c r="QOW409" s="120"/>
      <c r="QOX409" s="120"/>
      <c r="QOY409" s="121"/>
      <c r="QOZ409" s="119"/>
      <c r="QPA409" s="120"/>
      <c r="QPB409" s="120"/>
      <c r="QPC409" s="120"/>
      <c r="QPD409" s="120"/>
      <c r="QPE409" s="120"/>
      <c r="QPF409" s="121"/>
      <c r="QPG409" s="119"/>
      <c r="QPH409" s="120"/>
      <c r="QPI409" s="120"/>
      <c r="QPJ409" s="120"/>
      <c r="QPK409" s="120"/>
      <c r="QPL409" s="120"/>
      <c r="QPM409" s="121"/>
      <c r="QPN409" s="119"/>
      <c r="QPO409" s="120"/>
      <c r="QPP409" s="120"/>
      <c r="QPQ409" s="120"/>
      <c r="QPR409" s="120"/>
      <c r="QPS409" s="120"/>
      <c r="QPT409" s="121"/>
      <c r="QPU409" s="119"/>
      <c r="QPV409" s="120"/>
      <c r="QPW409" s="120"/>
      <c r="QPX409" s="120"/>
      <c r="QPY409" s="120"/>
      <c r="QPZ409" s="120"/>
      <c r="QQA409" s="121"/>
      <c r="QQB409" s="119"/>
      <c r="QQC409" s="120"/>
      <c r="QQD409" s="120"/>
      <c r="QQE409" s="120"/>
      <c r="QQF409" s="120"/>
      <c r="QQG409" s="120"/>
      <c r="QQH409" s="121"/>
      <c r="QQI409" s="119"/>
      <c r="QQJ409" s="120"/>
      <c r="QQK409" s="120"/>
      <c r="QQL409" s="120"/>
      <c r="QQM409" s="120"/>
      <c r="QQN409" s="120"/>
      <c r="QQO409" s="121"/>
      <c r="QQP409" s="119"/>
      <c r="QQQ409" s="120"/>
      <c r="QQR409" s="120"/>
      <c r="QQS409" s="120"/>
      <c r="QQT409" s="120"/>
      <c r="QQU409" s="120"/>
      <c r="QQV409" s="121"/>
      <c r="QQW409" s="119"/>
      <c r="QQX409" s="120"/>
      <c r="QQY409" s="120"/>
      <c r="QQZ409" s="120"/>
      <c r="QRA409" s="120"/>
      <c r="QRB409" s="120"/>
      <c r="QRC409" s="121"/>
      <c r="QRD409" s="119"/>
      <c r="QRE409" s="120"/>
      <c r="QRF409" s="120"/>
      <c r="QRG409" s="120"/>
      <c r="QRH409" s="120"/>
      <c r="QRI409" s="120"/>
      <c r="QRJ409" s="121"/>
      <c r="QRK409" s="119"/>
      <c r="QRL409" s="120"/>
      <c r="QRM409" s="120"/>
      <c r="QRN409" s="120"/>
      <c r="QRO409" s="120"/>
      <c r="QRP409" s="120"/>
      <c r="QRQ409" s="121"/>
      <c r="QRR409" s="119"/>
      <c r="QRS409" s="120"/>
      <c r="QRT409" s="120"/>
      <c r="QRU409" s="120"/>
      <c r="QRV409" s="120"/>
      <c r="QRW409" s="120"/>
      <c r="QRX409" s="121"/>
      <c r="QRY409" s="119"/>
      <c r="QRZ409" s="120"/>
      <c r="QSA409" s="120"/>
      <c r="QSB409" s="120"/>
      <c r="QSC409" s="120"/>
      <c r="QSD409" s="120"/>
      <c r="QSE409" s="121"/>
      <c r="QSF409" s="119"/>
      <c r="QSG409" s="120"/>
      <c r="QSH409" s="120"/>
      <c r="QSI409" s="120"/>
      <c r="QSJ409" s="120"/>
      <c r="QSK409" s="120"/>
      <c r="QSL409" s="121"/>
      <c r="QSM409" s="119"/>
      <c r="QSN409" s="120"/>
      <c r="QSO409" s="120"/>
      <c r="QSP409" s="120"/>
      <c r="QSQ409" s="120"/>
      <c r="QSR409" s="120"/>
      <c r="QSS409" s="121"/>
      <c r="QST409" s="119"/>
      <c r="QSU409" s="120"/>
      <c r="QSV409" s="120"/>
      <c r="QSW409" s="120"/>
      <c r="QSX409" s="120"/>
      <c r="QSY409" s="120"/>
      <c r="QSZ409" s="121"/>
      <c r="QTA409" s="119"/>
      <c r="QTB409" s="120"/>
      <c r="QTC409" s="120"/>
      <c r="QTD409" s="120"/>
      <c r="QTE409" s="120"/>
      <c r="QTF409" s="120"/>
      <c r="QTG409" s="121"/>
      <c r="QTH409" s="119"/>
      <c r="QTI409" s="120"/>
      <c r="QTJ409" s="120"/>
      <c r="QTK409" s="120"/>
      <c r="QTL409" s="120"/>
      <c r="QTM409" s="120"/>
      <c r="QTN409" s="121"/>
      <c r="QTO409" s="119"/>
      <c r="QTP409" s="120"/>
      <c r="QTQ409" s="120"/>
      <c r="QTR409" s="120"/>
      <c r="QTS409" s="120"/>
      <c r="QTT409" s="120"/>
      <c r="QTU409" s="121"/>
      <c r="QTV409" s="119"/>
      <c r="QTW409" s="120"/>
      <c r="QTX409" s="120"/>
      <c r="QTY409" s="120"/>
      <c r="QTZ409" s="120"/>
      <c r="QUA409" s="120"/>
      <c r="QUB409" s="121"/>
      <c r="QUC409" s="119"/>
      <c r="QUD409" s="120"/>
      <c r="QUE409" s="120"/>
      <c r="QUF409" s="120"/>
      <c r="QUG409" s="120"/>
      <c r="QUH409" s="120"/>
      <c r="QUI409" s="121"/>
      <c r="QUJ409" s="119"/>
      <c r="QUK409" s="120"/>
      <c r="QUL409" s="120"/>
      <c r="QUM409" s="120"/>
      <c r="QUN409" s="120"/>
      <c r="QUO409" s="120"/>
      <c r="QUP409" s="121"/>
      <c r="QUQ409" s="119"/>
      <c r="QUR409" s="120"/>
      <c r="QUS409" s="120"/>
      <c r="QUT409" s="120"/>
      <c r="QUU409" s="120"/>
      <c r="QUV409" s="120"/>
      <c r="QUW409" s="121"/>
      <c r="QUX409" s="119"/>
      <c r="QUY409" s="120"/>
      <c r="QUZ409" s="120"/>
      <c r="QVA409" s="120"/>
      <c r="QVB409" s="120"/>
      <c r="QVC409" s="120"/>
      <c r="QVD409" s="121"/>
      <c r="QVE409" s="119"/>
      <c r="QVF409" s="120"/>
      <c r="QVG409" s="120"/>
      <c r="QVH409" s="120"/>
      <c r="QVI409" s="120"/>
      <c r="QVJ409" s="120"/>
      <c r="QVK409" s="121"/>
      <c r="QVL409" s="119"/>
      <c r="QVM409" s="120"/>
      <c r="QVN409" s="120"/>
      <c r="QVO409" s="120"/>
      <c r="QVP409" s="120"/>
      <c r="QVQ409" s="120"/>
      <c r="QVR409" s="121"/>
      <c r="QVS409" s="119"/>
      <c r="QVT409" s="120"/>
      <c r="QVU409" s="120"/>
      <c r="QVV409" s="120"/>
      <c r="QVW409" s="120"/>
      <c r="QVX409" s="120"/>
      <c r="QVY409" s="121"/>
      <c r="QVZ409" s="119"/>
      <c r="QWA409" s="120"/>
      <c r="QWB409" s="120"/>
      <c r="QWC409" s="120"/>
      <c r="QWD409" s="120"/>
      <c r="QWE409" s="120"/>
      <c r="QWF409" s="121"/>
      <c r="QWG409" s="119"/>
      <c r="QWH409" s="120"/>
      <c r="QWI409" s="120"/>
      <c r="QWJ409" s="120"/>
      <c r="QWK409" s="120"/>
      <c r="QWL409" s="120"/>
      <c r="QWM409" s="121"/>
      <c r="QWN409" s="119"/>
      <c r="QWO409" s="120"/>
      <c r="QWP409" s="120"/>
      <c r="QWQ409" s="120"/>
      <c r="QWR409" s="120"/>
      <c r="QWS409" s="120"/>
      <c r="QWT409" s="121"/>
      <c r="QWU409" s="119"/>
      <c r="QWV409" s="120"/>
      <c r="QWW409" s="120"/>
      <c r="QWX409" s="120"/>
      <c r="QWY409" s="120"/>
      <c r="QWZ409" s="120"/>
      <c r="QXA409" s="121"/>
      <c r="QXB409" s="119"/>
      <c r="QXC409" s="120"/>
      <c r="QXD409" s="120"/>
      <c r="QXE409" s="120"/>
      <c r="QXF409" s="120"/>
      <c r="QXG409" s="120"/>
      <c r="QXH409" s="121"/>
      <c r="QXI409" s="119"/>
      <c r="QXJ409" s="120"/>
      <c r="QXK409" s="120"/>
      <c r="QXL409" s="120"/>
      <c r="QXM409" s="120"/>
      <c r="QXN409" s="120"/>
      <c r="QXO409" s="121"/>
      <c r="QXP409" s="119"/>
      <c r="QXQ409" s="120"/>
      <c r="QXR409" s="120"/>
      <c r="QXS409" s="120"/>
      <c r="QXT409" s="120"/>
      <c r="QXU409" s="120"/>
      <c r="QXV409" s="121"/>
      <c r="QXW409" s="119"/>
      <c r="QXX409" s="120"/>
      <c r="QXY409" s="120"/>
      <c r="QXZ409" s="120"/>
      <c r="QYA409" s="120"/>
      <c r="QYB409" s="120"/>
      <c r="QYC409" s="121"/>
      <c r="QYD409" s="119"/>
      <c r="QYE409" s="120"/>
      <c r="QYF409" s="120"/>
      <c r="QYG409" s="120"/>
      <c r="QYH409" s="120"/>
      <c r="QYI409" s="120"/>
      <c r="QYJ409" s="121"/>
      <c r="QYK409" s="119"/>
      <c r="QYL409" s="120"/>
      <c r="QYM409" s="120"/>
      <c r="QYN409" s="120"/>
      <c r="QYO409" s="120"/>
      <c r="QYP409" s="120"/>
      <c r="QYQ409" s="121"/>
      <c r="QYR409" s="119"/>
      <c r="QYS409" s="120"/>
      <c r="QYT409" s="120"/>
      <c r="QYU409" s="120"/>
      <c r="QYV409" s="120"/>
      <c r="QYW409" s="120"/>
      <c r="QYX409" s="121"/>
      <c r="QYY409" s="119"/>
      <c r="QYZ409" s="120"/>
      <c r="QZA409" s="120"/>
      <c r="QZB409" s="120"/>
      <c r="QZC409" s="120"/>
      <c r="QZD409" s="120"/>
      <c r="QZE409" s="121"/>
      <c r="QZF409" s="119"/>
      <c r="QZG409" s="120"/>
      <c r="QZH409" s="120"/>
      <c r="QZI409" s="120"/>
      <c r="QZJ409" s="120"/>
      <c r="QZK409" s="120"/>
      <c r="QZL409" s="121"/>
      <c r="QZM409" s="119"/>
      <c r="QZN409" s="120"/>
      <c r="QZO409" s="120"/>
      <c r="QZP409" s="120"/>
      <c r="QZQ409" s="120"/>
      <c r="QZR409" s="120"/>
      <c r="QZS409" s="121"/>
      <c r="QZT409" s="119"/>
      <c r="QZU409" s="120"/>
      <c r="QZV409" s="120"/>
      <c r="QZW409" s="120"/>
      <c r="QZX409" s="120"/>
      <c r="QZY409" s="120"/>
      <c r="QZZ409" s="121"/>
      <c r="RAA409" s="119"/>
      <c r="RAB409" s="120"/>
      <c r="RAC409" s="120"/>
      <c r="RAD409" s="120"/>
      <c r="RAE409" s="120"/>
      <c r="RAF409" s="120"/>
      <c r="RAG409" s="121"/>
      <c r="RAH409" s="119"/>
      <c r="RAI409" s="120"/>
      <c r="RAJ409" s="120"/>
      <c r="RAK409" s="120"/>
      <c r="RAL409" s="120"/>
      <c r="RAM409" s="120"/>
      <c r="RAN409" s="121"/>
      <c r="RAO409" s="119"/>
      <c r="RAP409" s="120"/>
      <c r="RAQ409" s="120"/>
      <c r="RAR409" s="120"/>
      <c r="RAS409" s="120"/>
      <c r="RAT409" s="120"/>
      <c r="RAU409" s="121"/>
      <c r="RAV409" s="119"/>
      <c r="RAW409" s="120"/>
      <c r="RAX409" s="120"/>
      <c r="RAY409" s="120"/>
      <c r="RAZ409" s="120"/>
      <c r="RBA409" s="120"/>
      <c r="RBB409" s="121"/>
      <c r="RBC409" s="119"/>
      <c r="RBD409" s="120"/>
      <c r="RBE409" s="120"/>
      <c r="RBF409" s="120"/>
      <c r="RBG409" s="120"/>
      <c r="RBH409" s="120"/>
      <c r="RBI409" s="121"/>
      <c r="RBJ409" s="119"/>
      <c r="RBK409" s="120"/>
      <c r="RBL409" s="120"/>
      <c r="RBM409" s="120"/>
      <c r="RBN409" s="120"/>
      <c r="RBO409" s="120"/>
      <c r="RBP409" s="121"/>
      <c r="RBQ409" s="119"/>
      <c r="RBR409" s="120"/>
      <c r="RBS409" s="120"/>
      <c r="RBT409" s="120"/>
      <c r="RBU409" s="120"/>
      <c r="RBV409" s="120"/>
      <c r="RBW409" s="121"/>
      <c r="RBX409" s="119"/>
      <c r="RBY409" s="120"/>
      <c r="RBZ409" s="120"/>
      <c r="RCA409" s="120"/>
      <c r="RCB409" s="120"/>
      <c r="RCC409" s="120"/>
      <c r="RCD409" s="121"/>
      <c r="RCE409" s="119"/>
      <c r="RCF409" s="120"/>
      <c r="RCG409" s="120"/>
      <c r="RCH409" s="120"/>
      <c r="RCI409" s="120"/>
      <c r="RCJ409" s="120"/>
      <c r="RCK409" s="121"/>
      <c r="RCL409" s="119"/>
      <c r="RCM409" s="120"/>
      <c r="RCN409" s="120"/>
      <c r="RCO409" s="120"/>
      <c r="RCP409" s="120"/>
      <c r="RCQ409" s="120"/>
      <c r="RCR409" s="121"/>
      <c r="RCS409" s="119"/>
      <c r="RCT409" s="120"/>
      <c r="RCU409" s="120"/>
      <c r="RCV409" s="120"/>
      <c r="RCW409" s="120"/>
      <c r="RCX409" s="120"/>
      <c r="RCY409" s="121"/>
      <c r="RCZ409" s="119"/>
      <c r="RDA409" s="120"/>
      <c r="RDB409" s="120"/>
      <c r="RDC409" s="120"/>
      <c r="RDD409" s="120"/>
      <c r="RDE409" s="120"/>
      <c r="RDF409" s="121"/>
      <c r="RDG409" s="119"/>
      <c r="RDH409" s="120"/>
      <c r="RDI409" s="120"/>
      <c r="RDJ409" s="120"/>
      <c r="RDK409" s="120"/>
      <c r="RDL409" s="120"/>
      <c r="RDM409" s="121"/>
      <c r="RDN409" s="119"/>
      <c r="RDO409" s="120"/>
      <c r="RDP409" s="120"/>
      <c r="RDQ409" s="120"/>
      <c r="RDR409" s="120"/>
      <c r="RDS409" s="120"/>
      <c r="RDT409" s="121"/>
      <c r="RDU409" s="119"/>
      <c r="RDV409" s="120"/>
      <c r="RDW409" s="120"/>
      <c r="RDX409" s="120"/>
      <c r="RDY409" s="120"/>
      <c r="RDZ409" s="120"/>
      <c r="REA409" s="121"/>
      <c r="REB409" s="119"/>
      <c r="REC409" s="120"/>
      <c r="RED409" s="120"/>
      <c r="REE409" s="120"/>
      <c r="REF409" s="120"/>
      <c r="REG409" s="120"/>
      <c r="REH409" s="121"/>
      <c r="REI409" s="119"/>
      <c r="REJ409" s="120"/>
      <c r="REK409" s="120"/>
      <c r="REL409" s="120"/>
      <c r="REM409" s="120"/>
      <c r="REN409" s="120"/>
      <c r="REO409" s="121"/>
      <c r="REP409" s="119"/>
      <c r="REQ409" s="120"/>
      <c r="RER409" s="120"/>
      <c r="RES409" s="120"/>
      <c r="RET409" s="120"/>
      <c r="REU409" s="120"/>
      <c r="REV409" s="121"/>
      <c r="REW409" s="119"/>
      <c r="REX409" s="120"/>
      <c r="REY409" s="120"/>
      <c r="REZ409" s="120"/>
      <c r="RFA409" s="120"/>
      <c r="RFB409" s="120"/>
      <c r="RFC409" s="121"/>
      <c r="RFD409" s="119"/>
      <c r="RFE409" s="120"/>
      <c r="RFF409" s="120"/>
      <c r="RFG409" s="120"/>
      <c r="RFH409" s="120"/>
      <c r="RFI409" s="120"/>
      <c r="RFJ409" s="121"/>
      <c r="RFK409" s="119"/>
      <c r="RFL409" s="120"/>
      <c r="RFM409" s="120"/>
      <c r="RFN409" s="120"/>
      <c r="RFO409" s="120"/>
      <c r="RFP409" s="120"/>
      <c r="RFQ409" s="121"/>
      <c r="RFR409" s="119"/>
      <c r="RFS409" s="120"/>
      <c r="RFT409" s="120"/>
      <c r="RFU409" s="120"/>
      <c r="RFV409" s="120"/>
      <c r="RFW409" s="120"/>
      <c r="RFX409" s="121"/>
      <c r="RFY409" s="119"/>
      <c r="RFZ409" s="120"/>
      <c r="RGA409" s="120"/>
      <c r="RGB409" s="120"/>
      <c r="RGC409" s="120"/>
      <c r="RGD409" s="120"/>
      <c r="RGE409" s="121"/>
      <c r="RGF409" s="119"/>
      <c r="RGG409" s="120"/>
      <c r="RGH409" s="120"/>
      <c r="RGI409" s="120"/>
      <c r="RGJ409" s="120"/>
      <c r="RGK409" s="120"/>
      <c r="RGL409" s="121"/>
      <c r="RGM409" s="119"/>
      <c r="RGN409" s="120"/>
      <c r="RGO409" s="120"/>
      <c r="RGP409" s="120"/>
      <c r="RGQ409" s="120"/>
      <c r="RGR409" s="120"/>
      <c r="RGS409" s="121"/>
      <c r="RGT409" s="119"/>
      <c r="RGU409" s="120"/>
      <c r="RGV409" s="120"/>
      <c r="RGW409" s="120"/>
      <c r="RGX409" s="120"/>
      <c r="RGY409" s="120"/>
      <c r="RGZ409" s="121"/>
      <c r="RHA409" s="119"/>
      <c r="RHB409" s="120"/>
      <c r="RHC409" s="120"/>
      <c r="RHD409" s="120"/>
      <c r="RHE409" s="120"/>
      <c r="RHF409" s="120"/>
      <c r="RHG409" s="121"/>
      <c r="RHH409" s="119"/>
      <c r="RHI409" s="120"/>
      <c r="RHJ409" s="120"/>
      <c r="RHK409" s="120"/>
      <c r="RHL409" s="120"/>
      <c r="RHM409" s="120"/>
      <c r="RHN409" s="121"/>
      <c r="RHO409" s="119"/>
      <c r="RHP409" s="120"/>
      <c r="RHQ409" s="120"/>
      <c r="RHR409" s="120"/>
      <c r="RHS409" s="120"/>
      <c r="RHT409" s="120"/>
      <c r="RHU409" s="121"/>
      <c r="RHV409" s="119"/>
      <c r="RHW409" s="120"/>
      <c r="RHX409" s="120"/>
      <c r="RHY409" s="120"/>
      <c r="RHZ409" s="120"/>
      <c r="RIA409" s="120"/>
      <c r="RIB409" s="121"/>
      <c r="RIC409" s="119"/>
      <c r="RID409" s="120"/>
      <c r="RIE409" s="120"/>
      <c r="RIF409" s="120"/>
      <c r="RIG409" s="120"/>
      <c r="RIH409" s="120"/>
      <c r="RII409" s="121"/>
      <c r="RIJ409" s="119"/>
      <c r="RIK409" s="120"/>
      <c r="RIL409" s="120"/>
      <c r="RIM409" s="120"/>
      <c r="RIN409" s="120"/>
      <c r="RIO409" s="120"/>
      <c r="RIP409" s="121"/>
      <c r="RIQ409" s="119"/>
      <c r="RIR409" s="120"/>
      <c r="RIS409" s="120"/>
      <c r="RIT409" s="120"/>
      <c r="RIU409" s="120"/>
      <c r="RIV409" s="120"/>
      <c r="RIW409" s="121"/>
      <c r="RIX409" s="119"/>
      <c r="RIY409" s="120"/>
      <c r="RIZ409" s="120"/>
      <c r="RJA409" s="120"/>
      <c r="RJB409" s="120"/>
      <c r="RJC409" s="120"/>
      <c r="RJD409" s="121"/>
      <c r="RJE409" s="119"/>
      <c r="RJF409" s="120"/>
      <c r="RJG409" s="120"/>
      <c r="RJH409" s="120"/>
      <c r="RJI409" s="120"/>
      <c r="RJJ409" s="120"/>
      <c r="RJK409" s="121"/>
      <c r="RJL409" s="119"/>
      <c r="RJM409" s="120"/>
      <c r="RJN409" s="120"/>
      <c r="RJO409" s="120"/>
      <c r="RJP409" s="120"/>
      <c r="RJQ409" s="120"/>
      <c r="RJR409" s="121"/>
      <c r="RJS409" s="119"/>
      <c r="RJT409" s="120"/>
      <c r="RJU409" s="120"/>
      <c r="RJV409" s="120"/>
      <c r="RJW409" s="120"/>
      <c r="RJX409" s="120"/>
      <c r="RJY409" s="121"/>
      <c r="RJZ409" s="119"/>
      <c r="RKA409" s="120"/>
      <c r="RKB409" s="120"/>
      <c r="RKC409" s="120"/>
      <c r="RKD409" s="120"/>
      <c r="RKE409" s="120"/>
      <c r="RKF409" s="121"/>
      <c r="RKG409" s="119"/>
      <c r="RKH409" s="120"/>
      <c r="RKI409" s="120"/>
      <c r="RKJ409" s="120"/>
      <c r="RKK409" s="120"/>
      <c r="RKL409" s="120"/>
      <c r="RKM409" s="121"/>
      <c r="RKN409" s="119"/>
      <c r="RKO409" s="120"/>
      <c r="RKP409" s="120"/>
      <c r="RKQ409" s="120"/>
      <c r="RKR409" s="120"/>
      <c r="RKS409" s="120"/>
      <c r="RKT409" s="121"/>
      <c r="RKU409" s="119"/>
      <c r="RKV409" s="120"/>
      <c r="RKW409" s="120"/>
      <c r="RKX409" s="120"/>
      <c r="RKY409" s="120"/>
      <c r="RKZ409" s="120"/>
      <c r="RLA409" s="121"/>
      <c r="RLB409" s="119"/>
      <c r="RLC409" s="120"/>
      <c r="RLD409" s="120"/>
      <c r="RLE409" s="120"/>
      <c r="RLF409" s="120"/>
      <c r="RLG409" s="120"/>
      <c r="RLH409" s="121"/>
      <c r="RLI409" s="119"/>
      <c r="RLJ409" s="120"/>
      <c r="RLK409" s="120"/>
      <c r="RLL409" s="120"/>
      <c r="RLM409" s="120"/>
      <c r="RLN409" s="120"/>
      <c r="RLO409" s="121"/>
      <c r="RLP409" s="119"/>
      <c r="RLQ409" s="120"/>
      <c r="RLR409" s="120"/>
      <c r="RLS409" s="120"/>
      <c r="RLT409" s="120"/>
      <c r="RLU409" s="120"/>
      <c r="RLV409" s="121"/>
      <c r="RLW409" s="119"/>
      <c r="RLX409" s="120"/>
      <c r="RLY409" s="120"/>
      <c r="RLZ409" s="120"/>
      <c r="RMA409" s="120"/>
      <c r="RMB409" s="120"/>
      <c r="RMC409" s="121"/>
      <c r="RMD409" s="119"/>
      <c r="RME409" s="120"/>
      <c r="RMF409" s="120"/>
      <c r="RMG409" s="120"/>
      <c r="RMH409" s="120"/>
      <c r="RMI409" s="120"/>
      <c r="RMJ409" s="121"/>
      <c r="RMK409" s="119"/>
      <c r="RML409" s="120"/>
      <c r="RMM409" s="120"/>
      <c r="RMN409" s="120"/>
      <c r="RMO409" s="120"/>
      <c r="RMP409" s="120"/>
      <c r="RMQ409" s="121"/>
      <c r="RMR409" s="119"/>
      <c r="RMS409" s="120"/>
      <c r="RMT409" s="120"/>
      <c r="RMU409" s="120"/>
      <c r="RMV409" s="120"/>
      <c r="RMW409" s="120"/>
      <c r="RMX409" s="121"/>
      <c r="RMY409" s="119"/>
      <c r="RMZ409" s="120"/>
      <c r="RNA409" s="120"/>
      <c r="RNB409" s="120"/>
      <c r="RNC409" s="120"/>
      <c r="RND409" s="120"/>
      <c r="RNE409" s="121"/>
      <c r="RNF409" s="119"/>
      <c r="RNG409" s="120"/>
      <c r="RNH409" s="120"/>
      <c r="RNI409" s="120"/>
      <c r="RNJ409" s="120"/>
      <c r="RNK409" s="120"/>
      <c r="RNL409" s="121"/>
      <c r="RNM409" s="119"/>
      <c r="RNN409" s="120"/>
      <c r="RNO409" s="120"/>
      <c r="RNP409" s="120"/>
      <c r="RNQ409" s="120"/>
      <c r="RNR409" s="120"/>
      <c r="RNS409" s="121"/>
      <c r="RNT409" s="119"/>
      <c r="RNU409" s="120"/>
      <c r="RNV409" s="120"/>
      <c r="RNW409" s="120"/>
      <c r="RNX409" s="120"/>
      <c r="RNY409" s="120"/>
      <c r="RNZ409" s="121"/>
      <c r="ROA409" s="119"/>
      <c r="ROB409" s="120"/>
      <c r="ROC409" s="120"/>
      <c r="ROD409" s="120"/>
      <c r="ROE409" s="120"/>
      <c r="ROF409" s="120"/>
      <c r="ROG409" s="121"/>
      <c r="ROH409" s="119"/>
      <c r="ROI409" s="120"/>
      <c r="ROJ409" s="120"/>
      <c r="ROK409" s="120"/>
      <c r="ROL409" s="120"/>
      <c r="ROM409" s="120"/>
      <c r="RON409" s="121"/>
      <c r="ROO409" s="119"/>
      <c r="ROP409" s="120"/>
      <c r="ROQ409" s="120"/>
      <c r="ROR409" s="120"/>
      <c r="ROS409" s="120"/>
      <c r="ROT409" s="120"/>
      <c r="ROU409" s="121"/>
      <c r="ROV409" s="119"/>
      <c r="ROW409" s="120"/>
      <c r="ROX409" s="120"/>
      <c r="ROY409" s="120"/>
      <c r="ROZ409" s="120"/>
      <c r="RPA409" s="120"/>
      <c r="RPB409" s="121"/>
      <c r="RPC409" s="119"/>
      <c r="RPD409" s="120"/>
      <c r="RPE409" s="120"/>
      <c r="RPF409" s="120"/>
      <c r="RPG409" s="120"/>
      <c r="RPH409" s="120"/>
      <c r="RPI409" s="121"/>
      <c r="RPJ409" s="119"/>
      <c r="RPK409" s="120"/>
      <c r="RPL409" s="120"/>
      <c r="RPM409" s="120"/>
      <c r="RPN409" s="120"/>
      <c r="RPO409" s="120"/>
      <c r="RPP409" s="121"/>
      <c r="RPQ409" s="119"/>
      <c r="RPR409" s="120"/>
      <c r="RPS409" s="120"/>
      <c r="RPT409" s="120"/>
      <c r="RPU409" s="120"/>
      <c r="RPV409" s="120"/>
      <c r="RPW409" s="121"/>
      <c r="RPX409" s="119"/>
      <c r="RPY409" s="120"/>
      <c r="RPZ409" s="120"/>
      <c r="RQA409" s="120"/>
      <c r="RQB409" s="120"/>
      <c r="RQC409" s="120"/>
      <c r="RQD409" s="121"/>
      <c r="RQE409" s="119"/>
      <c r="RQF409" s="120"/>
      <c r="RQG409" s="120"/>
      <c r="RQH409" s="120"/>
      <c r="RQI409" s="120"/>
      <c r="RQJ409" s="120"/>
      <c r="RQK409" s="121"/>
      <c r="RQL409" s="119"/>
      <c r="RQM409" s="120"/>
      <c r="RQN409" s="120"/>
      <c r="RQO409" s="120"/>
      <c r="RQP409" s="120"/>
      <c r="RQQ409" s="120"/>
      <c r="RQR409" s="121"/>
      <c r="RQS409" s="119"/>
      <c r="RQT409" s="120"/>
      <c r="RQU409" s="120"/>
      <c r="RQV409" s="120"/>
      <c r="RQW409" s="120"/>
      <c r="RQX409" s="120"/>
      <c r="RQY409" s="121"/>
      <c r="RQZ409" s="119"/>
      <c r="RRA409" s="120"/>
      <c r="RRB409" s="120"/>
      <c r="RRC409" s="120"/>
      <c r="RRD409" s="120"/>
      <c r="RRE409" s="120"/>
      <c r="RRF409" s="121"/>
      <c r="RRG409" s="119"/>
      <c r="RRH409" s="120"/>
      <c r="RRI409" s="120"/>
      <c r="RRJ409" s="120"/>
      <c r="RRK409" s="120"/>
      <c r="RRL409" s="120"/>
      <c r="RRM409" s="121"/>
      <c r="RRN409" s="119"/>
      <c r="RRO409" s="120"/>
      <c r="RRP409" s="120"/>
      <c r="RRQ409" s="120"/>
      <c r="RRR409" s="120"/>
      <c r="RRS409" s="120"/>
      <c r="RRT409" s="121"/>
      <c r="RRU409" s="119"/>
      <c r="RRV409" s="120"/>
      <c r="RRW409" s="120"/>
      <c r="RRX409" s="120"/>
      <c r="RRY409" s="120"/>
      <c r="RRZ409" s="120"/>
      <c r="RSA409" s="121"/>
      <c r="RSB409" s="119"/>
      <c r="RSC409" s="120"/>
      <c r="RSD409" s="120"/>
      <c r="RSE409" s="120"/>
      <c r="RSF409" s="120"/>
      <c r="RSG409" s="120"/>
      <c r="RSH409" s="121"/>
      <c r="RSI409" s="119"/>
      <c r="RSJ409" s="120"/>
      <c r="RSK409" s="120"/>
      <c r="RSL409" s="120"/>
      <c r="RSM409" s="120"/>
      <c r="RSN409" s="120"/>
      <c r="RSO409" s="121"/>
      <c r="RSP409" s="119"/>
      <c r="RSQ409" s="120"/>
      <c r="RSR409" s="120"/>
      <c r="RSS409" s="120"/>
      <c r="RST409" s="120"/>
      <c r="RSU409" s="120"/>
      <c r="RSV409" s="121"/>
      <c r="RSW409" s="119"/>
      <c r="RSX409" s="120"/>
      <c r="RSY409" s="120"/>
      <c r="RSZ409" s="120"/>
      <c r="RTA409" s="120"/>
      <c r="RTB409" s="120"/>
      <c r="RTC409" s="121"/>
      <c r="RTD409" s="119"/>
      <c r="RTE409" s="120"/>
      <c r="RTF409" s="120"/>
      <c r="RTG409" s="120"/>
      <c r="RTH409" s="120"/>
      <c r="RTI409" s="120"/>
      <c r="RTJ409" s="121"/>
      <c r="RTK409" s="119"/>
      <c r="RTL409" s="120"/>
      <c r="RTM409" s="120"/>
      <c r="RTN409" s="120"/>
      <c r="RTO409" s="120"/>
      <c r="RTP409" s="120"/>
      <c r="RTQ409" s="121"/>
      <c r="RTR409" s="119"/>
      <c r="RTS409" s="120"/>
      <c r="RTT409" s="120"/>
      <c r="RTU409" s="120"/>
      <c r="RTV409" s="120"/>
      <c r="RTW409" s="120"/>
      <c r="RTX409" s="121"/>
      <c r="RTY409" s="119"/>
      <c r="RTZ409" s="120"/>
      <c r="RUA409" s="120"/>
      <c r="RUB409" s="120"/>
      <c r="RUC409" s="120"/>
      <c r="RUD409" s="120"/>
      <c r="RUE409" s="121"/>
      <c r="RUF409" s="119"/>
      <c r="RUG409" s="120"/>
      <c r="RUH409" s="120"/>
      <c r="RUI409" s="120"/>
      <c r="RUJ409" s="120"/>
      <c r="RUK409" s="120"/>
      <c r="RUL409" s="121"/>
      <c r="RUM409" s="119"/>
      <c r="RUN409" s="120"/>
      <c r="RUO409" s="120"/>
      <c r="RUP409" s="120"/>
      <c r="RUQ409" s="120"/>
      <c r="RUR409" s="120"/>
      <c r="RUS409" s="121"/>
      <c r="RUT409" s="119"/>
      <c r="RUU409" s="120"/>
      <c r="RUV409" s="120"/>
      <c r="RUW409" s="120"/>
      <c r="RUX409" s="120"/>
      <c r="RUY409" s="120"/>
      <c r="RUZ409" s="121"/>
      <c r="RVA409" s="119"/>
      <c r="RVB409" s="120"/>
      <c r="RVC409" s="120"/>
      <c r="RVD409" s="120"/>
      <c r="RVE409" s="120"/>
      <c r="RVF409" s="120"/>
      <c r="RVG409" s="121"/>
      <c r="RVH409" s="119"/>
      <c r="RVI409" s="120"/>
      <c r="RVJ409" s="120"/>
      <c r="RVK409" s="120"/>
      <c r="RVL409" s="120"/>
      <c r="RVM409" s="120"/>
      <c r="RVN409" s="121"/>
      <c r="RVO409" s="119"/>
      <c r="RVP409" s="120"/>
      <c r="RVQ409" s="120"/>
      <c r="RVR409" s="120"/>
      <c r="RVS409" s="120"/>
      <c r="RVT409" s="120"/>
      <c r="RVU409" s="121"/>
      <c r="RVV409" s="119"/>
      <c r="RVW409" s="120"/>
      <c r="RVX409" s="120"/>
      <c r="RVY409" s="120"/>
      <c r="RVZ409" s="120"/>
      <c r="RWA409" s="120"/>
      <c r="RWB409" s="121"/>
      <c r="RWC409" s="119"/>
      <c r="RWD409" s="120"/>
      <c r="RWE409" s="120"/>
      <c r="RWF409" s="120"/>
      <c r="RWG409" s="120"/>
      <c r="RWH409" s="120"/>
      <c r="RWI409" s="121"/>
      <c r="RWJ409" s="119"/>
      <c r="RWK409" s="120"/>
      <c r="RWL409" s="120"/>
      <c r="RWM409" s="120"/>
      <c r="RWN409" s="120"/>
      <c r="RWO409" s="120"/>
      <c r="RWP409" s="121"/>
      <c r="RWQ409" s="119"/>
      <c r="RWR409" s="120"/>
      <c r="RWS409" s="120"/>
      <c r="RWT409" s="120"/>
      <c r="RWU409" s="120"/>
      <c r="RWV409" s="120"/>
      <c r="RWW409" s="121"/>
      <c r="RWX409" s="119"/>
      <c r="RWY409" s="120"/>
      <c r="RWZ409" s="120"/>
      <c r="RXA409" s="120"/>
      <c r="RXB409" s="120"/>
      <c r="RXC409" s="120"/>
      <c r="RXD409" s="121"/>
      <c r="RXE409" s="119"/>
      <c r="RXF409" s="120"/>
      <c r="RXG409" s="120"/>
      <c r="RXH409" s="120"/>
      <c r="RXI409" s="120"/>
      <c r="RXJ409" s="120"/>
      <c r="RXK409" s="121"/>
      <c r="RXL409" s="119"/>
      <c r="RXM409" s="120"/>
      <c r="RXN409" s="120"/>
      <c r="RXO409" s="120"/>
      <c r="RXP409" s="120"/>
      <c r="RXQ409" s="120"/>
      <c r="RXR409" s="121"/>
      <c r="RXS409" s="119"/>
      <c r="RXT409" s="120"/>
      <c r="RXU409" s="120"/>
      <c r="RXV409" s="120"/>
      <c r="RXW409" s="120"/>
      <c r="RXX409" s="120"/>
      <c r="RXY409" s="121"/>
      <c r="RXZ409" s="119"/>
      <c r="RYA409" s="120"/>
      <c r="RYB409" s="120"/>
      <c r="RYC409" s="120"/>
      <c r="RYD409" s="120"/>
      <c r="RYE409" s="120"/>
      <c r="RYF409" s="121"/>
      <c r="RYG409" s="119"/>
      <c r="RYH409" s="120"/>
      <c r="RYI409" s="120"/>
      <c r="RYJ409" s="120"/>
      <c r="RYK409" s="120"/>
      <c r="RYL409" s="120"/>
      <c r="RYM409" s="121"/>
      <c r="RYN409" s="119"/>
      <c r="RYO409" s="120"/>
      <c r="RYP409" s="120"/>
      <c r="RYQ409" s="120"/>
      <c r="RYR409" s="120"/>
      <c r="RYS409" s="120"/>
      <c r="RYT409" s="121"/>
      <c r="RYU409" s="119"/>
      <c r="RYV409" s="120"/>
      <c r="RYW409" s="120"/>
      <c r="RYX409" s="120"/>
      <c r="RYY409" s="120"/>
      <c r="RYZ409" s="120"/>
      <c r="RZA409" s="121"/>
      <c r="RZB409" s="119"/>
      <c r="RZC409" s="120"/>
      <c r="RZD409" s="120"/>
      <c r="RZE409" s="120"/>
      <c r="RZF409" s="120"/>
      <c r="RZG409" s="120"/>
      <c r="RZH409" s="121"/>
      <c r="RZI409" s="119"/>
      <c r="RZJ409" s="120"/>
      <c r="RZK409" s="120"/>
      <c r="RZL409" s="120"/>
      <c r="RZM409" s="120"/>
      <c r="RZN409" s="120"/>
      <c r="RZO409" s="121"/>
      <c r="RZP409" s="119"/>
      <c r="RZQ409" s="120"/>
      <c r="RZR409" s="120"/>
      <c r="RZS409" s="120"/>
      <c r="RZT409" s="120"/>
      <c r="RZU409" s="120"/>
      <c r="RZV409" s="121"/>
      <c r="RZW409" s="119"/>
      <c r="RZX409" s="120"/>
      <c r="RZY409" s="120"/>
      <c r="RZZ409" s="120"/>
      <c r="SAA409" s="120"/>
      <c r="SAB409" s="120"/>
      <c r="SAC409" s="121"/>
      <c r="SAD409" s="119"/>
      <c r="SAE409" s="120"/>
      <c r="SAF409" s="120"/>
      <c r="SAG409" s="120"/>
      <c r="SAH409" s="120"/>
      <c r="SAI409" s="120"/>
      <c r="SAJ409" s="121"/>
      <c r="SAK409" s="119"/>
      <c r="SAL409" s="120"/>
      <c r="SAM409" s="120"/>
      <c r="SAN409" s="120"/>
      <c r="SAO409" s="120"/>
      <c r="SAP409" s="120"/>
      <c r="SAQ409" s="121"/>
      <c r="SAR409" s="119"/>
      <c r="SAS409" s="120"/>
      <c r="SAT409" s="120"/>
      <c r="SAU409" s="120"/>
      <c r="SAV409" s="120"/>
      <c r="SAW409" s="120"/>
      <c r="SAX409" s="121"/>
      <c r="SAY409" s="119"/>
      <c r="SAZ409" s="120"/>
      <c r="SBA409" s="120"/>
      <c r="SBB409" s="120"/>
      <c r="SBC409" s="120"/>
      <c r="SBD409" s="120"/>
      <c r="SBE409" s="121"/>
      <c r="SBF409" s="119"/>
      <c r="SBG409" s="120"/>
      <c r="SBH409" s="120"/>
      <c r="SBI409" s="120"/>
      <c r="SBJ409" s="120"/>
      <c r="SBK409" s="120"/>
      <c r="SBL409" s="121"/>
      <c r="SBM409" s="119"/>
      <c r="SBN409" s="120"/>
      <c r="SBO409" s="120"/>
      <c r="SBP409" s="120"/>
      <c r="SBQ409" s="120"/>
      <c r="SBR409" s="120"/>
      <c r="SBS409" s="121"/>
      <c r="SBT409" s="119"/>
      <c r="SBU409" s="120"/>
      <c r="SBV409" s="120"/>
      <c r="SBW409" s="120"/>
      <c r="SBX409" s="120"/>
      <c r="SBY409" s="120"/>
      <c r="SBZ409" s="121"/>
      <c r="SCA409" s="119"/>
      <c r="SCB409" s="120"/>
      <c r="SCC409" s="120"/>
      <c r="SCD409" s="120"/>
      <c r="SCE409" s="120"/>
      <c r="SCF409" s="120"/>
      <c r="SCG409" s="121"/>
      <c r="SCH409" s="119"/>
      <c r="SCI409" s="120"/>
      <c r="SCJ409" s="120"/>
      <c r="SCK409" s="120"/>
      <c r="SCL409" s="120"/>
      <c r="SCM409" s="120"/>
      <c r="SCN409" s="121"/>
      <c r="SCO409" s="119"/>
      <c r="SCP409" s="120"/>
      <c r="SCQ409" s="120"/>
      <c r="SCR409" s="120"/>
      <c r="SCS409" s="120"/>
      <c r="SCT409" s="120"/>
      <c r="SCU409" s="121"/>
      <c r="SCV409" s="119"/>
      <c r="SCW409" s="120"/>
      <c r="SCX409" s="120"/>
      <c r="SCY409" s="120"/>
      <c r="SCZ409" s="120"/>
      <c r="SDA409" s="120"/>
      <c r="SDB409" s="121"/>
      <c r="SDC409" s="119"/>
      <c r="SDD409" s="120"/>
      <c r="SDE409" s="120"/>
      <c r="SDF409" s="120"/>
      <c r="SDG409" s="120"/>
      <c r="SDH409" s="120"/>
      <c r="SDI409" s="121"/>
      <c r="SDJ409" s="119"/>
      <c r="SDK409" s="120"/>
      <c r="SDL409" s="120"/>
      <c r="SDM409" s="120"/>
      <c r="SDN409" s="120"/>
      <c r="SDO409" s="120"/>
      <c r="SDP409" s="121"/>
      <c r="SDQ409" s="119"/>
      <c r="SDR409" s="120"/>
      <c r="SDS409" s="120"/>
      <c r="SDT409" s="120"/>
      <c r="SDU409" s="120"/>
      <c r="SDV409" s="120"/>
      <c r="SDW409" s="121"/>
      <c r="SDX409" s="119"/>
      <c r="SDY409" s="120"/>
      <c r="SDZ409" s="120"/>
      <c r="SEA409" s="120"/>
      <c r="SEB409" s="120"/>
      <c r="SEC409" s="120"/>
      <c r="SED409" s="121"/>
      <c r="SEE409" s="119"/>
      <c r="SEF409" s="120"/>
      <c r="SEG409" s="120"/>
      <c r="SEH409" s="120"/>
      <c r="SEI409" s="120"/>
      <c r="SEJ409" s="120"/>
      <c r="SEK409" s="121"/>
      <c r="SEL409" s="119"/>
      <c r="SEM409" s="120"/>
      <c r="SEN409" s="120"/>
      <c r="SEO409" s="120"/>
      <c r="SEP409" s="120"/>
      <c r="SEQ409" s="120"/>
      <c r="SER409" s="121"/>
      <c r="SES409" s="119"/>
      <c r="SET409" s="120"/>
      <c r="SEU409" s="120"/>
      <c r="SEV409" s="120"/>
      <c r="SEW409" s="120"/>
      <c r="SEX409" s="120"/>
      <c r="SEY409" s="121"/>
      <c r="SEZ409" s="119"/>
      <c r="SFA409" s="120"/>
      <c r="SFB409" s="120"/>
      <c r="SFC409" s="120"/>
      <c r="SFD409" s="120"/>
      <c r="SFE409" s="120"/>
      <c r="SFF409" s="121"/>
      <c r="SFG409" s="119"/>
      <c r="SFH409" s="120"/>
      <c r="SFI409" s="120"/>
      <c r="SFJ409" s="120"/>
      <c r="SFK409" s="120"/>
      <c r="SFL409" s="120"/>
      <c r="SFM409" s="121"/>
      <c r="SFN409" s="119"/>
      <c r="SFO409" s="120"/>
      <c r="SFP409" s="120"/>
      <c r="SFQ409" s="120"/>
      <c r="SFR409" s="120"/>
      <c r="SFS409" s="120"/>
      <c r="SFT409" s="121"/>
      <c r="SFU409" s="119"/>
      <c r="SFV409" s="120"/>
      <c r="SFW409" s="120"/>
      <c r="SFX409" s="120"/>
      <c r="SFY409" s="120"/>
      <c r="SFZ409" s="120"/>
      <c r="SGA409" s="121"/>
      <c r="SGB409" s="119"/>
      <c r="SGC409" s="120"/>
      <c r="SGD409" s="120"/>
      <c r="SGE409" s="120"/>
      <c r="SGF409" s="120"/>
      <c r="SGG409" s="120"/>
      <c r="SGH409" s="121"/>
      <c r="SGI409" s="119"/>
      <c r="SGJ409" s="120"/>
      <c r="SGK409" s="120"/>
      <c r="SGL409" s="120"/>
      <c r="SGM409" s="120"/>
      <c r="SGN409" s="120"/>
      <c r="SGO409" s="121"/>
      <c r="SGP409" s="119"/>
      <c r="SGQ409" s="120"/>
      <c r="SGR409" s="120"/>
      <c r="SGS409" s="120"/>
      <c r="SGT409" s="120"/>
      <c r="SGU409" s="120"/>
      <c r="SGV409" s="121"/>
      <c r="SGW409" s="119"/>
      <c r="SGX409" s="120"/>
      <c r="SGY409" s="120"/>
      <c r="SGZ409" s="120"/>
      <c r="SHA409" s="120"/>
      <c r="SHB409" s="120"/>
      <c r="SHC409" s="121"/>
      <c r="SHD409" s="119"/>
      <c r="SHE409" s="120"/>
      <c r="SHF409" s="120"/>
      <c r="SHG409" s="120"/>
      <c r="SHH409" s="120"/>
      <c r="SHI409" s="120"/>
      <c r="SHJ409" s="121"/>
      <c r="SHK409" s="119"/>
      <c r="SHL409" s="120"/>
      <c r="SHM409" s="120"/>
      <c r="SHN409" s="120"/>
      <c r="SHO409" s="120"/>
      <c r="SHP409" s="120"/>
      <c r="SHQ409" s="121"/>
      <c r="SHR409" s="119"/>
      <c r="SHS409" s="120"/>
      <c r="SHT409" s="120"/>
      <c r="SHU409" s="120"/>
      <c r="SHV409" s="120"/>
      <c r="SHW409" s="120"/>
      <c r="SHX409" s="121"/>
      <c r="SHY409" s="119"/>
      <c r="SHZ409" s="120"/>
      <c r="SIA409" s="120"/>
      <c r="SIB409" s="120"/>
      <c r="SIC409" s="120"/>
      <c r="SID409" s="120"/>
      <c r="SIE409" s="121"/>
      <c r="SIF409" s="119"/>
      <c r="SIG409" s="120"/>
      <c r="SIH409" s="120"/>
      <c r="SII409" s="120"/>
      <c r="SIJ409" s="120"/>
      <c r="SIK409" s="120"/>
      <c r="SIL409" s="121"/>
      <c r="SIM409" s="119"/>
      <c r="SIN409" s="120"/>
      <c r="SIO409" s="120"/>
      <c r="SIP409" s="120"/>
      <c r="SIQ409" s="120"/>
      <c r="SIR409" s="120"/>
      <c r="SIS409" s="121"/>
      <c r="SIT409" s="119"/>
      <c r="SIU409" s="120"/>
      <c r="SIV409" s="120"/>
      <c r="SIW409" s="120"/>
      <c r="SIX409" s="120"/>
      <c r="SIY409" s="120"/>
      <c r="SIZ409" s="121"/>
      <c r="SJA409" s="119"/>
      <c r="SJB409" s="120"/>
      <c r="SJC409" s="120"/>
      <c r="SJD409" s="120"/>
      <c r="SJE409" s="120"/>
      <c r="SJF409" s="120"/>
      <c r="SJG409" s="121"/>
      <c r="SJH409" s="119"/>
      <c r="SJI409" s="120"/>
      <c r="SJJ409" s="120"/>
      <c r="SJK409" s="120"/>
      <c r="SJL409" s="120"/>
      <c r="SJM409" s="120"/>
      <c r="SJN409" s="121"/>
      <c r="SJO409" s="119"/>
      <c r="SJP409" s="120"/>
      <c r="SJQ409" s="120"/>
      <c r="SJR409" s="120"/>
      <c r="SJS409" s="120"/>
      <c r="SJT409" s="120"/>
      <c r="SJU409" s="121"/>
      <c r="SJV409" s="119"/>
      <c r="SJW409" s="120"/>
      <c r="SJX409" s="120"/>
      <c r="SJY409" s="120"/>
      <c r="SJZ409" s="120"/>
      <c r="SKA409" s="120"/>
      <c r="SKB409" s="121"/>
      <c r="SKC409" s="119"/>
      <c r="SKD409" s="120"/>
      <c r="SKE409" s="120"/>
      <c r="SKF409" s="120"/>
      <c r="SKG409" s="120"/>
      <c r="SKH409" s="120"/>
      <c r="SKI409" s="121"/>
      <c r="SKJ409" s="119"/>
      <c r="SKK409" s="120"/>
      <c r="SKL409" s="120"/>
      <c r="SKM409" s="120"/>
      <c r="SKN409" s="120"/>
      <c r="SKO409" s="120"/>
      <c r="SKP409" s="121"/>
      <c r="SKQ409" s="119"/>
      <c r="SKR409" s="120"/>
      <c r="SKS409" s="120"/>
      <c r="SKT409" s="120"/>
      <c r="SKU409" s="120"/>
      <c r="SKV409" s="120"/>
      <c r="SKW409" s="121"/>
      <c r="SKX409" s="119"/>
      <c r="SKY409" s="120"/>
      <c r="SKZ409" s="120"/>
      <c r="SLA409" s="120"/>
      <c r="SLB409" s="120"/>
      <c r="SLC409" s="120"/>
      <c r="SLD409" s="121"/>
      <c r="SLE409" s="119"/>
      <c r="SLF409" s="120"/>
      <c r="SLG409" s="120"/>
      <c r="SLH409" s="120"/>
      <c r="SLI409" s="120"/>
      <c r="SLJ409" s="120"/>
      <c r="SLK409" s="121"/>
      <c r="SLL409" s="119"/>
      <c r="SLM409" s="120"/>
      <c r="SLN409" s="120"/>
      <c r="SLO409" s="120"/>
      <c r="SLP409" s="120"/>
      <c r="SLQ409" s="120"/>
      <c r="SLR409" s="121"/>
      <c r="SLS409" s="119"/>
      <c r="SLT409" s="120"/>
      <c r="SLU409" s="120"/>
      <c r="SLV409" s="120"/>
      <c r="SLW409" s="120"/>
      <c r="SLX409" s="120"/>
      <c r="SLY409" s="121"/>
      <c r="SLZ409" s="119"/>
      <c r="SMA409" s="120"/>
      <c r="SMB409" s="120"/>
      <c r="SMC409" s="120"/>
      <c r="SMD409" s="120"/>
      <c r="SME409" s="120"/>
      <c r="SMF409" s="121"/>
      <c r="SMG409" s="119"/>
      <c r="SMH409" s="120"/>
      <c r="SMI409" s="120"/>
      <c r="SMJ409" s="120"/>
      <c r="SMK409" s="120"/>
      <c r="SML409" s="120"/>
      <c r="SMM409" s="121"/>
      <c r="SMN409" s="119"/>
      <c r="SMO409" s="120"/>
      <c r="SMP409" s="120"/>
      <c r="SMQ409" s="120"/>
      <c r="SMR409" s="120"/>
      <c r="SMS409" s="120"/>
      <c r="SMT409" s="121"/>
      <c r="SMU409" s="119"/>
      <c r="SMV409" s="120"/>
      <c r="SMW409" s="120"/>
      <c r="SMX409" s="120"/>
      <c r="SMY409" s="120"/>
      <c r="SMZ409" s="120"/>
      <c r="SNA409" s="121"/>
      <c r="SNB409" s="119"/>
      <c r="SNC409" s="120"/>
      <c r="SND409" s="120"/>
      <c r="SNE409" s="120"/>
      <c r="SNF409" s="120"/>
      <c r="SNG409" s="120"/>
      <c r="SNH409" s="121"/>
      <c r="SNI409" s="119"/>
      <c r="SNJ409" s="120"/>
      <c r="SNK409" s="120"/>
      <c r="SNL409" s="120"/>
      <c r="SNM409" s="120"/>
      <c r="SNN409" s="120"/>
      <c r="SNO409" s="121"/>
      <c r="SNP409" s="119"/>
      <c r="SNQ409" s="120"/>
      <c r="SNR409" s="120"/>
      <c r="SNS409" s="120"/>
      <c r="SNT409" s="120"/>
      <c r="SNU409" s="120"/>
      <c r="SNV409" s="121"/>
      <c r="SNW409" s="119"/>
      <c r="SNX409" s="120"/>
      <c r="SNY409" s="120"/>
      <c r="SNZ409" s="120"/>
      <c r="SOA409" s="120"/>
      <c r="SOB409" s="120"/>
      <c r="SOC409" s="121"/>
      <c r="SOD409" s="119"/>
      <c r="SOE409" s="120"/>
      <c r="SOF409" s="120"/>
      <c r="SOG409" s="120"/>
      <c r="SOH409" s="120"/>
      <c r="SOI409" s="120"/>
      <c r="SOJ409" s="121"/>
      <c r="SOK409" s="119"/>
      <c r="SOL409" s="120"/>
      <c r="SOM409" s="120"/>
      <c r="SON409" s="120"/>
      <c r="SOO409" s="120"/>
      <c r="SOP409" s="120"/>
      <c r="SOQ409" s="121"/>
      <c r="SOR409" s="119"/>
      <c r="SOS409" s="120"/>
      <c r="SOT409" s="120"/>
      <c r="SOU409" s="120"/>
      <c r="SOV409" s="120"/>
      <c r="SOW409" s="120"/>
      <c r="SOX409" s="121"/>
      <c r="SOY409" s="119"/>
      <c r="SOZ409" s="120"/>
      <c r="SPA409" s="120"/>
      <c r="SPB409" s="120"/>
      <c r="SPC409" s="120"/>
      <c r="SPD409" s="120"/>
      <c r="SPE409" s="121"/>
      <c r="SPF409" s="119"/>
      <c r="SPG409" s="120"/>
      <c r="SPH409" s="120"/>
      <c r="SPI409" s="120"/>
      <c r="SPJ409" s="120"/>
      <c r="SPK409" s="120"/>
      <c r="SPL409" s="121"/>
      <c r="SPM409" s="119"/>
      <c r="SPN409" s="120"/>
      <c r="SPO409" s="120"/>
      <c r="SPP409" s="120"/>
      <c r="SPQ409" s="120"/>
      <c r="SPR409" s="120"/>
      <c r="SPS409" s="121"/>
      <c r="SPT409" s="119"/>
      <c r="SPU409" s="120"/>
      <c r="SPV409" s="120"/>
      <c r="SPW409" s="120"/>
      <c r="SPX409" s="120"/>
      <c r="SPY409" s="120"/>
      <c r="SPZ409" s="121"/>
      <c r="SQA409" s="119"/>
      <c r="SQB409" s="120"/>
      <c r="SQC409" s="120"/>
      <c r="SQD409" s="120"/>
      <c r="SQE409" s="120"/>
      <c r="SQF409" s="120"/>
      <c r="SQG409" s="121"/>
      <c r="SQH409" s="119"/>
      <c r="SQI409" s="120"/>
      <c r="SQJ409" s="120"/>
      <c r="SQK409" s="120"/>
      <c r="SQL409" s="120"/>
      <c r="SQM409" s="120"/>
      <c r="SQN409" s="121"/>
      <c r="SQO409" s="119"/>
      <c r="SQP409" s="120"/>
      <c r="SQQ409" s="120"/>
      <c r="SQR409" s="120"/>
      <c r="SQS409" s="120"/>
      <c r="SQT409" s="120"/>
      <c r="SQU409" s="121"/>
      <c r="SQV409" s="119"/>
      <c r="SQW409" s="120"/>
      <c r="SQX409" s="120"/>
      <c r="SQY409" s="120"/>
      <c r="SQZ409" s="120"/>
      <c r="SRA409" s="120"/>
      <c r="SRB409" s="121"/>
      <c r="SRC409" s="119"/>
      <c r="SRD409" s="120"/>
      <c r="SRE409" s="120"/>
      <c r="SRF409" s="120"/>
      <c r="SRG409" s="120"/>
      <c r="SRH409" s="120"/>
      <c r="SRI409" s="121"/>
      <c r="SRJ409" s="119"/>
      <c r="SRK409" s="120"/>
      <c r="SRL409" s="120"/>
      <c r="SRM409" s="120"/>
      <c r="SRN409" s="120"/>
      <c r="SRO409" s="120"/>
      <c r="SRP409" s="121"/>
      <c r="SRQ409" s="119"/>
      <c r="SRR409" s="120"/>
      <c r="SRS409" s="120"/>
      <c r="SRT409" s="120"/>
      <c r="SRU409" s="120"/>
      <c r="SRV409" s="120"/>
      <c r="SRW409" s="121"/>
      <c r="SRX409" s="119"/>
      <c r="SRY409" s="120"/>
      <c r="SRZ409" s="120"/>
      <c r="SSA409" s="120"/>
      <c r="SSB409" s="120"/>
      <c r="SSC409" s="120"/>
      <c r="SSD409" s="121"/>
      <c r="SSE409" s="119"/>
      <c r="SSF409" s="120"/>
      <c r="SSG409" s="120"/>
      <c r="SSH409" s="120"/>
      <c r="SSI409" s="120"/>
      <c r="SSJ409" s="120"/>
      <c r="SSK409" s="121"/>
      <c r="SSL409" s="119"/>
      <c r="SSM409" s="120"/>
      <c r="SSN409" s="120"/>
      <c r="SSO409" s="120"/>
      <c r="SSP409" s="120"/>
      <c r="SSQ409" s="120"/>
      <c r="SSR409" s="121"/>
      <c r="SSS409" s="119"/>
      <c r="SST409" s="120"/>
      <c r="SSU409" s="120"/>
      <c r="SSV409" s="120"/>
      <c r="SSW409" s="120"/>
      <c r="SSX409" s="120"/>
      <c r="SSY409" s="121"/>
      <c r="SSZ409" s="119"/>
      <c r="STA409" s="120"/>
      <c r="STB409" s="120"/>
      <c r="STC409" s="120"/>
      <c r="STD409" s="120"/>
      <c r="STE409" s="120"/>
      <c r="STF409" s="121"/>
      <c r="STG409" s="119"/>
      <c r="STH409" s="120"/>
      <c r="STI409" s="120"/>
      <c r="STJ409" s="120"/>
      <c r="STK409" s="120"/>
      <c r="STL409" s="120"/>
      <c r="STM409" s="121"/>
      <c r="STN409" s="119"/>
      <c r="STO409" s="120"/>
      <c r="STP409" s="120"/>
      <c r="STQ409" s="120"/>
      <c r="STR409" s="120"/>
      <c r="STS409" s="120"/>
      <c r="STT409" s="121"/>
      <c r="STU409" s="119"/>
      <c r="STV409" s="120"/>
      <c r="STW409" s="120"/>
      <c r="STX409" s="120"/>
      <c r="STY409" s="120"/>
      <c r="STZ409" s="120"/>
      <c r="SUA409" s="121"/>
      <c r="SUB409" s="119"/>
      <c r="SUC409" s="120"/>
      <c r="SUD409" s="120"/>
      <c r="SUE409" s="120"/>
      <c r="SUF409" s="120"/>
      <c r="SUG409" s="120"/>
      <c r="SUH409" s="121"/>
      <c r="SUI409" s="119"/>
      <c r="SUJ409" s="120"/>
      <c r="SUK409" s="120"/>
      <c r="SUL409" s="120"/>
      <c r="SUM409" s="120"/>
      <c r="SUN409" s="120"/>
      <c r="SUO409" s="121"/>
      <c r="SUP409" s="119"/>
      <c r="SUQ409" s="120"/>
      <c r="SUR409" s="120"/>
      <c r="SUS409" s="120"/>
      <c r="SUT409" s="120"/>
      <c r="SUU409" s="120"/>
      <c r="SUV409" s="121"/>
      <c r="SUW409" s="119"/>
      <c r="SUX409" s="120"/>
      <c r="SUY409" s="120"/>
      <c r="SUZ409" s="120"/>
      <c r="SVA409" s="120"/>
      <c r="SVB409" s="120"/>
      <c r="SVC409" s="121"/>
      <c r="SVD409" s="119"/>
      <c r="SVE409" s="120"/>
      <c r="SVF409" s="120"/>
      <c r="SVG409" s="120"/>
      <c r="SVH409" s="120"/>
      <c r="SVI409" s="120"/>
      <c r="SVJ409" s="121"/>
      <c r="SVK409" s="119"/>
      <c r="SVL409" s="120"/>
      <c r="SVM409" s="120"/>
      <c r="SVN409" s="120"/>
      <c r="SVO409" s="120"/>
      <c r="SVP409" s="120"/>
      <c r="SVQ409" s="121"/>
      <c r="SVR409" s="119"/>
      <c r="SVS409" s="120"/>
      <c r="SVT409" s="120"/>
      <c r="SVU409" s="120"/>
      <c r="SVV409" s="120"/>
      <c r="SVW409" s="120"/>
      <c r="SVX409" s="121"/>
      <c r="SVY409" s="119"/>
      <c r="SVZ409" s="120"/>
      <c r="SWA409" s="120"/>
      <c r="SWB409" s="120"/>
      <c r="SWC409" s="120"/>
      <c r="SWD409" s="120"/>
      <c r="SWE409" s="121"/>
      <c r="SWF409" s="119"/>
      <c r="SWG409" s="120"/>
      <c r="SWH409" s="120"/>
      <c r="SWI409" s="120"/>
      <c r="SWJ409" s="120"/>
      <c r="SWK409" s="120"/>
      <c r="SWL409" s="121"/>
      <c r="SWM409" s="119"/>
      <c r="SWN409" s="120"/>
      <c r="SWO409" s="120"/>
      <c r="SWP409" s="120"/>
      <c r="SWQ409" s="120"/>
      <c r="SWR409" s="120"/>
      <c r="SWS409" s="121"/>
      <c r="SWT409" s="119"/>
      <c r="SWU409" s="120"/>
      <c r="SWV409" s="120"/>
      <c r="SWW409" s="120"/>
      <c r="SWX409" s="120"/>
      <c r="SWY409" s="120"/>
      <c r="SWZ409" s="121"/>
      <c r="SXA409" s="119"/>
      <c r="SXB409" s="120"/>
      <c r="SXC409" s="120"/>
      <c r="SXD409" s="120"/>
      <c r="SXE409" s="120"/>
      <c r="SXF409" s="120"/>
      <c r="SXG409" s="121"/>
      <c r="SXH409" s="119"/>
      <c r="SXI409" s="120"/>
      <c r="SXJ409" s="120"/>
      <c r="SXK409" s="120"/>
      <c r="SXL409" s="120"/>
      <c r="SXM409" s="120"/>
      <c r="SXN409" s="121"/>
      <c r="SXO409" s="119"/>
      <c r="SXP409" s="120"/>
      <c r="SXQ409" s="120"/>
      <c r="SXR409" s="120"/>
      <c r="SXS409" s="120"/>
      <c r="SXT409" s="120"/>
      <c r="SXU409" s="121"/>
      <c r="SXV409" s="119"/>
      <c r="SXW409" s="120"/>
      <c r="SXX409" s="120"/>
      <c r="SXY409" s="120"/>
      <c r="SXZ409" s="120"/>
      <c r="SYA409" s="120"/>
      <c r="SYB409" s="121"/>
      <c r="SYC409" s="119"/>
      <c r="SYD409" s="120"/>
      <c r="SYE409" s="120"/>
      <c r="SYF409" s="120"/>
      <c r="SYG409" s="120"/>
      <c r="SYH409" s="120"/>
      <c r="SYI409" s="121"/>
      <c r="SYJ409" s="119"/>
      <c r="SYK409" s="120"/>
      <c r="SYL409" s="120"/>
      <c r="SYM409" s="120"/>
      <c r="SYN409" s="120"/>
      <c r="SYO409" s="120"/>
      <c r="SYP409" s="121"/>
      <c r="SYQ409" s="119"/>
      <c r="SYR409" s="120"/>
      <c r="SYS409" s="120"/>
      <c r="SYT409" s="120"/>
      <c r="SYU409" s="120"/>
      <c r="SYV409" s="120"/>
      <c r="SYW409" s="121"/>
      <c r="SYX409" s="119"/>
      <c r="SYY409" s="120"/>
      <c r="SYZ409" s="120"/>
      <c r="SZA409" s="120"/>
      <c r="SZB409" s="120"/>
      <c r="SZC409" s="120"/>
      <c r="SZD409" s="121"/>
      <c r="SZE409" s="119"/>
      <c r="SZF409" s="120"/>
      <c r="SZG409" s="120"/>
      <c r="SZH409" s="120"/>
      <c r="SZI409" s="120"/>
      <c r="SZJ409" s="120"/>
      <c r="SZK409" s="121"/>
      <c r="SZL409" s="119"/>
      <c r="SZM409" s="120"/>
      <c r="SZN409" s="120"/>
      <c r="SZO409" s="120"/>
      <c r="SZP409" s="120"/>
      <c r="SZQ409" s="120"/>
      <c r="SZR409" s="121"/>
      <c r="SZS409" s="119"/>
      <c r="SZT409" s="120"/>
      <c r="SZU409" s="120"/>
      <c r="SZV409" s="120"/>
      <c r="SZW409" s="120"/>
      <c r="SZX409" s="120"/>
      <c r="SZY409" s="121"/>
      <c r="SZZ409" s="119"/>
      <c r="TAA409" s="120"/>
      <c r="TAB409" s="120"/>
      <c r="TAC409" s="120"/>
      <c r="TAD409" s="120"/>
      <c r="TAE409" s="120"/>
      <c r="TAF409" s="121"/>
      <c r="TAG409" s="119"/>
      <c r="TAH409" s="120"/>
      <c r="TAI409" s="120"/>
      <c r="TAJ409" s="120"/>
      <c r="TAK409" s="120"/>
      <c r="TAL409" s="120"/>
      <c r="TAM409" s="121"/>
      <c r="TAN409" s="119"/>
      <c r="TAO409" s="120"/>
      <c r="TAP409" s="120"/>
      <c r="TAQ409" s="120"/>
      <c r="TAR409" s="120"/>
      <c r="TAS409" s="120"/>
      <c r="TAT409" s="121"/>
      <c r="TAU409" s="119"/>
      <c r="TAV409" s="120"/>
      <c r="TAW409" s="120"/>
      <c r="TAX409" s="120"/>
      <c r="TAY409" s="120"/>
      <c r="TAZ409" s="120"/>
      <c r="TBA409" s="121"/>
      <c r="TBB409" s="119"/>
      <c r="TBC409" s="120"/>
      <c r="TBD409" s="120"/>
      <c r="TBE409" s="120"/>
      <c r="TBF409" s="120"/>
      <c r="TBG409" s="120"/>
      <c r="TBH409" s="121"/>
      <c r="TBI409" s="119"/>
      <c r="TBJ409" s="120"/>
      <c r="TBK409" s="120"/>
      <c r="TBL409" s="120"/>
      <c r="TBM409" s="120"/>
      <c r="TBN409" s="120"/>
      <c r="TBO409" s="121"/>
      <c r="TBP409" s="119"/>
      <c r="TBQ409" s="120"/>
      <c r="TBR409" s="120"/>
      <c r="TBS409" s="120"/>
      <c r="TBT409" s="120"/>
      <c r="TBU409" s="120"/>
      <c r="TBV409" s="121"/>
      <c r="TBW409" s="119"/>
      <c r="TBX409" s="120"/>
      <c r="TBY409" s="120"/>
      <c r="TBZ409" s="120"/>
      <c r="TCA409" s="120"/>
      <c r="TCB409" s="120"/>
      <c r="TCC409" s="121"/>
      <c r="TCD409" s="119"/>
      <c r="TCE409" s="120"/>
      <c r="TCF409" s="120"/>
      <c r="TCG409" s="120"/>
      <c r="TCH409" s="120"/>
      <c r="TCI409" s="120"/>
      <c r="TCJ409" s="121"/>
      <c r="TCK409" s="119"/>
      <c r="TCL409" s="120"/>
      <c r="TCM409" s="120"/>
      <c r="TCN409" s="120"/>
      <c r="TCO409" s="120"/>
      <c r="TCP409" s="120"/>
      <c r="TCQ409" s="121"/>
      <c r="TCR409" s="119"/>
      <c r="TCS409" s="120"/>
      <c r="TCT409" s="120"/>
      <c r="TCU409" s="120"/>
      <c r="TCV409" s="120"/>
      <c r="TCW409" s="120"/>
      <c r="TCX409" s="121"/>
      <c r="TCY409" s="119"/>
      <c r="TCZ409" s="120"/>
      <c r="TDA409" s="120"/>
      <c r="TDB409" s="120"/>
      <c r="TDC409" s="120"/>
      <c r="TDD409" s="120"/>
      <c r="TDE409" s="121"/>
      <c r="TDF409" s="119"/>
      <c r="TDG409" s="120"/>
      <c r="TDH409" s="120"/>
      <c r="TDI409" s="120"/>
      <c r="TDJ409" s="120"/>
      <c r="TDK409" s="120"/>
      <c r="TDL409" s="121"/>
      <c r="TDM409" s="119"/>
      <c r="TDN409" s="120"/>
      <c r="TDO409" s="120"/>
      <c r="TDP409" s="120"/>
      <c r="TDQ409" s="120"/>
      <c r="TDR409" s="120"/>
      <c r="TDS409" s="121"/>
      <c r="TDT409" s="119"/>
      <c r="TDU409" s="120"/>
      <c r="TDV409" s="120"/>
      <c r="TDW409" s="120"/>
      <c r="TDX409" s="120"/>
      <c r="TDY409" s="120"/>
      <c r="TDZ409" s="121"/>
      <c r="TEA409" s="119"/>
      <c r="TEB409" s="120"/>
      <c r="TEC409" s="120"/>
      <c r="TED409" s="120"/>
      <c r="TEE409" s="120"/>
      <c r="TEF409" s="120"/>
      <c r="TEG409" s="121"/>
      <c r="TEH409" s="119"/>
      <c r="TEI409" s="120"/>
      <c r="TEJ409" s="120"/>
      <c r="TEK409" s="120"/>
      <c r="TEL409" s="120"/>
      <c r="TEM409" s="120"/>
      <c r="TEN409" s="121"/>
      <c r="TEO409" s="119"/>
      <c r="TEP409" s="120"/>
      <c r="TEQ409" s="120"/>
      <c r="TER409" s="120"/>
      <c r="TES409" s="120"/>
      <c r="TET409" s="120"/>
      <c r="TEU409" s="121"/>
      <c r="TEV409" s="119"/>
      <c r="TEW409" s="120"/>
      <c r="TEX409" s="120"/>
      <c r="TEY409" s="120"/>
      <c r="TEZ409" s="120"/>
      <c r="TFA409" s="120"/>
      <c r="TFB409" s="121"/>
      <c r="TFC409" s="119"/>
      <c r="TFD409" s="120"/>
      <c r="TFE409" s="120"/>
      <c r="TFF409" s="120"/>
      <c r="TFG409" s="120"/>
      <c r="TFH409" s="120"/>
      <c r="TFI409" s="121"/>
      <c r="TFJ409" s="119"/>
      <c r="TFK409" s="120"/>
      <c r="TFL409" s="120"/>
      <c r="TFM409" s="120"/>
      <c r="TFN409" s="120"/>
      <c r="TFO409" s="120"/>
      <c r="TFP409" s="121"/>
      <c r="TFQ409" s="119"/>
      <c r="TFR409" s="120"/>
      <c r="TFS409" s="120"/>
      <c r="TFT409" s="120"/>
      <c r="TFU409" s="120"/>
      <c r="TFV409" s="120"/>
      <c r="TFW409" s="121"/>
      <c r="TFX409" s="119"/>
      <c r="TFY409" s="120"/>
      <c r="TFZ409" s="120"/>
      <c r="TGA409" s="120"/>
      <c r="TGB409" s="120"/>
      <c r="TGC409" s="120"/>
      <c r="TGD409" s="121"/>
      <c r="TGE409" s="119"/>
      <c r="TGF409" s="120"/>
      <c r="TGG409" s="120"/>
      <c r="TGH409" s="120"/>
      <c r="TGI409" s="120"/>
      <c r="TGJ409" s="120"/>
      <c r="TGK409" s="121"/>
      <c r="TGL409" s="119"/>
      <c r="TGM409" s="120"/>
      <c r="TGN409" s="120"/>
      <c r="TGO409" s="120"/>
      <c r="TGP409" s="120"/>
      <c r="TGQ409" s="120"/>
      <c r="TGR409" s="121"/>
      <c r="TGS409" s="119"/>
      <c r="TGT409" s="120"/>
      <c r="TGU409" s="120"/>
      <c r="TGV409" s="120"/>
      <c r="TGW409" s="120"/>
      <c r="TGX409" s="120"/>
      <c r="TGY409" s="121"/>
      <c r="TGZ409" s="119"/>
      <c r="THA409" s="120"/>
      <c r="THB409" s="120"/>
      <c r="THC409" s="120"/>
      <c r="THD409" s="120"/>
      <c r="THE409" s="120"/>
      <c r="THF409" s="121"/>
      <c r="THG409" s="119"/>
      <c r="THH409" s="120"/>
      <c r="THI409" s="120"/>
      <c r="THJ409" s="120"/>
      <c r="THK409" s="120"/>
      <c r="THL409" s="120"/>
      <c r="THM409" s="121"/>
      <c r="THN409" s="119"/>
      <c r="THO409" s="120"/>
      <c r="THP409" s="120"/>
      <c r="THQ409" s="120"/>
      <c r="THR409" s="120"/>
      <c r="THS409" s="120"/>
      <c r="THT409" s="121"/>
      <c r="THU409" s="119"/>
      <c r="THV409" s="120"/>
      <c r="THW409" s="120"/>
      <c r="THX409" s="120"/>
      <c r="THY409" s="120"/>
      <c r="THZ409" s="120"/>
      <c r="TIA409" s="121"/>
      <c r="TIB409" s="119"/>
      <c r="TIC409" s="120"/>
      <c r="TID409" s="120"/>
      <c r="TIE409" s="120"/>
      <c r="TIF409" s="120"/>
      <c r="TIG409" s="120"/>
      <c r="TIH409" s="121"/>
      <c r="TII409" s="119"/>
      <c r="TIJ409" s="120"/>
      <c r="TIK409" s="120"/>
      <c r="TIL409" s="120"/>
      <c r="TIM409" s="120"/>
      <c r="TIN409" s="120"/>
      <c r="TIO409" s="121"/>
      <c r="TIP409" s="119"/>
      <c r="TIQ409" s="120"/>
      <c r="TIR409" s="120"/>
      <c r="TIS409" s="120"/>
      <c r="TIT409" s="120"/>
      <c r="TIU409" s="120"/>
      <c r="TIV409" s="121"/>
      <c r="TIW409" s="119"/>
      <c r="TIX409" s="120"/>
      <c r="TIY409" s="120"/>
      <c r="TIZ409" s="120"/>
      <c r="TJA409" s="120"/>
      <c r="TJB409" s="120"/>
      <c r="TJC409" s="121"/>
      <c r="TJD409" s="119"/>
      <c r="TJE409" s="120"/>
      <c r="TJF409" s="120"/>
      <c r="TJG409" s="120"/>
      <c r="TJH409" s="120"/>
      <c r="TJI409" s="120"/>
      <c r="TJJ409" s="121"/>
      <c r="TJK409" s="119"/>
      <c r="TJL409" s="120"/>
      <c r="TJM409" s="120"/>
      <c r="TJN409" s="120"/>
      <c r="TJO409" s="120"/>
      <c r="TJP409" s="120"/>
      <c r="TJQ409" s="121"/>
      <c r="TJR409" s="119"/>
      <c r="TJS409" s="120"/>
      <c r="TJT409" s="120"/>
      <c r="TJU409" s="120"/>
      <c r="TJV409" s="120"/>
      <c r="TJW409" s="120"/>
      <c r="TJX409" s="121"/>
      <c r="TJY409" s="119"/>
      <c r="TJZ409" s="120"/>
      <c r="TKA409" s="120"/>
      <c r="TKB409" s="120"/>
      <c r="TKC409" s="120"/>
      <c r="TKD409" s="120"/>
      <c r="TKE409" s="121"/>
      <c r="TKF409" s="119"/>
      <c r="TKG409" s="120"/>
      <c r="TKH409" s="120"/>
      <c r="TKI409" s="120"/>
      <c r="TKJ409" s="120"/>
      <c r="TKK409" s="120"/>
      <c r="TKL409" s="121"/>
      <c r="TKM409" s="119"/>
      <c r="TKN409" s="120"/>
      <c r="TKO409" s="120"/>
      <c r="TKP409" s="120"/>
      <c r="TKQ409" s="120"/>
      <c r="TKR409" s="120"/>
      <c r="TKS409" s="121"/>
      <c r="TKT409" s="119"/>
      <c r="TKU409" s="120"/>
      <c r="TKV409" s="120"/>
      <c r="TKW409" s="120"/>
      <c r="TKX409" s="120"/>
      <c r="TKY409" s="120"/>
      <c r="TKZ409" s="121"/>
      <c r="TLA409" s="119"/>
      <c r="TLB409" s="120"/>
      <c r="TLC409" s="120"/>
      <c r="TLD409" s="120"/>
      <c r="TLE409" s="120"/>
      <c r="TLF409" s="120"/>
      <c r="TLG409" s="121"/>
      <c r="TLH409" s="119"/>
      <c r="TLI409" s="120"/>
      <c r="TLJ409" s="120"/>
      <c r="TLK409" s="120"/>
      <c r="TLL409" s="120"/>
      <c r="TLM409" s="120"/>
      <c r="TLN409" s="121"/>
      <c r="TLO409" s="119"/>
      <c r="TLP409" s="120"/>
      <c r="TLQ409" s="120"/>
      <c r="TLR409" s="120"/>
      <c r="TLS409" s="120"/>
      <c r="TLT409" s="120"/>
      <c r="TLU409" s="121"/>
      <c r="TLV409" s="119"/>
      <c r="TLW409" s="120"/>
      <c r="TLX409" s="120"/>
      <c r="TLY409" s="120"/>
      <c r="TLZ409" s="120"/>
      <c r="TMA409" s="120"/>
      <c r="TMB409" s="121"/>
      <c r="TMC409" s="119"/>
      <c r="TMD409" s="120"/>
      <c r="TME409" s="120"/>
      <c r="TMF409" s="120"/>
      <c r="TMG409" s="120"/>
      <c r="TMH409" s="120"/>
      <c r="TMI409" s="121"/>
      <c r="TMJ409" s="119"/>
      <c r="TMK409" s="120"/>
      <c r="TML409" s="120"/>
      <c r="TMM409" s="120"/>
      <c r="TMN409" s="120"/>
      <c r="TMO409" s="120"/>
      <c r="TMP409" s="121"/>
      <c r="TMQ409" s="119"/>
      <c r="TMR409" s="120"/>
      <c r="TMS409" s="120"/>
      <c r="TMT409" s="120"/>
      <c r="TMU409" s="120"/>
      <c r="TMV409" s="120"/>
      <c r="TMW409" s="121"/>
      <c r="TMX409" s="119"/>
      <c r="TMY409" s="120"/>
      <c r="TMZ409" s="120"/>
      <c r="TNA409" s="120"/>
      <c r="TNB409" s="120"/>
      <c r="TNC409" s="120"/>
      <c r="TND409" s="121"/>
      <c r="TNE409" s="119"/>
      <c r="TNF409" s="120"/>
      <c r="TNG409" s="120"/>
      <c r="TNH409" s="120"/>
      <c r="TNI409" s="120"/>
      <c r="TNJ409" s="120"/>
      <c r="TNK409" s="121"/>
      <c r="TNL409" s="119"/>
      <c r="TNM409" s="120"/>
      <c r="TNN409" s="120"/>
      <c r="TNO409" s="120"/>
      <c r="TNP409" s="120"/>
      <c r="TNQ409" s="120"/>
      <c r="TNR409" s="121"/>
      <c r="TNS409" s="119"/>
      <c r="TNT409" s="120"/>
      <c r="TNU409" s="120"/>
      <c r="TNV409" s="120"/>
      <c r="TNW409" s="120"/>
      <c r="TNX409" s="120"/>
      <c r="TNY409" s="121"/>
      <c r="TNZ409" s="119"/>
      <c r="TOA409" s="120"/>
      <c r="TOB409" s="120"/>
      <c r="TOC409" s="120"/>
      <c r="TOD409" s="120"/>
      <c r="TOE409" s="120"/>
      <c r="TOF409" s="121"/>
      <c r="TOG409" s="119"/>
      <c r="TOH409" s="120"/>
      <c r="TOI409" s="120"/>
      <c r="TOJ409" s="120"/>
      <c r="TOK409" s="120"/>
      <c r="TOL409" s="120"/>
      <c r="TOM409" s="121"/>
      <c r="TON409" s="119"/>
      <c r="TOO409" s="120"/>
      <c r="TOP409" s="120"/>
      <c r="TOQ409" s="120"/>
      <c r="TOR409" s="120"/>
      <c r="TOS409" s="120"/>
      <c r="TOT409" s="121"/>
      <c r="TOU409" s="119"/>
      <c r="TOV409" s="120"/>
      <c r="TOW409" s="120"/>
      <c r="TOX409" s="120"/>
      <c r="TOY409" s="120"/>
      <c r="TOZ409" s="120"/>
      <c r="TPA409" s="121"/>
      <c r="TPB409" s="119"/>
      <c r="TPC409" s="120"/>
      <c r="TPD409" s="120"/>
      <c r="TPE409" s="120"/>
      <c r="TPF409" s="120"/>
      <c r="TPG409" s="120"/>
      <c r="TPH409" s="121"/>
      <c r="TPI409" s="119"/>
      <c r="TPJ409" s="120"/>
      <c r="TPK409" s="120"/>
      <c r="TPL409" s="120"/>
      <c r="TPM409" s="120"/>
      <c r="TPN409" s="120"/>
      <c r="TPO409" s="121"/>
      <c r="TPP409" s="119"/>
      <c r="TPQ409" s="120"/>
      <c r="TPR409" s="120"/>
      <c r="TPS409" s="120"/>
      <c r="TPT409" s="120"/>
      <c r="TPU409" s="120"/>
      <c r="TPV409" s="121"/>
      <c r="TPW409" s="119"/>
      <c r="TPX409" s="120"/>
      <c r="TPY409" s="120"/>
      <c r="TPZ409" s="120"/>
      <c r="TQA409" s="120"/>
      <c r="TQB409" s="120"/>
      <c r="TQC409" s="121"/>
      <c r="TQD409" s="119"/>
      <c r="TQE409" s="120"/>
      <c r="TQF409" s="120"/>
      <c r="TQG409" s="120"/>
      <c r="TQH409" s="120"/>
      <c r="TQI409" s="120"/>
      <c r="TQJ409" s="121"/>
      <c r="TQK409" s="119"/>
      <c r="TQL409" s="120"/>
      <c r="TQM409" s="120"/>
      <c r="TQN409" s="120"/>
      <c r="TQO409" s="120"/>
      <c r="TQP409" s="120"/>
      <c r="TQQ409" s="121"/>
      <c r="TQR409" s="119"/>
      <c r="TQS409" s="120"/>
      <c r="TQT409" s="120"/>
      <c r="TQU409" s="120"/>
      <c r="TQV409" s="120"/>
      <c r="TQW409" s="120"/>
      <c r="TQX409" s="121"/>
      <c r="TQY409" s="119"/>
      <c r="TQZ409" s="120"/>
      <c r="TRA409" s="120"/>
      <c r="TRB409" s="120"/>
      <c r="TRC409" s="120"/>
      <c r="TRD409" s="120"/>
      <c r="TRE409" s="121"/>
      <c r="TRF409" s="119"/>
      <c r="TRG409" s="120"/>
      <c r="TRH409" s="120"/>
      <c r="TRI409" s="120"/>
      <c r="TRJ409" s="120"/>
      <c r="TRK409" s="120"/>
      <c r="TRL409" s="121"/>
      <c r="TRM409" s="119"/>
      <c r="TRN409" s="120"/>
      <c r="TRO409" s="120"/>
      <c r="TRP409" s="120"/>
      <c r="TRQ409" s="120"/>
      <c r="TRR409" s="120"/>
      <c r="TRS409" s="121"/>
      <c r="TRT409" s="119"/>
      <c r="TRU409" s="120"/>
      <c r="TRV409" s="120"/>
      <c r="TRW409" s="120"/>
      <c r="TRX409" s="120"/>
      <c r="TRY409" s="120"/>
      <c r="TRZ409" s="121"/>
      <c r="TSA409" s="119"/>
      <c r="TSB409" s="120"/>
      <c r="TSC409" s="120"/>
      <c r="TSD409" s="120"/>
      <c r="TSE409" s="120"/>
      <c r="TSF409" s="120"/>
      <c r="TSG409" s="121"/>
      <c r="TSH409" s="119"/>
      <c r="TSI409" s="120"/>
      <c r="TSJ409" s="120"/>
      <c r="TSK409" s="120"/>
      <c r="TSL409" s="120"/>
      <c r="TSM409" s="120"/>
      <c r="TSN409" s="121"/>
      <c r="TSO409" s="119"/>
      <c r="TSP409" s="120"/>
      <c r="TSQ409" s="120"/>
      <c r="TSR409" s="120"/>
      <c r="TSS409" s="120"/>
      <c r="TST409" s="120"/>
      <c r="TSU409" s="121"/>
      <c r="TSV409" s="119"/>
      <c r="TSW409" s="120"/>
      <c r="TSX409" s="120"/>
      <c r="TSY409" s="120"/>
      <c r="TSZ409" s="120"/>
      <c r="TTA409" s="120"/>
      <c r="TTB409" s="121"/>
      <c r="TTC409" s="119"/>
      <c r="TTD409" s="120"/>
      <c r="TTE409" s="120"/>
      <c r="TTF409" s="120"/>
      <c r="TTG409" s="120"/>
      <c r="TTH409" s="120"/>
      <c r="TTI409" s="121"/>
      <c r="TTJ409" s="119"/>
      <c r="TTK409" s="120"/>
      <c r="TTL409" s="120"/>
      <c r="TTM409" s="120"/>
      <c r="TTN409" s="120"/>
      <c r="TTO409" s="120"/>
      <c r="TTP409" s="121"/>
      <c r="TTQ409" s="119"/>
      <c r="TTR409" s="120"/>
      <c r="TTS409" s="120"/>
      <c r="TTT409" s="120"/>
      <c r="TTU409" s="120"/>
      <c r="TTV409" s="120"/>
      <c r="TTW409" s="121"/>
      <c r="TTX409" s="119"/>
      <c r="TTY409" s="120"/>
      <c r="TTZ409" s="120"/>
      <c r="TUA409" s="120"/>
      <c r="TUB409" s="120"/>
      <c r="TUC409" s="120"/>
      <c r="TUD409" s="121"/>
      <c r="TUE409" s="119"/>
      <c r="TUF409" s="120"/>
      <c r="TUG409" s="120"/>
      <c r="TUH409" s="120"/>
      <c r="TUI409" s="120"/>
      <c r="TUJ409" s="120"/>
      <c r="TUK409" s="121"/>
      <c r="TUL409" s="119"/>
      <c r="TUM409" s="120"/>
      <c r="TUN409" s="120"/>
      <c r="TUO409" s="120"/>
      <c r="TUP409" s="120"/>
      <c r="TUQ409" s="120"/>
      <c r="TUR409" s="121"/>
      <c r="TUS409" s="119"/>
      <c r="TUT409" s="120"/>
      <c r="TUU409" s="120"/>
      <c r="TUV409" s="120"/>
      <c r="TUW409" s="120"/>
      <c r="TUX409" s="120"/>
      <c r="TUY409" s="121"/>
      <c r="TUZ409" s="119"/>
      <c r="TVA409" s="120"/>
      <c r="TVB409" s="120"/>
      <c r="TVC409" s="120"/>
      <c r="TVD409" s="120"/>
      <c r="TVE409" s="120"/>
      <c r="TVF409" s="121"/>
      <c r="TVG409" s="119"/>
      <c r="TVH409" s="120"/>
      <c r="TVI409" s="120"/>
      <c r="TVJ409" s="120"/>
      <c r="TVK409" s="120"/>
      <c r="TVL409" s="120"/>
      <c r="TVM409" s="121"/>
      <c r="TVN409" s="119"/>
      <c r="TVO409" s="120"/>
      <c r="TVP409" s="120"/>
      <c r="TVQ409" s="120"/>
      <c r="TVR409" s="120"/>
      <c r="TVS409" s="120"/>
      <c r="TVT409" s="121"/>
      <c r="TVU409" s="119"/>
      <c r="TVV409" s="120"/>
      <c r="TVW409" s="120"/>
      <c r="TVX409" s="120"/>
      <c r="TVY409" s="120"/>
      <c r="TVZ409" s="120"/>
      <c r="TWA409" s="121"/>
      <c r="TWB409" s="119"/>
      <c r="TWC409" s="120"/>
      <c r="TWD409" s="120"/>
      <c r="TWE409" s="120"/>
      <c r="TWF409" s="120"/>
      <c r="TWG409" s="120"/>
      <c r="TWH409" s="121"/>
      <c r="TWI409" s="119"/>
      <c r="TWJ409" s="120"/>
      <c r="TWK409" s="120"/>
      <c r="TWL409" s="120"/>
      <c r="TWM409" s="120"/>
      <c r="TWN409" s="120"/>
      <c r="TWO409" s="121"/>
      <c r="TWP409" s="119"/>
      <c r="TWQ409" s="120"/>
      <c r="TWR409" s="120"/>
      <c r="TWS409" s="120"/>
      <c r="TWT409" s="120"/>
      <c r="TWU409" s="120"/>
      <c r="TWV409" s="121"/>
      <c r="TWW409" s="119"/>
      <c r="TWX409" s="120"/>
      <c r="TWY409" s="120"/>
      <c r="TWZ409" s="120"/>
      <c r="TXA409" s="120"/>
      <c r="TXB409" s="120"/>
      <c r="TXC409" s="121"/>
      <c r="TXD409" s="119"/>
      <c r="TXE409" s="120"/>
      <c r="TXF409" s="120"/>
      <c r="TXG409" s="120"/>
      <c r="TXH409" s="120"/>
      <c r="TXI409" s="120"/>
      <c r="TXJ409" s="121"/>
      <c r="TXK409" s="119"/>
      <c r="TXL409" s="120"/>
      <c r="TXM409" s="120"/>
      <c r="TXN409" s="120"/>
      <c r="TXO409" s="120"/>
      <c r="TXP409" s="120"/>
      <c r="TXQ409" s="121"/>
      <c r="TXR409" s="119"/>
      <c r="TXS409" s="120"/>
      <c r="TXT409" s="120"/>
      <c r="TXU409" s="120"/>
      <c r="TXV409" s="120"/>
      <c r="TXW409" s="120"/>
      <c r="TXX409" s="121"/>
      <c r="TXY409" s="119"/>
      <c r="TXZ409" s="120"/>
      <c r="TYA409" s="120"/>
      <c r="TYB409" s="120"/>
      <c r="TYC409" s="120"/>
      <c r="TYD409" s="120"/>
      <c r="TYE409" s="121"/>
      <c r="TYF409" s="119"/>
      <c r="TYG409" s="120"/>
      <c r="TYH409" s="120"/>
      <c r="TYI409" s="120"/>
      <c r="TYJ409" s="120"/>
      <c r="TYK409" s="120"/>
      <c r="TYL409" s="121"/>
      <c r="TYM409" s="119"/>
      <c r="TYN409" s="120"/>
      <c r="TYO409" s="120"/>
      <c r="TYP409" s="120"/>
      <c r="TYQ409" s="120"/>
      <c r="TYR409" s="120"/>
      <c r="TYS409" s="121"/>
      <c r="TYT409" s="119"/>
      <c r="TYU409" s="120"/>
      <c r="TYV409" s="120"/>
      <c r="TYW409" s="120"/>
      <c r="TYX409" s="120"/>
      <c r="TYY409" s="120"/>
      <c r="TYZ409" s="121"/>
      <c r="TZA409" s="119"/>
      <c r="TZB409" s="120"/>
      <c r="TZC409" s="120"/>
      <c r="TZD409" s="120"/>
      <c r="TZE409" s="120"/>
      <c r="TZF409" s="120"/>
      <c r="TZG409" s="121"/>
      <c r="TZH409" s="119"/>
      <c r="TZI409" s="120"/>
      <c r="TZJ409" s="120"/>
      <c r="TZK409" s="120"/>
      <c r="TZL409" s="120"/>
      <c r="TZM409" s="120"/>
      <c r="TZN409" s="121"/>
      <c r="TZO409" s="119"/>
      <c r="TZP409" s="120"/>
      <c r="TZQ409" s="120"/>
      <c r="TZR409" s="120"/>
      <c r="TZS409" s="120"/>
      <c r="TZT409" s="120"/>
      <c r="TZU409" s="121"/>
      <c r="TZV409" s="119"/>
      <c r="TZW409" s="120"/>
      <c r="TZX409" s="120"/>
      <c r="TZY409" s="120"/>
      <c r="TZZ409" s="120"/>
      <c r="UAA409" s="120"/>
      <c r="UAB409" s="121"/>
      <c r="UAC409" s="119"/>
      <c r="UAD409" s="120"/>
      <c r="UAE409" s="120"/>
      <c r="UAF409" s="120"/>
      <c r="UAG409" s="120"/>
      <c r="UAH409" s="120"/>
      <c r="UAI409" s="121"/>
      <c r="UAJ409" s="119"/>
      <c r="UAK409" s="120"/>
      <c r="UAL409" s="120"/>
      <c r="UAM409" s="120"/>
      <c r="UAN409" s="120"/>
      <c r="UAO409" s="120"/>
      <c r="UAP409" s="121"/>
      <c r="UAQ409" s="119"/>
      <c r="UAR409" s="120"/>
      <c r="UAS409" s="120"/>
      <c r="UAT409" s="120"/>
      <c r="UAU409" s="120"/>
      <c r="UAV409" s="120"/>
      <c r="UAW409" s="121"/>
      <c r="UAX409" s="119"/>
      <c r="UAY409" s="120"/>
      <c r="UAZ409" s="120"/>
      <c r="UBA409" s="120"/>
      <c r="UBB409" s="120"/>
      <c r="UBC409" s="120"/>
      <c r="UBD409" s="121"/>
      <c r="UBE409" s="119"/>
      <c r="UBF409" s="120"/>
      <c r="UBG409" s="120"/>
      <c r="UBH409" s="120"/>
      <c r="UBI409" s="120"/>
      <c r="UBJ409" s="120"/>
      <c r="UBK409" s="121"/>
      <c r="UBL409" s="119"/>
      <c r="UBM409" s="120"/>
      <c r="UBN409" s="120"/>
      <c r="UBO409" s="120"/>
      <c r="UBP409" s="120"/>
      <c r="UBQ409" s="120"/>
      <c r="UBR409" s="121"/>
      <c r="UBS409" s="119"/>
      <c r="UBT409" s="120"/>
      <c r="UBU409" s="120"/>
      <c r="UBV409" s="120"/>
      <c r="UBW409" s="120"/>
      <c r="UBX409" s="120"/>
      <c r="UBY409" s="121"/>
      <c r="UBZ409" s="119"/>
      <c r="UCA409" s="120"/>
      <c r="UCB409" s="120"/>
      <c r="UCC409" s="120"/>
      <c r="UCD409" s="120"/>
      <c r="UCE409" s="120"/>
      <c r="UCF409" s="121"/>
      <c r="UCG409" s="119"/>
      <c r="UCH409" s="120"/>
      <c r="UCI409" s="120"/>
      <c r="UCJ409" s="120"/>
      <c r="UCK409" s="120"/>
      <c r="UCL409" s="120"/>
      <c r="UCM409" s="121"/>
      <c r="UCN409" s="119"/>
      <c r="UCO409" s="120"/>
      <c r="UCP409" s="120"/>
      <c r="UCQ409" s="120"/>
      <c r="UCR409" s="120"/>
      <c r="UCS409" s="120"/>
      <c r="UCT409" s="121"/>
      <c r="UCU409" s="119"/>
      <c r="UCV409" s="120"/>
      <c r="UCW409" s="120"/>
      <c r="UCX409" s="120"/>
      <c r="UCY409" s="120"/>
      <c r="UCZ409" s="120"/>
      <c r="UDA409" s="121"/>
      <c r="UDB409" s="119"/>
      <c r="UDC409" s="120"/>
      <c r="UDD409" s="120"/>
      <c r="UDE409" s="120"/>
      <c r="UDF409" s="120"/>
      <c r="UDG409" s="120"/>
      <c r="UDH409" s="121"/>
      <c r="UDI409" s="119"/>
      <c r="UDJ409" s="120"/>
      <c r="UDK409" s="120"/>
      <c r="UDL409" s="120"/>
      <c r="UDM409" s="120"/>
      <c r="UDN409" s="120"/>
      <c r="UDO409" s="121"/>
      <c r="UDP409" s="119"/>
      <c r="UDQ409" s="120"/>
      <c r="UDR409" s="120"/>
      <c r="UDS409" s="120"/>
      <c r="UDT409" s="120"/>
      <c r="UDU409" s="120"/>
      <c r="UDV409" s="121"/>
      <c r="UDW409" s="119"/>
      <c r="UDX409" s="120"/>
      <c r="UDY409" s="120"/>
      <c r="UDZ409" s="120"/>
      <c r="UEA409" s="120"/>
      <c r="UEB409" s="120"/>
      <c r="UEC409" s="121"/>
      <c r="UED409" s="119"/>
      <c r="UEE409" s="120"/>
      <c r="UEF409" s="120"/>
      <c r="UEG409" s="120"/>
      <c r="UEH409" s="120"/>
      <c r="UEI409" s="120"/>
      <c r="UEJ409" s="121"/>
      <c r="UEK409" s="119"/>
      <c r="UEL409" s="120"/>
      <c r="UEM409" s="120"/>
      <c r="UEN409" s="120"/>
      <c r="UEO409" s="120"/>
      <c r="UEP409" s="120"/>
      <c r="UEQ409" s="121"/>
      <c r="UER409" s="119"/>
      <c r="UES409" s="120"/>
      <c r="UET409" s="120"/>
      <c r="UEU409" s="120"/>
      <c r="UEV409" s="120"/>
      <c r="UEW409" s="120"/>
      <c r="UEX409" s="121"/>
      <c r="UEY409" s="119"/>
      <c r="UEZ409" s="120"/>
      <c r="UFA409" s="120"/>
      <c r="UFB409" s="120"/>
      <c r="UFC409" s="120"/>
      <c r="UFD409" s="120"/>
      <c r="UFE409" s="121"/>
      <c r="UFF409" s="119"/>
      <c r="UFG409" s="120"/>
      <c r="UFH409" s="120"/>
      <c r="UFI409" s="120"/>
      <c r="UFJ409" s="120"/>
      <c r="UFK409" s="120"/>
      <c r="UFL409" s="121"/>
      <c r="UFM409" s="119"/>
      <c r="UFN409" s="120"/>
      <c r="UFO409" s="120"/>
      <c r="UFP409" s="120"/>
      <c r="UFQ409" s="120"/>
      <c r="UFR409" s="120"/>
      <c r="UFS409" s="121"/>
      <c r="UFT409" s="119"/>
      <c r="UFU409" s="120"/>
      <c r="UFV409" s="120"/>
      <c r="UFW409" s="120"/>
      <c r="UFX409" s="120"/>
      <c r="UFY409" s="120"/>
      <c r="UFZ409" s="121"/>
      <c r="UGA409" s="119"/>
      <c r="UGB409" s="120"/>
      <c r="UGC409" s="120"/>
      <c r="UGD409" s="120"/>
      <c r="UGE409" s="120"/>
      <c r="UGF409" s="120"/>
      <c r="UGG409" s="121"/>
      <c r="UGH409" s="119"/>
      <c r="UGI409" s="120"/>
      <c r="UGJ409" s="120"/>
      <c r="UGK409" s="120"/>
      <c r="UGL409" s="120"/>
      <c r="UGM409" s="120"/>
      <c r="UGN409" s="121"/>
      <c r="UGO409" s="119"/>
      <c r="UGP409" s="120"/>
      <c r="UGQ409" s="120"/>
      <c r="UGR409" s="120"/>
      <c r="UGS409" s="120"/>
      <c r="UGT409" s="120"/>
      <c r="UGU409" s="121"/>
      <c r="UGV409" s="119"/>
      <c r="UGW409" s="120"/>
      <c r="UGX409" s="120"/>
      <c r="UGY409" s="120"/>
      <c r="UGZ409" s="120"/>
      <c r="UHA409" s="120"/>
      <c r="UHB409" s="121"/>
      <c r="UHC409" s="119"/>
      <c r="UHD409" s="120"/>
      <c r="UHE409" s="120"/>
      <c r="UHF409" s="120"/>
      <c r="UHG409" s="120"/>
      <c r="UHH409" s="120"/>
      <c r="UHI409" s="121"/>
      <c r="UHJ409" s="119"/>
      <c r="UHK409" s="120"/>
      <c r="UHL409" s="120"/>
      <c r="UHM409" s="120"/>
      <c r="UHN409" s="120"/>
      <c r="UHO409" s="120"/>
      <c r="UHP409" s="121"/>
      <c r="UHQ409" s="119"/>
      <c r="UHR409" s="120"/>
      <c r="UHS409" s="120"/>
      <c r="UHT409" s="120"/>
      <c r="UHU409" s="120"/>
      <c r="UHV409" s="120"/>
      <c r="UHW409" s="121"/>
      <c r="UHX409" s="119"/>
      <c r="UHY409" s="120"/>
      <c r="UHZ409" s="120"/>
      <c r="UIA409" s="120"/>
      <c r="UIB409" s="120"/>
      <c r="UIC409" s="120"/>
      <c r="UID409" s="121"/>
      <c r="UIE409" s="119"/>
      <c r="UIF409" s="120"/>
      <c r="UIG409" s="120"/>
      <c r="UIH409" s="120"/>
      <c r="UII409" s="120"/>
      <c r="UIJ409" s="120"/>
      <c r="UIK409" s="121"/>
      <c r="UIL409" s="119"/>
      <c r="UIM409" s="120"/>
      <c r="UIN409" s="120"/>
      <c r="UIO409" s="120"/>
      <c r="UIP409" s="120"/>
      <c r="UIQ409" s="120"/>
      <c r="UIR409" s="121"/>
      <c r="UIS409" s="119"/>
      <c r="UIT409" s="120"/>
      <c r="UIU409" s="120"/>
      <c r="UIV409" s="120"/>
      <c r="UIW409" s="120"/>
      <c r="UIX409" s="120"/>
      <c r="UIY409" s="121"/>
      <c r="UIZ409" s="119"/>
      <c r="UJA409" s="120"/>
      <c r="UJB409" s="120"/>
      <c r="UJC409" s="120"/>
      <c r="UJD409" s="120"/>
      <c r="UJE409" s="120"/>
      <c r="UJF409" s="121"/>
      <c r="UJG409" s="119"/>
      <c r="UJH409" s="120"/>
      <c r="UJI409" s="120"/>
      <c r="UJJ409" s="120"/>
      <c r="UJK409" s="120"/>
      <c r="UJL409" s="120"/>
      <c r="UJM409" s="121"/>
      <c r="UJN409" s="119"/>
      <c r="UJO409" s="120"/>
      <c r="UJP409" s="120"/>
      <c r="UJQ409" s="120"/>
      <c r="UJR409" s="120"/>
      <c r="UJS409" s="120"/>
      <c r="UJT409" s="121"/>
      <c r="UJU409" s="119"/>
      <c r="UJV409" s="120"/>
      <c r="UJW409" s="120"/>
      <c r="UJX409" s="120"/>
      <c r="UJY409" s="120"/>
      <c r="UJZ409" s="120"/>
      <c r="UKA409" s="121"/>
      <c r="UKB409" s="119"/>
      <c r="UKC409" s="120"/>
      <c r="UKD409" s="120"/>
      <c r="UKE409" s="120"/>
      <c r="UKF409" s="120"/>
      <c r="UKG409" s="120"/>
      <c r="UKH409" s="121"/>
      <c r="UKI409" s="119"/>
      <c r="UKJ409" s="120"/>
      <c r="UKK409" s="120"/>
      <c r="UKL409" s="120"/>
      <c r="UKM409" s="120"/>
      <c r="UKN409" s="120"/>
      <c r="UKO409" s="121"/>
      <c r="UKP409" s="119"/>
      <c r="UKQ409" s="120"/>
      <c r="UKR409" s="120"/>
      <c r="UKS409" s="120"/>
      <c r="UKT409" s="120"/>
      <c r="UKU409" s="120"/>
      <c r="UKV409" s="121"/>
      <c r="UKW409" s="119"/>
      <c r="UKX409" s="120"/>
      <c r="UKY409" s="120"/>
      <c r="UKZ409" s="120"/>
      <c r="ULA409" s="120"/>
      <c r="ULB409" s="120"/>
      <c r="ULC409" s="121"/>
      <c r="ULD409" s="119"/>
      <c r="ULE409" s="120"/>
      <c r="ULF409" s="120"/>
      <c r="ULG409" s="120"/>
      <c r="ULH409" s="120"/>
      <c r="ULI409" s="120"/>
      <c r="ULJ409" s="121"/>
      <c r="ULK409" s="119"/>
      <c r="ULL409" s="120"/>
      <c r="ULM409" s="120"/>
      <c r="ULN409" s="120"/>
      <c r="ULO409" s="120"/>
      <c r="ULP409" s="120"/>
      <c r="ULQ409" s="121"/>
      <c r="ULR409" s="119"/>
      <c r="ULS409" s="120"/>
      <c r="ULT409" s="120"/>
      <c r="ULU409" s="120"/>
      <c r="ULV409" s="120"/>
      <c r="ULW409" s="120"/>
      <c r="ULX409" s="121"/>
      <c r="ULY409" s="119"/>
      <c r="ULZ409" s="120"/>
      <c r="UMA409" s="120"/>
      <c r="UMB409" s="120"/>
      <c r="UMC409" s="120"/>
      <c r="UMD409" s="120"/>
      <c r="UME409" s="121"/>
      <c r="UMF409" s="119"/>
      <c r="UMG409" s="120"/>
      <c r="UMH409" s="120"/>
      <c r="UMI409" s="120"/>
      <c r="UMJ409" s="120"/>
      <c r="UMK409" s="120"/>
      <c r="UML409" s="121"/>
      <c r="UMM409" s="119"/>
      <c r="UMN409" s="120"/>
      <c r="UMO409" s="120"/>
      <c r="UMP409" s="120"/>
      <c r="UMQ409" s="120"/>
      <c r="UMR409" s="120"/>
      <c r="UMS409" s="121"/>
      <c r="UMT409" s="119"/>
      <c r="UMU409" s="120"/>
      <c r="UMV409" s="120"/>
      <c r="UMW409" s="120"/>
      <c r="UMX409" s="120"/>
      <c r="UMY409" s="120"/>
      <c r="UMZ409" s="121"/>
      <c r="UNA409" s="119"/>
      <c r="UNB409" s="120"/>
      <c r="UNC409" s="120"/>
      <c r="UND409" s="120"/>
      <c r="UNE409" s="120"/>
      <c r="UNF409" s="120"/>
      <c r="UNG409" s="121"/>
      <c r="UNH409" s="119"/>
      <c r="UNI409" s="120"/>
      <c r="UNJ409" s="120"/>
      <c r="UNK409" s="120"/>
      <c r="UNL409" s="120"/>
      <c r="UNM409" s="120"/>
      <c r="UNN409" s="121"/>
      <c r="UNO409" s="119"/>
      <c r="UNP409" s="120"/>
      <c r="UNQ409" s="120"/>
      <c r="UNR409" s="120"/>
      <c r="UNS409" s="120"/>
      <c r="UNT409" s="120"/>
      <c r="UNU409" s="121"/>
      <c r="UNV409" s="119"/>
      <c r="UNW409" s="120"/>
      <c r="UNX409" s="120"/>
      <c r="UNY409" s="120"/>
      <c r="UNZ409" s="120"/>
      <c r="UOA409" s="120"/>
      <c r="UOB409" s="121"/>
      <c r="UOC409" s="119"/>
      <c r="UOD409" s="120"/>
      <c r="UOE409" s="120"/>
      <c r="UOF409" s="120"/>
      <c r="UOG409" s="120"/>
      <c r="UOH409" s="120"/>
      <c r="UOI409" s="121"/>
      <c r="UOJ409" s="119"/>
      <c r="UOK409" s="120"/>
      <c r="UOL409" s="120"/>
      <c r="UOM409" s="120"/>
      <c r="UON409" s="120"/>
      <c r="UOO409" s="120"/>
      <c r="UOP409" s="121"/>
      <c r="UOQ409" s="119"/>
      <c r="UOR409" s="120"/>
      <c r="UOS409" s="120"/>
      <c r="UOT409" s="120"/>
      <c r="UOU409" s="120"/>
      <c r="UOV409" s="120"/>
      <c r="UOW409" s="121"/>
      <c r="UOX409" s="119"/>
      <c r="UOY409" s="120"/>
      <c r="UOZ409" s="120"/>
      <c r="UPA409" s="120"/>
      <c r="UPB409" s="120"/>
      <c r="UPC409" s="120"/>
      <c r="UPD409" s="121"/>
      <c r="UPE409" s="119"/>
      <c r="UPF409" s="120"/>
      <c r="UPG409" s="120"/>
      <c r="UPH409" s="120"/>
      <c r="UPI409" s="120"/>
      <c r="UPJ409" s="120"/>
      <c r="UPK409" s="121"/>
      <c r="UPL409" s="119"/>
      <c r="UPM409" s="120"/>
      <c r="UPN409" s="120"/>
      <c r="UPO409" s="120"/>
      <c r="UPP409" s="120"/>
      <c r="UPQ409" s="120"/>
      <c r="UPR409" s="121"/>
      <c r="UPS409" s="119"/>
      <c r="UPT409" s="120"/>
      <c r="UPU409" s="120"/>
      <c r="UPV409" s="120"/>
      <c r="UPW409" s="120"/>
      <c r="UPX409" s="120"/>
      <c r="UPY409" s="121"/>
      <c r="UPZ409" s="119"/>
      <c r="UQA409" s="120"/>
      <c r="UQB409" s="120"/>
      <c r="UQC409" s="120"/>
      <c r="UQD409" s="120"/>
      <c r="UQE409" s="120"/>
      <c r="UQF409" s="121"/>
      <c r="UQG409" s="119"/>
      <c r="UQH409" s="120"/>
      <c r="UQI409" s="120"/>
      <c r="UQJ409" s="120"/>
      <c r="UQK409" s="120"/>
      <c r="UQL409" s="120"/>
      <c r="UQM409" s="121"/>
      <c r="UQN409" s="119"/>
      <c r="UQO409" s="120"/>
      <c r="UQP409" s="120"/>
      <c r="UQQ409" s="120"/>
      <c r="UQR409" s="120"/>
      <c r="UQS409" s="120"/>
      <c r="UQT409" s="121"/>
      <c r="UQU409" s="119"/>
      <c r="UQV409" s="120"/>
      <c r="UQW409" s="120"/>
      <c r="UQX409" s="120"/>
      <c r="UQY409" s="120"/>
      <c r="UQZ409" s="120"/>
      <c r="URA409" s="121"/>
      <c r="URB409" s="119"/>
      <c r="URC409" s="120"/>
      <c r="URD409" s="120"/>
      <c r="URE409" s="120"/>
      <c r="URF409" s="120"/>
      <c r="URG409" s="120"/>
      <c r="URH409" s="121"/>
      <c r="URI409" s="119"/>
      <c r="URJ409" s="120"/>
      <c r="URK409" s="120"/>
      <c r="URL409" s="120"/>
      <c r="URM409" s="120"/>
      <c r="URN409" s="120"/>
      <c r="URO409" s="121"/>
      <c r="URP409" s="119"/>
      <c r="URQ409" s="120"/>
      <c r="URR409" s="120"/>
      <c r="URS409" s="120"/>
      <c r="URT409" s="120"/>
      <c r="URU409" s="120"/>
      <c r="URV409" s="121"/>
      <c r="URW409" s="119"/>
      <c r="URX409" s="120"/>
      <c r="URY409" s="120"/>
      <c r="URZ409" s="120"/>
      <c r="USA409" s="120"/>
      <c r="USB409" s="120"/>
      <c r="USC409" s="121"/>
      <c r="USD409" s="119"/>
      <c r="USE409" s="120"/>
      <c r="USF409" s="120"/>
      <c r="USG409" s="120"/>
      <c r="USH409" s="120"/>
      <c r="USI409" s="120"/>
      <c r="USJ409" s="121"/>
      <c r="USK409" s="119"/>
      <c r="USL409" s="120"/>
      <c r="USM409" s="120"/>
      <c r="USN409" s="120"/>
      <c r="USO409" s="120"/>
      <c r="USP409" s="120"/>
      <c r="USQ409" s="121"/>
      <c r="USR409" s="119"/>
      <c r="USS409" s="120"/>
      <c r="UST409" s="120"/>
      <c r="USU409" s="120"/>
      <c r="USV409" s="120"/>
      <c r="USW409" s="120"/>
      <c r="USX409" s="121"/>
      <c r="USY409" s="119"/>
      <c r="USZ409" s="120"/>
      <c r="UTA409" s="120"/>
      <c r="UTB409" s="120"/>
      <c r="UTC409" s="120"/>
      <c r="UTD409" s="120"/>
      <c r="UTE409" s="121"/>
      <c r="UTF409" s="119"/>
      <c r="UTG409" s="120"/>
      <c r="UTH409" s="120"/>
      <c r="UTI409" s="120"/>
      <c r="UTJ409" s="120"/>
      <c r="UTK409" s="120"/>
      <c r="UTL409" s="121"/>
      <c r="UTM409" s="119"/>
      <c r="UTN409" s="120"/>
      <c r="UTO409" s="120"/>
      <c r="UTP409" s="120"/>
      <c r="UTQ409" s="120"/>
      <c r="UTR409" s="120"/>
      <c r="UTS409" s="121"/>
      <c r="UTT409" s="119"/>
      <c r="UTU409" s="120"/>
      <c r="UTV409" s="120"/>
      <c r="UTW409" s="120"/>
      <c r="UTX409" s="120"/>
      <c r="UTY409" s="120"/>
      <c r="UTZ409" s="121"/>
      <c r="UUA409" s="119"/>
      <c r="UUB409" s="120"/>
      <c r="UUC409" s="120"/>
      <c r="UUD409" s="120"/>
      <c r="UUE409" s="120"/>
      <c r="UUF409" s="120"/>
      <c r="UUG409" s="121"/>
      <c r="UUH409" s="119"/>
      <c r="UUI409" s="120"/>
      <c r="UUJ409" s="120"/>
      <c r="UUK409" s="120"/>
      <c r="UUL409" s="120"/>
      <c r="UUM409" s="120"/>
      <c r="UUN409" s="121"/>
      <c r="UUO409" s="119"/>
      <c r="UUP409" s="120"/>
      <c r="UUQ409" s="120"/>
      <c r="UUR409" s="120"/>
      <c r="UUS409" s="120"/>
      <c r="UUT409" s="120"/>
      <c r="UUU409" s="121"/>
      <c r="UUV409" s="119"/>
      <c r="UUW409" s="120"/>
      <c r="UUX409" s="120"/>
      <c r="UUY409" s="120"/>
      <c r="UUZ409" s="120"/>
      <c r="UVA409" s="120"/>
      <c r="UVB409" s="121"/>
      <c r="UVC409" s="119"/>
      <c r="UVD409" s="120"/>
      <c r="UVE409" s="120"/>
      <c r="UVF409" s="120"/>
      <c r="UVG409" s="120"/>
      <c r="UVH409" s="120"/>
      <c r="UVI409" s="121"/>
      <c r="UVJ409" s="119"/>
      <c r="UVK409" s="120"/>
      <c r="UVL409" s="120"/>
      <c r="UVM409" s="120"/>
      <c r="UVN409" s="120"/>
      <c r="UVO409" s="120"/>
      <c r="UVP409" s="121"/>
      <c r="UVQ409" s="119"/>
      <c r="UVR409" s="120"/>
      <c r="UVS409" s="120"/>
      <c r="UVT409" s="120"/>
      <c r="UVU409" s="120"/>
      <c r="UVV409" s="120"/>
      <c r="UVW409" s="121"/>
      <c r="UVX409" s="119"/>
      <c r="UVY409" s="120"/>
      <c r="UVZ409" s="120"/>
      <c r="UWA409" s="120"/>
      <c r="UWB409" s="120"/>
      <c r="UWC409" s="120"/>
      <c r="UWD409" s="121"/>
      <c r="UWE409" s="119"/>
      <c r="UWF409" s="120"/>
      <c r="UWG409" s="120"/>
      <c r="UWH409" s="120"/>
      <c r="UWI409" s="120"/>
      <c r="UWJ409" s="120"/>
      <c r="UWK409" s="121"/>
      <c r="UWL409" s="119"/>
      <c r="UWM409" s="120"/>
      <c r="UWN409" s="120"/>
      <c r="UWO409" s="120"/>
      <c r="UWP409" s="120"/>
      <c r="UWQ409" s="120"/>
      <c r="UWR409" s="121"/>
      <c r="UWS409" s="119"/>
      <c r="UWT409" s="120"/>
      <c r="UWU409" s="120"/>
      <c r="UWV409" s="120"/>
      <c r="UWW409" s="120"/>
      <c r="UWX409" s="120"/>
      <c r="UWY409" s="121"/>
      <c r="UWZ409" s="119"/>
      <c r="UXA409" s="120"/>
      <c r="UXB409" s="120"/>
      <c r="UXC409" s="120"/>
      <c r="UXD409" s="120"/>
      <c r="UXE409" s="120"/>
      <c r="UXF409" s="121"/>
      <c r="UXG409" s="119"/>
      <c r="UXH409" s="120"/>
      <c r="UXI409" s="120"/>
      <c r="UXJ409" s="120"/>
      <c r="UXK409" s="120"/>
      <c r="UXL409" s="120"/>
      <c r="UXM409" s="121"/>
      <c r="UXN409" s="119"/>
      <c r="UXO409" s="120"/>
      <c r="UXP409" s="120"/>
      <c r="UXQ409" s="120"/>
      <c r="UXR409" s="120"/>
      <c r="UXS409" s="120"/>
      <c r="UXT409" s="121"/>
      <c r="UXU409" s="119"/>
      <c r="UXV409" s="120"/>
      <c r="UXW409" s="120"/>
      <c r="UXX409" s="120"/>
      <c r="UXY409" s="120"/>
      <c r="UXZ409" s="120"/>
      <c r="UYA409" s="121"/>
      <c r="UYB409" s="119"/>
      <c r="UYC409" s="120"/>
      <c r="UYD409" s="120"/>
      <c r="UYE409" s="120"/>
      <c r="UYF409" s="120"/>
      <c r="UYG409" s="120"/>
      <c r="UYH409" s="121"/>
      <c r="UYI409" s="119"/>
      <c r="UYJ409" s="120"/>
      <c r="UYK409" s="120"/>
      <c r="UYL409" s="120"/>
      <c r="UYM409" s="120"/>
      <c r="UYN409" s="120"/>
      <c r="UYO409" s="121"/>
      <c r="UYP409" s="119"/>
      <c r="UYQ409" s="120"/>
      <c r="UYR409" s="120"/>
      <c r="UYS409" s="120"/>
      <c r="UYT409" s="120"/>
      <c r="UYU409" s="120"/>
      <c r="UYV409" s="121"/>
      <c r="UYW409" s="119"/>
      <c r="UYX409" s="120"/>
      <c r="UYY409" s="120"/>
      <c r="UYZ409" s="120"/>
      <c r="UZA409" s="120"/>
      <c r="UZB409" s="120"/>
      <c r="UZC409" s="121"/>
      <c r="UZD409" s="119"/>
      <c r="UZE409" s="120"/>
      <c r="UZF409" s="120"/>
      <c r="UZG409" s="120"/>
      <c r="UZH409" s="120"/>
      <c r="UZI409" s="120"/>
      <c r="UZJ409" s="121"/>
      <c r="UZK409" s="119"/>
      <c r="UZL409" s="120"/>
      <c r="UZM409" s="120"/>
      <c r="UZN409" s="120"/>
      <c r="UZO409" s="120"/>
      <c r="UZP409" s="120"/>
      <c r="UZQ409" s="121"/>
      <c r="UZR409" s="119"/>
      <c r="UZS409" s="120"/>
      <c r="UZT409" s="120"/>
      <c r="UZU409" s="120"/>
      <c r="UZV409" s="120"/>
      <c r="UZW409" s="120"/>
      <c r="UZX409" s="121"/>
      <c r="UZY409" s="119"/>
      <c r="UZZ409" s="120"/>
      <c r="VAA409" s="120"/>
      <c r="VAB409" s="120"/>
      <c r="VAC409" s="120"/>
      <c r="VAD409" s="120"/>
      <c r="VAE409" s="121"/>
      <c r="VAF409" s="119"/>
      <c r="VAG409" s="120"/>
      <c r="VAH409" s="120"/>
      <c r="VAI409" s="120"/>
      <c r="VAJ409" s="120"/>
      <c r="VAK409" s="120"/>
      <c r="VAL409" s="121"/>
      <c r="VAM409" s="119"/>
      <c r="VAN409" s="120"/>
      <c r="VAO409" s="120"/>
      <c r="VAP409" s="120"/>
      <c r="VAQ409" s="120"/>
      <c r="VAR409" s="120"/>
      <c r="VAS409" s="121"/>
      <c r="VAT409" s="119"/>
      <c r="VAU409" s="120"/>
      <c r="VAV409" s="120"/>
      <c r="VAW409" s="120"/>
      <c r="VAX409" s="120"/>
      <c r="VAY409" s="120"/>
      <c r="VAZ409" s="121"/>
      <c r="VBA409" s="119"/>
      <c r="VBB409" s="120"/>
      <c r="VBC409" s="120"/>
      <c r="VBD409" s="120"/>
      <c r="VBE409" s="120"/>
      <c r="VBF409" s="120"/>
      <c r="VBG409" s="121"/>
      <c r="VBH409" s="119"/>
      <c r="VBI409" s="120"/>
      <c r="VBJ409" s="120"/>
      <c r="VBK409" s="120"/>
      <c r="VBL409" s="120"/>
      <c r="VBM409" s="120"/>
      <c r="VBN409" s="121"/>
      <c r="VBO409" s="119"/>
      <c r="VBP409" s="120"/>
      <c r="VBQ409" s="120"/>
      <c r="VBR409" s="120"/>
      <c r="VBS409" s="120"/>
      <c r="VBT409" s="120"/>
      <c r="VBU409" s="121"/>
      <c r="VBV409" s="119"/>
      <c r="VBW409" s="120"/>
      <c r="VBX409" s="120"/>
      <c r="VBY409" s="120"/>
      <c r="VBZ409" s="120"/>
      <c r="VCA409" s="120"/>
      <c r="VCB409" s="121"/>
      <c r="VCC409" s="119"/>
      <c r="VCD409" s="120"/>
      <c r="VCE409" s="120"/>
      <c r="VCF409" s="120"/>
      <c r="VCG409" s="120"/>
      <c r="VCH409" s="120"/>
      <c r="VCI409" s="121"/>
      <c r="VCJ409" s="119"/>
      <c r="VCK409" s="120"/>
      <c r="VCL409" s="120"/>
      <c r="VCM409" s="120"/>
      <c r="VCN409" s="120"/>
      <c r="VCO409" s="120"/>
      <c r="VCP409" s="121"/>
      <c r="VCQ409" s="119"/>
      <c r="VCR409" s="120"/>
      <c r="VCS409" s="120"/>
      <c r="VCT409" s="120"/>
      <c r="VCU409" s="120"/>
      <c r="VCV409" s="120"/>
      <c r="VCW409" s="121"/>
      <c r="VCX409" s="119"/>
      <c r="VCY409" s="120"/>
      <c r="VCZ409" s="120"/>
      <c r="VDA409" s="120"/>
      <c r="VDB409" s="120"/>
      <c r="VDC409" s="120"/>
      <c r="VDD409" s="121"/>
      <c r="VDE409" s="119"/>
      <c r="VDF409" s="120"/>
      <c r="VDG409" s="120"/>
      <c r="VDH409" s="120"/>
      <c r="VDI409" s="120"/>
      <c r="VDJ409" s="120"/>
      <c r="VDK409" s="121"/>
      <c r="VDL409" s="119"/>
      <c r="VDM409" s="120"/>
      <c r="VDN409" s="120"/>
      <c r="VDO409" s="120"/>
      <c r="VDP409" s="120"/>
      <c r="VDQ409" s="120"/>
      <c r="VDR409" s="121"/>
      <c r="VDS409" s="119"/>
      <c r="VDT409" s="120"/>
      <c r="VDU409" s="120"/>
      <c r="VDV409" s="120"/>
      <c r="VDW409" s="120"/>
      <c r="VDX409" s="120"/>
      <c r="VDY409" s="121"/>
      <c r="VDZ409" s="119"/>
      <c r="VEA409" s="120"/>
      <c r="VEB409" s="120"/>
      <c r="VEC409" s="120"/>
      <c r="VED409" s="120"/>
      <c r="VEE409" s="120"/>
      <c r="VEF409" s="121"/>
      <c r="VEG409" s="119"/>
      <c r="VEH409" s="120"/>
      <c r="VEI409" s="120"/>
      <c r="VEJ409" s="120"/>
      <c r="VEK409" s="120"/>
      <c r="VEL409" s="120"/>
      <c r="VEM409" s="121"/>
      <c r="VEN409" s="119"/>
      <c r="VEO409" s="120"/>
      <c r="VEP409" s="120"/>
      <c r="VEQ409" s="120"/>
      <c r="VER409" s="120"/>
      <c r="VES409" s="120"/>
      <c r="VET409" s="121"/>
      <c r="VEU409" s="119"/>
      <c r="VEV409" s="120"/>
      <c r="VEW409" s="120"/>
      <c r="VEX409" s="120"/>
      <c r="VEY409" s="120"/>
      <c r="VEZ409" s="120"/>
      <c r="VFA409" s="121"/>
      <c r="VFB409" s="119"/>
      <c r="VFC409" s="120"/>
      <c r="VFD409" s="120"/>
      <c r="VFE409" s="120"/>
      <c r="VFF409" s="120"/>
      <c r="VFG409" s="120"/>
      <c r="VFH409" s="121"/>
      <c r="VFI409" s="119"/>
      <c r="VFJ409" s="120"/>
      <c r="VFK409" s="120"/>
      <c r="VFL409" s="120"/>
      <c r="VFM409" s="120"/>
      <c r="VFN409" s="120"/>
      <c r="VFO409" s="121"/>
      <c r="VFP409" s="119"/>
      <c r="VFQ409" s="120"/>
      <c r="VFR409" s="120"/>
      <c r="VFS409" s="120"/>
      <c r="VFT409" s="120"/>
      <c r="VFU409" s="120"/>
      <c r="VFV409" s="121"/>
      <c r="VFW409" s="119"/>
      <c r="VFX409" s="120"/>
      <c r="VFY409" s="120"/>
      <c r="VFZ409" s="120"/>
      <c r="VGA409" s="120"/>
      <c r="VGB409" s="120"/>
      <c r="VGC409" s="121"/>
      <c r="VGD409" s="119"/>
      <c r="VGE409" s="120"/>
      <c r="VGF409" s="120"/>
      <c r="VGG409" s="120"/>
      <c r="VGH409" s="120"/>
      <c r="VGI409" s="120"/>
      <c r="VGJ409" s="121"/>
      <c r="VGK409" s="119"/>
      <c r="VGL409" s="120"/>
      <c r="VGM409" s="120"/>
      <c r="VGN409" s="120"/>
      <c r="VGO409" s="120"/>
      <c r="VGP409" s="120"/>
      <c r="VGQ409" s="121"/>
      <c r="VGR409" s="119"/>
      <c r="VGS409" s="120"/>
      <c r="VGT409" s="120"/>
      <c r="VGU409" s="120"/>
      <c r="VGV409" s="120"/>
      <c r="VGW409" s="120"/>
      <c r="VGX409" s="121"/>
      <c r="VGY409" s="119"/>
      <c r="VGZ409" s="120"/>
      <c r="VHA409" s="120"/>
      <c r="VHB409" s="120"/>
      <c r="VHC409" s="120"/>
      <c r="VHD409" s="120"/>
      <c r="VHE409" s="121"/>
      <c r="VHF409" s="119"/>
      <c r="VHG409" s="120"/>
      <c r="VHH409" s="120"/>
      <c r="VHI409" s="120"/>
      <c r="VHJ409" s="120"/>
      <c r="VHK409" s="120"/>
      <c r="VHL409" s="121"/>
      <c r="VHM409" s="119"/>
      <c r="VHN409" s="120"/>
      <c r="VHO409" s="120"/>
      <c r="VHP409" s="120"/>
      <c r="VHQ409" s="120"/>
      <c r="VHR409" s="120"/>
      <c r="VHS409" s="121"/>
      <c r="VHT409" s="119"/>
      <c r="VHU409" s="120"/>
      <c r="VHV409" s="120"/>
      <c r="VHW409" s="120"/>
      <c r="VHX409" s="120"/>
      <c r="VHY409" s="120"/>
      <c r="VHZ409" s="121"/>
      <c r="VIA409" s="119"/>
      <c r="VIB409" s="120"/>
      <c r="VIC409" s="120"/>
      <c r="VID409" s="120"/>
      <c r="VIE409" s="120"/>
      <c r="VIF409" s="120"/>
      <c r="VIG409" s="121"/>
      <c r="VIH409" s="119"/>
      <c r="VII409" s="120"/>
      <c r="VIJ409" s="120"/>
      <c r="VIK409" s="120"/>
      <c r="VIL409" s="120"/>
      <c r="VIM409" s="120"/>
      <c r="VIN409" s="121"/>
      <c r="VIO409" s="119"/>
      <c r="VIP409" s="120"/>
      <c r="VIQ409" s="120"/>
      <c r="VIR409" s="120"/>
      <c r="VIS409" s="120"/>
      <c r="VIT409" s="120"/>
      <c r="VIU409" s="121"/>
      <c r="VIV409" s="119"/>
      <c r="VIW409" s="120"/>
      <c r="VIX409" s="120"/>
      <c r="VIY409" s="120"/>
      <c r="VIZ409" s="120"/>
      <c r="VJA409" s="120"/>
      <c r="VJB409" s="121"/>
      <c r="VJC409" s="119"/>
      <c r="VJD409" s="120"/>
      <c r="VJE409" s="120"/>
      <c r="VJF409" s="120"/>
      <c r="VJG409" s="120"/>
      <c r="VJH409" s="120"/>
      <c r="VJI409" s="121"/>
      <c r="VJJ409" s="119"/>
      <c r="VJK409" s="120"/>
      <c r="VJL409" s="120"/>
      <c r="VJM409" s="120"/>
      <c r="VJN409" s="120"/>
      <c r="VJO409" s="120"/>
      <c r="VJP409" s="121"/>
      <c r="VJQ409" s="119"/>
      <c r="VJR409" s="120"/>
      <c r="VJS409" s="120"/>
      <c r="VJT409" s="120"/>
      <c r="VJU409" s="120"/>
      <c r="VJV409" s="120"/>
      <c r="VJW409" s="121"/>
      <c r="VJX409" s="119"/>
      <c r="VJY409" s="120"/>
      <c r="VJZ409" s="120"/>
      <c r="VKA409" s="120"/>
      <c r="VKB409" s="120"/>
      <c r="VKC409" s="120"/>
      <c r="VKD409" s="121"/>
      <c r="VKE409" s="119"/>
      <c r="VKF409" s="120"/>
      <c r="VKG409" s="120"/>
      <c r="VKH409" s="120"/>
      <c r="VKI409" s="120"/>
      <c r="VKJ409" s="120"/>
      <c r="VKK409" s="121"/>
      <c r="VKL409" s="119"/>
      <c r="VKM409" s="120"/>
      <c r="VKN409" s="120"/>
      <c r="VKO409" s="120"/>
      <c r="VKP409" s="120"/>
      <c r="VKQ409" s="120"/>
      <c r="VKR409" s="121"/>
      <c r="VKS409" s="119"/>
      <c r="VKT409" s="120"/>
      <c r="VKU409" s="120"/>
      <c r="VKV409" s="120"/>
      <c r="VKW409" s="120"/>
      <c r="VKX409" s="120"/>
      <c r="VKY409" s="121"/>
      <c r="VKZ409" s="119"/>
      <c r="VLA409" s="120"/>
      <c r="VLB409" s="120"/>
      <c r="VLC409" s="120"/>
      <c r="VLD409" s="120"/>
      <c r="VLE409" s="120"/>
      <c r="VLF409" s="121"/>
      <c r="VLG409" s="119"/>
      <c r="VLH409" s="120"/>
      <c r="VLI409" s="120"/>
      <c r="VLJ409" s="120"/>
      <c r="VLK409" s="120"/>
      <c r="VLL409" s="120"/>
      <c r="VLM409" s="121"/>
      <c r="VLN409" s="119"/>
      <c r="VLO409" s="120"/>
      <c r="VLP409" s="120"/>
      <c r="VLQ409" s="120"/>
      <c r="VLR409" s="120"/>
      <c r="VLS409" s="120"/>
      <c r="VLT409" s="121"/>
      <c r="VLU409" s="119"/>
      <c r="VLV409" s="120"/>
      <c r="VLW409" s="120"/>
      <c r="VLX409" s="120"/>
      <c r="VLY409" s="120"/>
      <c r="VLZ409" s="120"/>
      <c r="VMA409" s="121"/>
      <c r="VMB409" s="119"/>
      <c r="VMC409" s="120"/>
      <c r="VMD409" s="120"/>
      <c r="VME409" s="120"/>
      <c r="VMF409" s="120"/>
      <c r="VMG409" s="120"/>
      <c r="VMH409" s="121"/>
      <c r="VMI409" s="119"/>
      <c r="VMJ409" s="120"/>
      <c r="VMK409" s="120"/>
      <c r="VML409" s="120"/>
      <c r="VMM409" s="120"/>
      <c r="VMN409" s="120"/>
      <c r="VMO409" s="121"/>
      <c r="VMP409" s="119"/>
      <c r="VMQ409" s="120"/>
      <c r="VMR409" s="120"/>
      <c r="VMS409" s="120"/>
      <c r="VMT409" s="120"/>
      <c r="VMU409" s="120"/>
      <c r="VMV409" s="121"/>
      <c r="VMW409" s="119"/>
      <c r="VMX409" s="120"/>
      <c r="VMY409" s="120"/>
      <c r="VMZ409" s="120"/>
      <c r="VNA409" s="120"/>
      <c r="VNB409" s="120"/>
      <c r="VNC409" s="121"/>
      <c r="VND409" s="119"/>
      <c r="VNE409" s="120"/>
      <c r="VNF409" s="120"/>
      <c r="VNG409" s="120"/>
      <c r="VNH409" s="120"/>
      <c r="VNI409" s="120"/>
      <c r="VNJ409" s="121"/>
      <c r="VNK409" s="119"/>
      <c r="VNL409" s="120"/>
      <c r="VNM409" s="120"/>
      <c r="VNN409" s="120"/>
      <c r="VNO409" s="120"/>
      <c r="VNP409" s="120"/>
      <c r="VNQ409" s="121"/>
      <c r="VNR409" s="119"/>
      <c r="VNS409" s="120"/>
      <c r="VNT409" s="120"/>
      <c r="VNU409" s="120"/>
      <c r="VNV409" s="120"/>
      <c r="VNW409" s="120"/>
      <c r="VNX409" s="121"/>
      <c r="VNY409" s="119"/>
      <c r="VNZ409" s="120"/>
      <c r="VOA409" s="120"/>
      <c r="VOB409" s="120"/>
      <c r="VOC409" s="120"/>
      <c r="VOD409" s="120"/>
      <c r="VOE409" s="121"/>
      <c r="VOF409" s="119"/>
      <c r="VOG409" s="120"/>
      <c r="VOH409" s="120"/>
      <c r="VOI409" s="120"/>
      <c r="VOJ409" s="120"/>
      <c r="VOK409" s="120"/>
      <c r="VOL409" s="121"/>
      <c r="VOM409" s="119"/>
      <c r="VON409" s="120"/>
      <c r="VOO409" s="120"/>
      <c r="VOP409" s="120"/>
      <c r="VOQ409" s="120"/>
      <c r="VOR409" s="120"/>
      <c r="VOS409" s="121"/>
      <c r="VOT409" s="119"/>
      <c r="VOU409" s="120"/>
      <c r="VOV409" s="120"/>
      <c r="VOW409" s="120"/>
      <c r="VOX409" s="120"/>
      <c r="VOY409" s="120"/>
      <c r="VOZ409" s="121"/>
      <c r="VPA409" s="119"/>
      <c r="VPB409" s="120"/>
      <c r="VPC409" s="120"/>
      <c r="VPD409" s="120"/>
      <c r="VPE409" s="120"/>
      <c r="VPF409" s="120"/>
      <c r="VPG409" s="121"/>
      <c r="VPH409" s="119"/>
      <c r="VPI409" s="120"/>
      <c r="VPJ409" s="120"/>
      <c r="VPK409" s="120"/>
      <c r="VPL409" s="120"/>
      <c r="VPM409" s="120"/>
      <c r="VPN409" s="121"/>
      <c r="VPO409" s="119"/>
      <c r="VPP409" s="120"/>
      <c r="VPQ409" s="120"/>
      <c r="VPR409" s="120"/>
      <c r="VPS409" s="120"/>
      <c r="VPT409" s="120"/>
      <c r="VPU409" s="121"/>
      <c r="VPV409" s="119"/>
      <c r="VPW409" s="120"/>
      <c r="VPX409" s="120"/>
      <c r="VPY409" s="120"/>
      <c r="VPZ409" s="120"/>
      <c r="VQA409" s="120"/>
      <c r="VQB409" s="121"/>
      <c r="VQC409" s="119"/>
      <c r="VQD409" s="120"/>
      <c r="VQE409" s="120"/>
      <c r="VQF409" s="120"/>
      <c r="VQG409" s="120"/>
      <c r="VQH409" s="120"/>
      <c r="VQI409" s="121"/>
      <c r="VQJ409" s="119"/>
      <c r="VQK409" s="120"/>
      <c r="VQL409" s="120"/>
      <c r="VQM409" s="120"/>
      <c r="VQN409" s="120"/>
      <c r="VQO409" s="120"/>
      <c r="VQP409" s="121"/>
      <c r="VQQ409" s="119"/>
      <c r="VQR409" s="120"/>
      <c r="VQS409" s="120"/>
      <c r="VQT409" s="120"/>
      <c r="VQU409" s="120"/>
      <c r="VQV409" s="120"/>
      <c r="VQW409" s="121"/>
      <c r="VQX409" s="119"/>
      <c r="VQY409" s="120"/>
      <c r="VQZ409" s="120"/>
      <c r="VRA409" s="120"/>
      <c r="VRB409" s="120"/>
      <c r="VRC409" s="120"/>
      <c r="VRD409" s="121"/>
      <c r="VRE409" s="119"/>
      <c r="VRF409" s="120"/>
      <c r="VRG409" s="120"/>
      <c r="VRH409" s="120"/>
      <c r="VRI409" s="120"/>
      <c r="VRJ409" s="120"/>
      <c r="VRK409" s="121"/>
      <c r="VRL409" s="119"/>
      <c r="VRM409" s="120"/>
      <c r="VRN409" s="120"/>
      <c r="VRO409" s="120"/>
      <c r="VRP409" s="120"/>
      <c r="VRQ409" s="120"/>
      <c r="VRR409" s="121"/>
      <c r="VRS409" s="119"/>
      <c r="VRT409" s="120"/>
      <c r="VRU409" s="120"/>
      <c r="VRV409" s="120"/>
      <c r="VRW409" s="120"/>
      <c r="VRX409" s="120"/>
      <c r="VRY409" s="121"/>
      <c r="VRZ409" s="119"/>
      <c r="VSA409" s="120"/>
      <c r="VSB409" s="120"/>
      <c r="VSC409" s="120"/>
      <c r="VSD409" s="120"/>
      <c r="VSE409" s="120"/>
      <c r="VSF409" s="121"/>
      <c r="VSG409" s="119"/>
      <c r="VSH409" s="120"/>
      <c r="VSI409" s="120"/>
      <c r="VSJ409" s="120"/>
      <c r="VSK409" s="120"/>
      <c r="VSL409" s="120"/>
      <c r="VSM409" s="121"/>
      <c r="VSN409" s="119"/>
      <c r="VSO409" s="120"/>
      <c r="VSP409" s="120"/>
      <c r="VSQ409" s="120"/>
      <c r="VSR409" s="120"/>
      <c r="VSS409" s="120"/>
      <c r="VST409" s="121"/>
      <c r="VSU409" s="119"/>
      <c r="VSV409" s="120"/>
      <c r="VSW409" s="120"/>
      <c r="VSX409" s="120"/>
      <c r="VSY409" s="120"/>
      <c r="VSZ409" s="120"/>
      <c r="VTA409" s="121"/>
      <c r="VTB409" s="119"/>
      <c r="VTC409" s="120"/>
      <c r="VTD409" s="120"/>
      <c r="VTE409" s="120"/>
      <c r="VTF409" s="120"/>
      <c r="VTG409" s="120"/>
      <c r="VTH409" s="121"/>
      <c r="VTI409" s="119"/>
      <c r="VTJ409" s="120"/>
      <c r="VTK409" s="120"/>
      <c r="VTL409" s="120"/>
      <c r="VTM409" s="120"/>
      <c r="VTN409" s="120"/>
      <c r="VTO409" s="121"/>
      <c r="VTP409" s="119"/>
      <c r="VTQ409" s="120"/>
      <c r="VTR409" s="120"/>
      <c r="VTS409" s="120"/>
      <c r="VTT409" s="120"/>
      <c r="VTU409" s="120"/>
      <c r="VTV409" s="121"/>
      <c r="VTW409" s="119"/>
      <c r="VTX409" s="120"/>
      <c r="VTY409" s="120"/>
      <c r="VTZ409" s="120"/>
      <c r="VUA409" s="120"/>
      <c r="VUB409" s="120"/>
      <c r="VUC409" s="121"/>
      <c r="VUD409" s="119"/>
      <c r="VUE409" s="120"/>
      <c r="VUF409" s="120"/>
      <c r="VUG409" s="120"/>
      <c r="VUH409" s="120"/>
      <c r="VUI409" s="120"/>
      <c r="VUJ409" s="121"/>
      <c r="VUK409" s="119"/>
      <c r="VUL409" s="120"/>
      <c r="VUM409" s="120"/>
      <c r="VUN409" s="120"/>
      <c r="VUO409" s="120"/>
      <c r="VUP409" s="120"/>
      <c r="VUQ409" s="121"/>
      <c r="VUR409" s="119"/>
      <c r="VUS409" s="120"/>
      <c r="VUT409" s="120"/>
      <c r="VUU409" s="120"/>
      <c r="VUV409" s="120"/>
      <c r="VUW409" s="120"/>
      <c r="VUX409" s="121"/>
      <c r="VUY409" s="119"/>
      <c r="VUZ409" s="120"/>
      <c r="VVA409" s="120"/>
      <c r="VVB409" s="120"/>
      <c r="VVC409" s="120"/>
      <c r="VVD409" s="120"/>
      <c r="VVE409" s="121"/>
      <c r="VVF409" s="119"/>
      <c r="VVG409" s="120"/>
      <c r="VVH409" s="120"/>
      <c r="VVI409" s="120"/>
      <c r="VVJ409" s="120"/>
      <c r="VVK409" s="120"/>
      <c r="VVL409" s="121"/>
      <c r="VVM409" s="119"/>
      <c r="VVN409" s="120"/>
      <c r="VVO409" s="120"/>
      <c r="VVP409" s="120"/>
      <c r="VVQ409" s="120"/>
      <c r="VVR409" s="120"/>
      <c r="VVS409" s="121"/>
      <c r="VVT409" s="119"/>
      <c r="VVU409" s="120"/>
      <c r="VVV409" s="120"/>
      <c r="VVW409" s="120"/>
      <c r="VVX409" s="120"/>
      <c r="VVY409" s="120"/>
      <c r="VVZ409" s="121"/>
      <c r="VWA409" s="119"/>
      <c r="VWB409" s="120"/>
      <c r="VWC409" s="120"/>
      <c r="VWD409" s="120"/>
      <c r="VWE409" s="120"/>
      <c r="VWF409" s="120"/>
      <c r="VWG409" s="121"/>
      <c r="VWH409" s="119"/>
      <c r="VWI409" s="120"/>
      <c r="VWJ409" s="120"/>
      <c r="VWK409" s="120"/>
      <c r="VWL409" s="120"/>
      <c r="VWM409" s="120"/>
      <c r="VWN409" s="121"/>
      <c r="VWO409" s="119"/>
      <c r="VWP409" s="120"/>
      <c r="VWQ409" s="120"/>
      <c r="VWR409" s="120"/>
      <c r="VWS409" s="120"/>
      <c r="VWT409" s="120"/>
      <c r="VWU409" s="121"/>
      <c r="VWV409" s="119"/>
      <c r="VWW409" s="120"/>
      <c r="VWX409" s="120"/>
      <c r="VWY409" s="120"/>
      <c r="VWZ409" s="120"/>
      <c r="VXA409" s="120"/>
      <c r="VXB409" s="121"/>
      <c r="VXC409" s="119"/>
      <c r="VXD409" s="120"/>
      <c r="VXE409" s="120"/>
      <c r="VXF409" s="120"/>
      <c r="VXG409" s="120"/>
      <c r="VXH409" s="120"/>
      <c r="VXI409" s="121"/>
      <c r="VXJ409" s="119"/>
      <c r="VXK409" s="120"/>
      <c r="VXL409" s="120"/>
      <c r="VXM409" s="120"/>
      <c r="VXN409" s="120"/>
      <c r="VXO409" s="120"/>
      <c r="VXP409" s="121"/>
      <c r="VXQ409" s="119"/>
      <c r="VXR409" s="120"/>
      <c r="VXS409" s="120"/>
      <c r="VXT409" s="120"/>
      <c r="VXU409" s="120"/>
      <c r="VXV409" s="120"/>
      <c r="VXW409" s="121"/>
      <c r="VXX409" s="119"/>
      <c r="VXY409" s="120"/>
      <c r="VXZ409" s="120"/>
      <c r="VYA409" s="120"/>
      <c r="VYB409" s="120"/>
      <c r="VYC409" s="120"/>
      <c r="VYD409" s="121"/>
      <c r="VYE409" s="119"/>
      <c r="VYF409" s="120"/>
      <c r="VYG409" s="120"/>
      <c r="VYH409" s="120"/>
      <c r="VYI409" s="120"/>
      <c r="VYJ409" s="120"/>
      <c r="VYK409" s="121"/>
      <c r="VYL409" s="119"/>
      <c r="VYM409" s="120"/>
      <c r="VYN409" s="120"/>
      <c r="VYO409" s="120"/>
      <c r="VYP409" s="120"/>
      <c r="VYQ409" s="120"/>
      <c r="VYR409" s="121"/>
      <c r="VYS409" s="119"/>
      <c r="VYT409" s="120"/>
      <c r="VYU409" s="120"/>
      <c r="VYV409" s="120"/>
      <c r="VYW409" s="120"/>
      <c r="VYX409" s="120"/>
      <c r="VYY409" s="121"/>
      <c r="VYZ409" s="119"/>
      <c r="VZA409" s="120"/>
      <c r="VZB409" s="120"/>
      <c r="VZC409" s="120"/>
      <c r="VZD409" s="120"/>
      <c r="VZE409" s="120"/>
      <c r="VZF409" s="121"/>
      <c r="VZG409" s="119"/>
      <c r="VZH409" s="120"/>
      <c r="VZI409" s="120"/>
      <c r="VZJ409" s="120"/>
      <c r="VZK409" s="120"/>
      <c r="VZL409" s="120"/>
      <c r="VZM409" s="121"/>
      <c r="VZN409" s="119"/>
      <c r="VZO409" s="120"/>
      <c r="VZP409" s="120"/>
      <c r="VZQ409" s="120"/>
      <c r="VZR409" s="120"/>
      <c r="VZS409" s="120"/>
      <c r="VZT409" s="121"/>
      <c r="VZU409" s="119"/>
      <c r="VZV409" s="120"/>
      <c r="VZW409" s="120"/>
      <c r="VZX409" s="120"/>
      <c r="VZY409" s="120"/>
      <c r="VZZ409" s="120"/>
      <c r="WAA409" s="121"/>
      <c r="WAB409" s="119"/>
      <c r="WAC409" s="120"/>
      <c r="WAD409" s="120"/>
      <c r="WAE409" s="120"/>
      <c r="WAF409" s="120"/>
      <c r="WAG409" s="120"/>
      <c r="WAH409" s="121"/>
      <c r="WAI409" s="119"/>
      <c r="WAJ409" s="120"/>
      <c r="WAK409" s="120"/>
      <c r="WAL409" s="120"/>
      <c r="WAM409" s="120"/>
      <c r="WAN409" s="120"/>
      <c r="WAO409" s="121"/>
      <c r="WAP409" s="119"/>
      <c r="WAQ409" s="120"/>
      <c r="WAR409" s="120"/>
      <c r="WAS409" s="120"/>
      <c r="WAT409" s="120"/>
      <c r="WAU409" s="120"/>
      <c r="WAV409" s="121"/>
      <c r="WAW409" s="119"/>
      <c r="WAX409" s="120"/>
      <c r="WAY409" s="120"/>
      <c r="WAZ409" s="120"/>
      <c r="WBA409" s="120"/>
      <c r="WBB409" s="120"/>
      <c r="WBC409" s="121"/>
      <c r="WBD409" s="119"/>
      <c r="WBE409" s="120"/>
      <c r="WBF409" s="120"/>
      <c r="WBG409" s="120"/>
      <c r="WBH409" s="120"/>
      <c r="WBI409" s="120"/>
      <c r="WBJ409" s="121"/>
      <c r="WBK409" s="119"/>
      <c r="WBL409" s="120"/>
      <c r="WBM409" s="120"/>
      <c r="WBN409" s="120"/>
      <c r="WBO409" s="120"/>
      <c r="WBP409" s="120"/>
      <c r="WBQ409" s="121"/>
      <c r="WBR409" s="119"/>
      <c r="WBS409" s="120"/>
      <c r="WBT409" s="120"/>
      <c r="WBU409" s="120"/>
      <c r="WBV409" s="120"/>
      <c r="WBW409" s="120"/>
      <c r="WBX409" s="121"/>
      <c r="WBY409" s="119"/>
      <c r="WBZ409" s="120"/>
      <c r="WCA409" s="120"/>
      <c r="WCB409" s="120"/>
      <c r="WCC409" s="120"/>
      <c r="WCD409" s="120"/>
      <c r="WCE409" s="121"/>
      <c r="WCF409" s="119"/>
      <c r="WCG409" s="120"/>
      <c r="WCH409" s="120"/>
      <c r="WCI409" s="120"/>
      <c r="WCJ409" s="120"/>
      <c r="WCK409" s="120"/>
      <c r="WCL409" s="121"/>
      <c r="WCM409" s="119"/>
      <c r="WCN409" s="120"/>
      <c r="WCO409" s="120"/>
      <c r="WCP409" s="120"/>
      <c r="WCQ409" s="120"/>
      <c r="WCR409" s="120"/>
      <c r="WCS409" s="121"/>
      <c r="WCT409" s="119"/>
      <c r="WCU409" s="120"/>
      <c r="WCV409" s="120"/>
      <c r="WCW409" s="120"/>
      <c r="WCX409" s="120"/>
      <c r="WCY409" s="120"/>
      <c r="WCZ409" s="121"/>
      <c r="WDA409" s="119"/>
      <c r="WDB409" s="120"/>
      <c r="WDC409" s="120"/>
      <c r="WDD409" s="120"/>
      <c r="WDE409" s="120"/>
      <c r="WDF409" s="120"/>
      <c r="WDG409" s="121"/>
      <c r="WDH409" s="119"/>
      <c r="WDI409" s="120"/>
      <c r="WDJ409" s="120"/>
      <c r="WDK409" s="120"/>
      <c r="WDL409" s="120"/>
      <c r="WDM409" s="120"/>
      <c r="WDN409" s="121"/>
      <c r="WDO409" s="119"/>
      <c r="WDP409" s="120"/>
      <c r="WDQ409" s="120"/>
      <c r="WDR409" s="120"/>
      <c r="WDS409" s="120"/>
      <c r="WDT409" s="120"/>
      <c r="WDU409" s="121"/>
      <c r="WDV409" s="119"/>
      <c r="WDW409" s="120"/>
      <c r="WDX409" s="120"/>
      <c r="WDY409" s="120"/>
      <c r="WDZ409" s="120"/>
      <c r="WEA409" s="120"/>
      <c r="WEB409" s="121"/>
      <c r="WEC409" s="119"/>
      <c r="WED409" s="120"/>
      <c r="WEE409" s="120"/>
      <c r="WEF409" s="120"/>
      <c r="WEG409" s="120"/>
      <c r="WEH409" s="120"/>
      <c r="WEI409" s="121"/>
      <c r="WEJ409" s="119"/>
      <c r="WEK409" s="120"/>
      <c r="WEL409" s="120"/>
      <c r="WEM409" s="120"/>
      <c r="WEN409" s="120"/>
      <c r="WEO409" s="120"/>
      <c r="WEP409" s="121"/>
      <c r="WEQ409" s="119"/>
      <c r="WER409" s="120"/>
      <c r="WES409" s="120"/>
      <c r="WET409" s="120"/>
      <c r="WEU409" s="120"/>
      <c r="WEV409" s="120"/>
      <c r="WEW409" s="121"/>
      <c r="WEX409" s="119"/>
      <c r="WEY409" s="120"/>
      <c r="WEZ409" s="120"/>
      <c r="WFA409" s="120"/>
      <c r="WFB409" s="120"/>
      <c r="WFC409" s="120"/>
      <c r="WFD409" s="121"/>
      <c r="WFE409" s="119"/>
      <c r="WFF409" s="120"/>
      <c r="WFG409" s="120"/>
      <c r="WFH409" s="120"/>
      <c r="WFI409" s="120"/>
      <c r="WFJ409" s="120"/>
      <c r="WFK409" s="121"/>
      <c r="WFL409" s="119"/>
      <c r="WFM409" s="120"/>
      <c r="WFN409" s="120"/>
      <c r="WFO409" s="120"/>
      <c r="WFP409" s="120"/>
      <c r="WFQ409" s="120"/>
      <c r="WFR409" s="121"/>
      <c r="WFS409" s="119"/>
      <c r="WFT409" s="120"/>
      <c r="WFU409" s="120"/>
      <c r="WFV409" s="120"/>
      <c r="WFW409" s="120"/>
      <c r="WFX409" s="120"/>
      <c r="WFY409" s="121"/>
      <c r="WFZ409" s="119"/>
      <c r="WGA409" s="120"/>
      <c r="WGB409" s="120"/>
      <c r="WGC409" s="120"/>
      <c r="WGD409" s="120"/>
      <c r="WGE409" s="120"/>
      <c r="WGF409" s="121"/>
      <c r="WGG409" s="119"/>
      <c r="WGH409" s="120"/>
      <c r="WGI409" s="120"/>
      <c r="WGJ409" s="120"/>
      <c r="WGK409" s="120"/>
      <c r="WGL409" s="120"/>
      <c r="WGM409" s="121"/>
      <c r="WGN409" s="119"/>
      <c r="WGO409" s="120"/>
      <c r="WGP409" s="120"/>
      <c r="WGQ409" s="120"/>
      <c r="WGR409" s="120"/>
      <c r="WGS409" s="120"/>
      <c r="WGT409" s="121"/>
      <c r="WGU409" s="119"/>
      <c r="WGV409" s="120"/>
      <c r="WGW409" s="120"/>
      <c r="WGX409" s="120"/>
      <c r="WGY409" s="120"/>
      <c r="WGZ409" s="120"/>
      <c r="WHA409" s="121"/>
      <c r="WHB409" s="119"/>
      <c r="WHC409" s="120"/>
      <c r="WHD409" s="120"/>
      <c r="WHE409" s="120"/>
      <c r="WHF409" s="120"/>
      <c r="WHG409" s="120"/>
      <c r="WHH409" s="121"/>
      <c r="WHI409" s="119"/>
      <c r="WHJ409" s="120"/>
      <c r="WHK409" s="120"/>
      <c r="WHL409" s="120"/>
      <c r="WHM409" s="120"/>
      <c r="WHN409" s="120"/>
      <c r="WHO409" s="121"/>
      <c r="WHP409" s="119"/>
      <c r="WHQ409" s="120"/>
      <c r="WHR409" s="120"/>
      <c r="WHS409" s="120"/>
      <c r="WHT409" s="120"/>
      <c r="WHU409" s="120"/>
      <c r="WHV409" s="121"/>
      <c r="WHW409" s="119"/>
      <c r="WHX409" s="120"/>
      <c r="WHY409" s="120"/>
      <c r="WHZ409" s="120"/>
      <c r="WIA409" s="120"/>
      <c r="WIB409" s="120"/>
      <c r="WIC409" s="121"/>
      <c r="WID409" s="119"/>
      <c r="WIE409" s="120"/>
      <c r="WIF409" s="120"/>
      <c r="WIG409" s="120"/>
      <c r="WIH409" s="120"/>
      <c r="WII409" s="120"/>
      <c r="WIJ409" s="121"/>
      <c r="WIK409" s="119"/>
      <c r="WIL409" s="120"/>
      <c r="WIM409" s="120"/>
      <c r="WIN409" s="120"/>
      <c r="WIO409" s="120"/>
      <c r="WIP409" s="120"/>
      <c r="WIQ409" s="121"/>
      <c r="WIR409" s="119"/>
      <c r="WIS409" s="120"/>
      <c r="WIT409" s="120"/>
      <c r="WIU409" s="120"/>
      <c r="WIV409" s="120"/>
      <c r="WIW409" s="120"/>
      <c r="WIX409" s="121"/>
      <c r="WIY409" s="119"/>
      <c r="WIZ409" s="120"/>
      <c r="WJA409" s="120"/>
      <c r="WJB409" s="120"/>
      <c r="WJC409" s="120"/>
      <c r="WJD409" s="120"/>
      <c r="WJE409" s="121"/>
      <c r="WJF409" s="119"/>
      <c r="WJG409" s="120"/>
      <c r="WJH409" s="120"/>
      <c r="WJI409" s="120"/>
      <c r="WJJ409" s="120"/>
      <c r="WJK409" s="120"/>
      <c r="WJL409" s="121"/>
      <c r="WJM409" s="119"/>
      <c r="WJN409" s="120"/>
      <c r="WJO409" s="120"/>
      <c r="WJP409" s="120"/>
      <c r="WJQ409" s="120"/>
      <c r="WJR409" s="120"/>
      <c r="WJS409" s="121"/>
      <c r="WJT409" s="119"/>
      <c r="WJU409" s="120"/>
      <c r="WJV409" s="120"/>
      <c r="WJW409" s="120"/>
      <c r="WJX409" s="120"/>
      <c r="WJY409" s="120"/>
      <c r="WJZ409" s="121"/>
      <c r="WKA409" s="119"/>
      <c r="WKB409" s="120"/>
      <c r="WKC409" s="120"/>
      <c r="WKD409" s="120"/>
      <c r="WKE409" s="120"/>
      <c r="WKF409" s="120"/>
      <c r="WKG409" s="121"/>
      <c r="WKH409" s="119"/>
      <c r="WKI409" s="120"/>
      <c r="WKJ409" s="120"/>
      <c r="WKK409" s="120"/>
      <c r="WKL409" s="120"/>
      <c r="WKM409" s="120"/>
      <c r="WKN409" s="121"/>
      <c r="WKO409" s="119"/>
      <c r="WKP409" s="120"/>
      <c r="WKQ409" s="120"/>
      <c r="WKR409" s="120"/>
      <c r="WKS409" s="120"/>
      <c r="WKT409" s="120"/>
      <c r="WKU409" s="121"/>
      <c r="WKV409" s="119"/>
      <c r="WKW409" s="120"/>
      <c r="WKX409" s="120"/>
      <c r="WKY409" s="120"/>
      <c r="WKZ409" s="120"/>
      <c r="WLA409" s="120"/>
      <c r="WLB409" s="121"/>
      <c r="WLC409" s="119"/>
      <c r="WLD409" s="120"/>
      <c r="WLE409" s="120"/>
      <c r="WLF409" s="120"/>
      <c r="WLG409" s="120"/>
      <c r="WLH409" s="120"/>
      <c r="WLI409" s="121"/>
      <c r="WLJ409" s="119"/>
      <c r="WLK409" s="120"/>
      <c r="WLL409" s="120"/>
      <c r="WLM409" s="120"/>
      <c r="WLN409" s="120"/>
      <c r="WLO409" s="120"/>
      <c r="WLP409" s="121"/>
      <c r="WLQ409" s="119"/>
      <c r="WLR409" s="120"/>
      <c r="WLS409" s="120"/>
      <c r="WLT409" s="120"/>
      <c r="WLU409" s="120"/>
      <c r="WLV409" s="120"/>
      <c r="WLW409" s="121"/>
      <c r="WLX409" s="119"/>
      <c r="WLY409" s="120"/>
      <c r="WLZ409" s="120"/>
      <c r="WMA409" s="120"/>
      <c r="WMB409" s="120"/>
      <c r="WMC409" s="120"/>
      <c r="WMD409" s="121"/>
      <c r="WME409" s="119"/>
      <c r="WMF409" s="120"/>
      <c r="WMG409" s="120"/>
      <c r="WMH409" s="120"/>
      <c r="WMI409" s="120"/>
      <c r="WMJ409" s="120"/>
      <c r="WMK409" s="121"/>
      <c r="WML409" s="119"/>
      <c r="WMM409" s="120"/>
      <c r="WMN409" s="120"/>
      <c r="WMO409" s="120"/>
      <c r="WMP409" s="120"/>
      <c r="WMQ409" s="120"/>
      <c r="WMR409" s="121"/>
      <c r="WMS409" s="119"/>
      <c r="WMT409" s="120"/>
      <c r="WMU409" s="120"/>
      <c r="WMV409" s="120"/>
      <c r="WMW409" s="120"/>
      <c r="WMX409" s="120"/>
      <c r="WMY409" s="121"/>
      <c r="WMZ409" s="119"/>
      <c r="WNA409" s="120"/>
      <c r="WNB409" s="120"/>
      <c r="WNC409" s="120"/>
      <c r="WND409" s="120"/>
      <c r="WNE409" s="120"/>
      <c r="WNF409" s="121"/>
      <c r="WNG409" s="119"/>
      <c r="WNH409" s="120"/>
      <c r="WNI409" s="120"/>
      <c r="WNJ409" s="120"/>
      <c r="WNK409" s="120"/>
      <c r="WNL409" s="120"/>
      <c r="WNM409" s="121"/>
      <c r="WNN409" s="119"/>
      <c r="WNO409" s="120"/>
      <c r="WNP409" s="120"/>
      <c r="WNQ409" s="120"/>
      <c r="WNR409" s="120"/>
      <c r="WNS409" s="120"/>
      <c r="WNT409" s="121"/>
      <c r="WNU409" s="119"/>
      <c r="WNV409" s="120"/>
      <c r="WNW409" s="120"/>
      <c r="WNX409" s="120"/>
      <c r="WNY409" s="120"/>
      <c r="WNZ409" s="120"/>
      <c r="WOA409" s="121"/>
      <c r="WOB409" s="119"/>
      <c r="WOC409" s="120"/>
      <c r="WOD409" s="120"/>
      <c r="WOE409" s="120"/>
      <c r="WOF409" s="120"/>
      <c r="WOG409" s="120"/>
      <c r="WOH409" s="121"/>
      <c r="WOI409" s="119"/>
      <c r="WOJ409" s="120"/>
      <c r="WOK409" s="120"/>
      <c r="WOL409" s="120"/>
      <c r="WOM409" s="120"/>
      <c r="WON409" s="120"/>
      <c r="WOO409" s="121"/>
      <c r="WOP409" s="119"/>
      <c r="WOQ409" s="120"/>
      <c r="WOR409" s="120"/>
      <c r="WOS409" s="120"/>
      <c r="WOT409" s="120"/>
      <c r="WOU409" s="120"/>
      <c r="WOV409" s="121"/>
      <c r="WOW409" s="119"/>
      <c r="WOX409" s="120"/>
      <c r="WOY409" s="120"/>
      <c r="WOZ409" s="120"/>
      <c r="WPA409" s="120"/>
      <c r="WPB409" s="120"/>
      <c r="WPC409" s="121"/>
      <c r="WPD409" s="119"/>
      <c r="WPE409" s="120"/>
      <c r="WPF409" s="120"/>
      <c r="WPG409" s="120"/>
      <c r="WPH409" s="120"/>
      <c r="WPI409" s="120"/>
      <c r="WPJ409" s="121"/>
      <c r="WPK409" s="119"/>
      <c r="WPL409" s="120"/>
      <c r="WPM409" s="120"/>
      <c r="WPN409" s="120"/>
      <c r="WPO409" s="120"/>
      <c r="WPP409" s="120"/>
      <c r="WPQ409" s="121"/>
      <c r="WPR409" s="119"/>
      <c r="WPS409" s="120"/>
      <c r="WPT409" s="120"/>
      <c r="WPU409" s="120"/>
      <c r="WPV409" s="120"/>
      <c r="WPW409" s="120"/>
      <c r="WPX409" s="121"/>
      <c r="WPY409" s="119"/>
      <c r="WPZ409" s="120"/>
      <c r="WQA409" s="120"/>
      <c r="WQB409" s="120"/>
      <c r="WQC409" s="120"/>
      <c r="WQD409" s="120"/>
      <c r="WQE409" s="121"/>
      <c r="WQF409" s="119"/>
      <c r="WQG409" s="120"/>
      <c r="WQH409" s="120"/>
      <c r="WQI409" s="120"/>
      <c r="WQJ409" s="120"/>
      <c r="WQK409" s="120"/>
      <c r="WQL409" s="121"/>
      <c r="WQM409" s="119"/>
      <c r="WQN409" s="120"/>
      <c r="WQO409" s="120"/>
      <c r="WQP409" s="120"/>
      <c r="WQQ409" s="120"/>
      <c r="WQR409" s="120"/>
      <c r="WQS409" s="121"/>
      <c r="WQT409" s="119"/>
      <c r="WQU409" s="120"/>
      <c r="WQV409" s="120"/>
      <c r="WQW409" s="120"/>
      <c r="WQX409" s="120"/>
      <c r="WQY409" s="120"/>
      <c r="WQZ409" s="121"/>
      <c r="WRA409" s="119"/>
      <c r="WRB409" s="120"/>
      <c r="WRC409" s="120"/>
      <c r="WRD409" s="120"/>
      <c r="WRE409" s="120"/>
      <c r="WRF409" s="120"/>
      <c r="WRG409" s="121"/>
      <c r="WRH409" s="119"/>
      <c r="WRI409" s="120"/>
      <c r="WRJ409" s="120"/>
      <c r="WRK409" s="120"/>
      <c r="WRL409" s="120"/>
      <c r="WRM409" s="120"/>
      <c r="WRN409" s="121"/>
      <c r="WRO409" s="119"/>
      <c r="WRP409" s="120"/>
      <c r="WRQ409" s="120"/>
      <c r="WRR409" s="120"/>
      <c r="WRS409" s="120"/>
      <c r="WRT409" s="120"/>
      <c r="WRU409" s="121"/>
      <c r="WRV409" s="119"/>
      <c r="WRW409" s="120"/>
      <c r="WRX409" s="120"/>
      <c r="WRY409" s="120"/>
      <c r="WRZ409" s="120"/>
      <c r="WSA409" s="120"/>
      <c r="WSB409" s="121"/>
      <c r="WSC409" s="119"/>
      <c r="WSD409" s="120"/>
      <c r="WSE409" s="120"/>
      <c r="WSF409" s="120"/>
      <c r="WSG409" s="120"/>
      <c r="WSH409" s="120"/>
      <c r="WSI409" s="121"/>
      <c r="WSJ409" s="119"/>
      <c r="WSK409" s="120"/>
      <c r="WSL409" s="120"/>
      <c r="WSM409" s="120"/>
      <c r="WSN409" s="120"/>
      <c r="WSO409" s="120"/>
      <c r="WSP409" s="121"/>
      <c r="WSQ409" s="119"/>
      <c r="WSR409" s="120"/>
      <c r="WSS409" s="120"/>
      <c r="WST409" s="120"/>
      <c r="WSU409" s="120"/>
      <c r="WSV409" s="120"/>
      <c r="WSW409" s="121"/>
      <c r="WSX409" s="119"/>
      <c r="WSY409" s="120"/>
      <c r="WSZ409" s="120"/>
      <c r="WTA409" s="120"/>
      <c r="WTB409" s="120"/>
      <c r="WTC409" s="120"/>
      <c r="WTD409" s="121"/>
      <c r="WTE409" s="119"/>
      <c r="WTF409" s="120"/>
      <c r="WTG409" s="120"/>
      <c r="WTH409" s="120"/>
      <c r="WTI409" s="120"/>
      <c r="WTJ409" s="120"/>
      <c r="WTK409" s="121"/>
      <c r="WTL409" s="119"/>
      <c r="WTM409" s="120"/>
      <c r="WTN409" s="120"/>
      <c r="WTO409" s="120"/>
      <c r="WTP409" s="120"/>
      <c r="WTQ409" s="120"/>
      <c r="WTR409" s="121"/>
      <c r="WTS409" s="119"/>
      <c r="WTT409" s="120"/>
      <c r="WTU409" s="120"/>
      <c r="WTV409" s="120"/>
      <c r="WTW409" s="120"/>
      <c r="WTX409" s="120"/>
      <c r="WTY409" s="121"/>
      <c r="WTZ409" s="119"/>
      <c r="WUA409" s="120"/>
      <c r="WUB409" s="120"/>
      <c r="WUC409" s="120"/>
      <c r="WUD409" s="120"/>
      <c r="WUE409" s="120"/>
      <c r="WUF409" s="121"/>
      <c r="WUG409" s="119"/>
      <c r="WUH409" s="120"/>
      <c r="WUI409" s="120"/>
      <c r="WUJ409" s="120"/>
      <c r="WUK409" s="120"/>
      <c r="WUL409" s="120"/>
      <c r="WUM409" s="121"/>
      <c r="WUN409" s="119"/>
      <c r="WUO409" s="120"/>
      <c r="WUP409" s="120"/>
      <c r="WUQ409" s="120"/>
      <c r="WUR409" s="120"/>
      <c r="WUS409" s="120"/>
      <c r="WUT409" s="121"/>
      <c r="WUU409" s="119"/>
      <c r="WUV409" s="120"/>
      <c r="WUW409" s="120"/>
      <c r="WUX409" s="120"/>
      <c r="WUY409" s="120"/>
      <c r="WUZ409" s="120"/>
      <c r="WVA409" s="121"/>
      <c r="WVB409" s="119"/>
      <c r="WVC409" s="120"/>
      <c r="WVD409" s="120"/>
      <c r="WVE409" s="120"/>
      <c r="WVF409" s="120"/>
      <c r="WVG409" s="120"/>
      <c r="WVH409" s="121"/>
      <c r="WVI409" s="119"/>
      <c r="WVJ409" s="120"/>
      <c r="WVK409" s="120"/>
      <c r="WVL409" s="120"/>
      <c r="WVM409" s="120"/>
      <c r="WVN409" s="120"/>
      <c r="WVO409" s="121"/>
      <c r="WVP409" s="119"/>
      <c r="WVQ409" s="120"/>
      <c r="WVR409" s="120"/>
      <c r="WVS409" s="120"/>
      <c r="WVT409" s="120"/>
      <c r="WVU409" s="120"/>
      <c r="WVV409" s="121"/>
      <c r="WVW409" s="119"/>
      <c r="WVX409" s="120"/>
      <c r="WVY409" s="120"/>
      <c r="WVZ409" s="120"/>
      <c r="WWA409" s="120"/>
      <c r="WWB409" s="120"/>
      <c r="WWC409" s="121"/>
      <c r="WWD409" s="119"/>
      <c r="WWE409" s="120"/>
      <c r="WWF409" s="120"/>
      <c r="WWG409" s="120"/>
      <c r="WWH409" s="120"/>
      <c r="WWI409" s="120"/>
      <c r="WWJ409" s="121"/>
      <c r="WWK409" s="119"/>
      <c r="WWL409" s="120"/>
      <c r="WWM409" s="120"/>
      <c r="WWN409" s="120"/>
      <c r="WWO409" s="120"/>
      <c r="WWP409" s="120"/>
      <c r="WWQ409" s="121"/>
      <c r="WWR409" s="119"/>
      <c r="WWS409" s="120"/>
      <c r="WWT409" s="120"/>
      <c r="WWU409" s="120"/>
      <c r="WWV409" s="120"/>
      <c r="WWW409" s="120"/>
      <c r="WWX409" s="121"/>
      <c r="WWY409" s="119"/>
      <c r="WWZ409" s="120"/>
      <c r="WXA409" s="120"/>
      <c r="WXB409" s="120"/>
      <c r="WXC409" s="120"/>
      <c r="WXD409" s="120"/>
      <c r="WXE409" s="121"/>
      <c r="WXF409" s="119"/>
      <c r="WXG409" s="120"/>
      <c r="WXH409" s="120"/>
      <c r="WXI409" s="120"/>
      <c r="WXJ409" s="120"/>
      <c r="WXK409" s="120"/>
      <c r="WXL409" s="121"/>
      <c r="WXM409" s="119"/>
      <c r="WXN409" s="120"/>
      <c r="WXO409" s="120"/>
      <c r="WXP409" s="120"/>
      <c r="WXQ409" s="120"/>
      <c r="WXR409" s="120"/>
      <c r="WXS409" s="121"/>
      <c r="WXT409" s="119"/>
      <c r="WXU409" s="120"/>
      <c r="WXV409" s="120"/>
      <c r="WXW409" s="120"/>
      <c r="WXX409" s="120"/>
      <c r="WXY409" s="120"/>
      <c r="WXZ409" s="121"/>
      <c r="WYA409" s="119"/>
      <c r="WYB409" s="120"/>
      <c r="WYC409" s="120"/>
      <c r="WYD409" s="120"/>
      <c r="WYE409" s="120"/>
      <c r="WYF409" s="120"/>
      <c r="WYG409" s="121"/>
      <c r="WYH409" s="119"/>
      <c r="WYI409" s="120"/>
      <c r="WYJ409" s="120"/>
      <c r="WYK409" s="120"/>
      <c r="WYL409" s="120"/>
      <c r="WYM409" s="120"/>
      <c r="WYN409" s="121"/>
      <c r="WYO409" s="119"/>
      <c r="WYP409" s="120"/>
      <c r="WYQ409" s="120"/>
      <c r="WYR409" s="120"/>
      <c r="WYS409" s="120"/>
      <c r="WYT409" s="120"/>
      <c r="WYU409" s="121"/>
      <c r="WYV409" s="119"/>
      <c r="WYW409" s="120"/>
      <c r="WYX409" s="120"/>
      <c r="WYY409" s="120"/>
      <c r="WYZ409" s="120"/>
      <c r="WZA409" s="120"/>
      <c r="WZB409" s="121"/>
      <c r="WZC409" s="119"/>
      <c r="WZD409" s="120"/>
      <c r="WZE409" s="120"/>
      <c r="WZF409" s="120"/>
      <c r="WZG409" s="120"/>
      <c r="WZH409" s="120"/>
      <c r="WZI409" s="121"/>
      <c r="WZJ409" s="119"/>
      <c r="WZK409" s="120"/>
      <c r="WZL409" s="120"/>
      <c r="WZM409" s="120"/>
      <c r="WZN409" s="120"/>
      <c r="WZO409" s="120"/>
      <c r="WZP409" s="121"/>
      <c r="WZQ409" s="119"/>
      <c r="WZR409" s="120"/>
      <c r="WZS409" s="120"/>
      <c r="WZT409" s="120"/>
      <c r="WZU409" s="120"/>
      <c r="WZV409" s="120"/>
      <c r="WZW409" s="121"/>
      <c r="WZX409" s="119"/>
      <c r="WZY409" s="120"/>
      <c r="WZZ409" s="120"/>
      <c r="XAA409" s="120"/>
      <c r="XAB409" s="120"/>
      <c r="XAC409" s="120"/>
      <c r="XAD409" s="121"/>
      <c r="XAE409" s="119"/>
      <c r="XAF409" s="120"/>
      <c r="XAG409" s="120"/>
      <c r="XAH409" s="120"/>
      <c r="XAI409" s="120"/>
      <c r="XAJ409" s="120"/>
      <c r="XAK409" s="121"/>
      <c r="XAL409" s="119"/>
      <c r="XAM409" s="120"/>
      <c r="XAN409" s="120"/>
      <c r="XAO409" s="120"/>
      <c r="XAP409" s="120"/>
      <c r="XAQ409" s="120"/>
      <c r="XAR409" s="121"/>
      <c r="XAS409" s="119"/>
      <c r="XAT409" s="120"/>
      <c r="XAU409" s="120"/>
      <c r="XAV409" s="120"/>
      <c r="XAW409" s="120"/>
      <c r="XAX409" s="120"/>
      <c r="XAY409" s="121"/>
      <c r="XAZ409" s="119"/>
      <c r="XBA409" s="120"/>
      <c r="XBB409" s="120"/>
      <c r="XBC409" s="120"/>
      <c r="XBD409" s="120"/>
      <c r="XBE409" s="120"/>
      <c r="XBF409" s="121"/>
      <c r="XBG409" s="119"/>
      <c r="XBH409" s="120"/>
      <c r="XBI409" s="120"/>
      <c r="XBJ409" s="120"/>
      <c r="XBK409" s="120"/>
      <c r="XBL409" s="120"/>
      <c r="XBM409" s="121"/>
      <c r="XBN409" s="119"/>
      <c r="XBO409" s="120"/>
      <c r="XBP409" s="120"/>
      <c r="XBQ409" s="120"/>
      <c r="XBR409" s="120"/>
      <c r="XBS409" s="120"/>
      <c r="XBT409" s="121"/>
      <c r="XBU409" s="119"/>
      <c r="XBV409" s="120"/>
      <c r="XBW409" s="120"/>
      <c r="XBX409" s="120"/>
      <c r="XBY409" s="120"/>
      <c r="XBZ409" s="120"/>
      <c r="XCA409" s="121"/>
      <c r="XCB409" s="119"/>
      <c r="XCC409" s="120"/>
      <c r="XCD409" s="120"/>
      <c r="XCE409" s="120"/>
      <c r="XCF409" s="120"/>
      <c r="XCG409" s="120"/>
      <c r="XCH409" s="121"/>
      <c r="XCI409" s="119"/>
      <c r="XCJ409" s="120"/>
      <c r="XCK409" s="120"/>
      <c r="XCL409" s="120"/>
      <c r="XCM409" s="120"/>
      <c r="XCN409" s="120"/>
      <c r="XCO409" s="121"/>
      <c r="XCP409" s="119"/>
      <c r="XCQ409" s="120"/>
      <c r="XCR409" s="120"/>
      <c r="XCS409" s="120"/>
      <c r="XCT409" s="120"/>
      <c r="XCU409" s="120"/>
      <c r="XCV409" s="121"/>
      <c r="XCW409" s="119"/>
      <c r="XCX409" s="120"/>
      <c r="XCY409" s="120"/>
      <c r="XCZ409" s="120"/>
      <c r="XDA409" s="120"/>
      <c r="XDB409" s="120"/>
      <c r="XDC409" s="121"/>
      <c r="XDD409" s="119"/>
      <c r="XDE409" s="120"/>
      <c r="XDF409" s="120"/>
      <c r="XDG409" s="120"/>
      <c r="XDH409" s="120"/>
      <c r="XDI409" s="120"/>
      <c r="XDJ409" s="121"/>
      <c r="XDK409" s="119"/>
      <c r="XDL409" s="120"/>
      <c r="XDM409" s="120"/>
      <c r="XDN409" s="120"/>
      <c r="XDO409" s="120"/>
      <c r="XDP409" s="120"/>
      <c r="XDQ409" s="121"/>
      <c r="XDR409" s="119"/>
      <c r="XDS409" s="120"/>
      <c r="XDT409" s="120"/>
      <c r="XDU409" s="120"/>
      <c r="XDV409" s="120"/>
      <c r="XDW409" s="120"/>
      <c r="XDX409" s="121"/>
      <c r="XDY409" s="119"/>
      <c r="XDZ409" s="120"/>
      <c r="XEA409" s="120"/>
      <c r="XEB409" s="120"/>
      <c r="XEC409" s="120"/>
      <c r="XED409" s="120"/>
      <c r="XEE409" s="121"/>
      <c r="XEF409" s="119"/>
      <c r="XEG409" s="120"/>
      <c r="XEH409" s="120"/>
      <c r="XEI409" s="120"/>
      <c r="XEJ409" s="120"/>
      <c r="XEK409" s="120"/>
      <c r="XEL409" s="121"/>
      <c r="XEM409" s="119"/>
      <c r="XEN409" s="120"/>
      <c r="XEO409" s="120"/>
      <c r="XEP409" s="120"/>
      <c r="XEQ409" s="120"/>
      <c r="XER409" s="120"/>
      <c r="XES409" s="121"/>
      <c r="XET409" s="119"/>
      <c r="XEU409" s="120"/>
      <c r="XEV409" s="120"/>
      <c r="XEW409" s="120"/>
      <c r="XEX409" s="120"/>
      <c r="XEY409" s="120"/>
      <c r="XEZ409" s="121"/>
      <c r="XFA409" s="119"/>
      <c r="XFB409" s="120"/>
      <c r="XFC409" s="120"/>
      <c r="XFD409" s="120"/>
    </row>
    <row r="410" spans="1:16384" s="13" customFormat="1" x14ac:dyDescent="0.2">
      <c r="A410" s="43"/>
      <c r="B410" s="44"/>
      <c r="C410" s="50"/>
      <c r="D410" s="44"/>
      <c r="E410" s="44"/>
      <c r="F410" s="46"/>
      <c r="G410" s="47"/>
      <c r="H410" s="57"/>
    </row>
    <row r="411" spans="1:16384" s="13" customFormat="1" x14ac:dyDescent="0.2">
      <c r="A411" s="119"/>
      <c r="B411" s="120"/>
      <c r="C411" s="120"/>
      <c r="D411" s="120"/>
      <c r="E411" s="120"/>
      <c r="F411" s="120"/>
      <c r="G411" s="121"/>
      <c r="H411" s="16">
        <f>SUM(H4:H409)/2</f>
        <v>18789674</v>
      </c>
      <c r="I411" s="84"/>
      <c r="J411" s="84"/>
      <c r="K411" s="84"/>
      <c r="L411" s="84"/>
      <c r="M411" s="84"/>
      <c r="N411" s="85"/>
      <c r="O411" s="119"/>
      <c r="P411" s="120"/>
      <c r="Q411" s="120"/>
      <c r="R411" s="120"/>
      <c r="S411" s="120"/>
      <c r="T411" s="120"/>
      <c r="U411" s="121"/>
      <c r="V411" s="119"/>
      <c r="W411" s="120"/>
      <c r="X411" s="120"/>
      <c r="Y411" s="120"/>
      <c r="Z411" s="120"/>
      <c r="AA411" s="120"/>
      <c r="AB411" s="121"/>
      <c r="AC411" s="119"/>
      <c r="AD411" s="120"/>
      <c r="AE411" s="120"/>
      <c r="AF411" s="120"/>
      <c r="AG411" s="120"/>
      <c r="AH411" s="120"/>
      <c r="AI411" s="121"/>
      <c r="AJ411" s="119"/>
      <c r="AK411" s="120"/>
      <c r="AL411" s="120"/>
      <c r="AM411" s="120"/>
      <c r="AN411" s="120"/>
      <c r="AO411" s="120"/>
      <c r="AP411" s="121"/>
      <c r="AQ411" s="119"/>
      <c r="AR411" s="120"/>
      <c r="AS411" s="120"/>
      <c r="AT411" s="120"/>
      <c r="AU411" s="120"/>
      <c r="AV411" s="120"/>
      <c r="AW411" s="121"/>
      <c r="AX411" s="119"/>
      <c r="AY411" s="120"/>
      <c r="AZ411" s="120"/>
      <c r="BA411" s="120"/>
      <c r="BB411" s="120"/>
      <c r="BC411" s="120"/>
      <c r="BD411" s="121"/>
      <c r="BE411" s="119"/>
      <c r="BF411" s="120"/>
      <c r="BG411" s="120"/>
      <c r="BH411" s="120"/>
      <c r="BI411" s="120"/>
      <c r="BJ411" s="120"/>
      <c r="BK411" s="121"/>
      <c r="BL411" s="119"/>
      <c r="BM411" s="120"/>
      <c r="BN411" s="120"/>
      <c r="BO411" s="120"/>
      <c r="BP411" s="120"/>
      <c r="BQ411" s="120"/>
      <c r="BR411" s="121"/>
      <c r="BS411" s="119"/>
      <c r="BT411" s="120"/>
      <c r="BU411" s="120"/>
      <c r="BV411" s="120"/>
      <c r="BW411" s="120"/>
      <c r="BX411" s="120"/>
      <c r="BY411" s="121"/>
      <c r="BZ411" s="119"/>
      <c r="CA411" s="120"/>
      <c r="CB411" s="120"/>
      <c r="CC411" s="120"/>
      <c r="CD411" s="120"/>
      <c r="CE411" s="120"/>
      <c r="CF411" s="121"/>
      <c r="CG411" s="119"/>
      <c r="CH411" s="120"/>
      <c r="CI411" s="120"/>
      <c r="CJ411" s="120"/>
      <c r="CK411" s="120"/>
      <c r="CL411" s="120"/>
      <c r="CM411" s="121"/>
      <c r="CN411" s="119"/>
      <c r="CO411" s="120"/>
      <c r="CP411" s="120"/>
      <c r="CQ411" s="120"/>
      <c r="CR411" s="120"/>
      <c r="CS411" s="120"/>
      <c r="CT411" s="121"/>
      <c r="CU411" s="119"/>
      <c r="CV411" s="120"/>
      <c r="CW411" s="120"/>
      <c r="CX411" s="120"/>
      <c r="CY411" s="120"/>
      <c r="CZ411" s="120"/>
      <c r="DA411" s="121"/>
      <c r="DB411" s="119"/>
      <c r="DC411" s="120"/>
      <c r="DD411" s="120"/>
      <c r="DE411" s="120"/>
      <c r="DF411" s="120"/>
      <c r="DG411" s="120"/>
      <c r="DH411" s="121"/>
      <c r="DI411" s="119"/>
      <c r="DJ411" s="120"/>
      <c r="DK411" s="120"/>
      <c r="DL411" s="120"/>
      <c r="DM411" s="120"/>
      <c r="DN411" s="120"/>
      <c r="DO411" s="121"/>
      <c r="DP411" s="119"/>
      <c r="DQ411" s="120"/>
      <c r="DR411" s="120"/>
      <c r="DS411" s="120"/>
      <c r="DT411" s="120"/>
      <c r="DU411" s="120"/>
      <c r="DV411" s="121"/>
      <c r="DW411" s="119"/>
      <c r="DX411" s="120"/>
      <c r="DY411" s="120"/>
      <c r="DZ411" s="120"/>
      <c r="EA411" s="120"/>
      <c r="EB411" s="120"/>
      <c r="EC411" s="121"/>
      <c r="ED411" s="119"/>
      <c r="EE411" s="120"/>
      <c r="EF411" s="120"/>
      <c r="EG411" s="120"/>
      <c r="EH411" s="120"/>
      <c r="EI411" s="120"/>
      <c r="EJ411" s="121"/>
      <c r="EK411" s="119"/>
      <c r="EL411" s="120"/>
      <c r="EM411" s="120"/>
      <c r="EN411" s="120"/>
      <c r="EO411" s="120"/>
      <c r="EP411" s="120"/>
      <c r="EQ411" s="121"/>
      <c r="ER411" s="119"/>
      <c r="ES411" s="120"/>
      <c r="ET411" s="120"/>
      <c r="EU411" s="120"/>
      <c r="EV411" s="120"/>
      <c r="EW411" s="120"/>
      <c r="EX411" s="121"/>
      <c r="EY411" s="119"/>
      <c r="EZ411" s="120"/>
      <c r="FA411" s="120"/>
      <c r="FB411" s="120"/>
      <c r="FC411" s="120"/>
      <c r="FD411" s="120"/>
      <c r="FE411" s="121"/>
      <c r="FF411" s="119"/>
      <c r="FG411" s="120"/>
      <c r="FH411" s="120"/>
      <c r="FI411" s="120"/>
      <c r="FJ411" s="120"/>
      <c r="FK411" s="120"/>
      <c r="FL411" s="121"/>
      <c r="FM411" s="119"/>
      <c r="FN411" s="120"/>
      <c r="FO411" s="120"/>
      <c r="FP411" s="120"/>
      <c r="FQ411" s="120"/>
      <c r="FR411" s="120"/>
      <c r="FS411" s="121"/>
      <c r="FT411" s="119"/>
      <c r="FU411" s="120"/>
      <c r="FV411" s="120"/>
      <c r="FW411" s="120"/>
      <c r="FX411" s="120"/>
      <c r="FY411" s="120"/>
      <c r="FZ411" s="121"/>
      <c r="GA411" s="119"/>
      <c r="GB411" s="120"/>
      <c r="GC411" s="120"/>
      <c r="GD411" s="120"/>
      <c r="GE411" s="120"/>
      <c r="GF411" s="120"/>
      <c r="GG411" s="121"/>
      <c r="GH411" s="119"/>
      <c r="GI411" s="120"/>
      <c r="GJ411" s="120"/>
      <c r="GK411" s="120"/>
      <c r="GL411" s="120"/>
      <c r="GM411" s="120"/>
      <c r="GN411" s="121"/>
      <c r="GO411" s="119"/>
      <c r="GP411" s="120"/>
      <c r="GQ411" s="120"/>
      <c r="GR411" s="120"/>
      <c r="GS411" s="120"/>
      <c r="GT411" s="120"/>
      <c r="GU411" s="121"/>
      <c r="GV411" s="119"/>
      <c r="GW411" s="120"/>
      <c r="GX411" s="120"/>
      <c r="GY411" s="120"/>
      <c r="GZ411" s="120"/>
      <c r="HA411" s="120"/>
      <c r="HB411" s="121"/>
      <c r="HC411" s="119"/>
      <c r="HD411" s="120"/>
      <c r="HE411" s="120"/>
      <c r="HF411" s="120"/>
      <c r="HG411" s="120"/>
      <c r="HH411" s="120"/>
      <c r="HI411" s="121"/>
      <c r="HJ411" s="119"/>
      <c r="HK411" s="120"/>
      <c r="HL411" s="120"/>
      <c r="HM411" s="120"/>
      <c r="HN411" s="120"/>
      <c r="HO411" s="120"/>
      <c r="HP411" s="121"/>
      <c r="HQ411" s="119"/>
      <c r="HR411" s="120"/>
      <c r="HS411" s="120"/>
      <c r="HT411" s="120"/>
      <c r="HU411" s="120"/>
      <c r="HV411" s="120"/>
      <c r="HW411" s="121"/>
      <c r="HX411" s="119"/>
      <c r="HY411" s="120"/>
      <c r="HZ411" s="120"/>
      <c r="IA411" s="120"/>
      <c r="IB411" s="120"/>
      <c r="IC411" s="120"/>
      <c r="ID411" s="121"/>
      <c r="IE411" s="119"/>
      <c r="IF411" s="120"/>
      <c r="IG411" s="120"/>
      <c r="IH411" s="120"/>
      <c r="II411" s="120"/>
      <c r="IJ411" s="120"/>
      <c r="IK411" s="121"/>
      <c r="IL411" s="119"/>
      <c r="IM411" s="120"/>
      <c r="IN411" s="120"/>
      <c r="IO411" s="120"/>
      <c r="IP411" s="120"/>
      <c r="IQ411" s="120"/>
      <c r="IR411" s="121"/>
      <c r="IS411" s="119"/>
      <c r="IT411" s="120"/>
      <c r="IU411" s="120"/>
      <c r="IV411" s="120"/>
      <c r="IW411" s="120"/>
      <c r="IX411" s="120"/>
      <c r="IY411" s="121"/>
      <c r="IZ411" s="119"/>
      <c r="JA411" s="120"/>
      <c r="JB411" s="120"/>
      <c r="JC411" s="120"/>
      <c r="JD411" s="120"/>
      <c r="JE411" s="120"/>
      <c r="JF411" s="121"/>
      <c r="JG411" s="119"/>
      <c r="JH411" s="120"/>
      <c r="JI411" s="120"/>
      <c r="JJ411" s="120"/>
      <c r="JK411" s="120"/>
      <c r="JL411" s="120"/>
      <c r="JM411" s="121"/>
      <c r="JN411" s="119"/>
      <c r="JO411" s="120"/>
      <c r="JP411" s="120"/>
      <c r="JQ411" s="120"/>
      <c r="JR411" s="120"/>
      <c r="JS411" s="120"/>
      <c r="JT411" s="121"/>
      <c r="JU411" s="119"/>
      <c r="JV411" s="120"/>
      <c r="JW411" s="120"/>
      <c r="JX411" s="120"/>
      <c r="JY411" s="120"/>
      <c r="JZ411" s="120"/>
      <c r="KA411" s="121"/>
      <c r="KB411" s="119"/>
      <c r="KC411" s="120"/>
      <c r="KD411" s="120"/>
      <c r="KE411" s="120"/>
      <c r="KF411" s="120"/>
      <c r="KG411" s="120"/>
      <c r="KH411" s="121"/>
      <c r="KI411" s="119"/>
      <c r="KJ411" s="120"/>
      <c r="KK411" s="120"/>
      <c r="KL411" s="120"/>
      <c r="KM411" s="120"/>
      <c r="KN411" s="120"/>
      <c r="KO411" s="121"/>
      <c r="KP411" s="119"/>
      <c r="KQ411" s="120"/>
      <c r="KR411" s="120"/>
      <c r="KS411" s="120"/>
      <c r="KT411" s="120"/>
      <c r="KU411" s="120"/>
      <c r="KV411" s="121"/>
      <c r="KW411" s="119"/>
      <c r="KX411" s="120"/>
      <c r="KY411" s="120"/>
      <c r="KZ411" s="120"/>
      <c r="LA411" s="120"/>
      <c r="LB411" s="120"/>
      <c r="LC411" s="121"/>
      <c r="LD411" s="119"/>
      <c r="LE411" s="120"/>
      <c r="LF411" s="120"/>
      <c r="LG411" s="120"/>
      <c r="LH411" s="120"/>
      <c r="LI411" s="120"/>
      <c r="LJ411" s="121"/>
      <c r="LK411" s="119"/>
      <c r="LL411" s="120"/>
      <c r="LM411" s="120"/>
      <c r="LN411" s="120"/>
      <c r="LO411" s="120"/>
      <c r="LP411" s="120"/>
      <c r="LQ411" s="121"/>
      <c r="LR411" s="119"/>
      <c r="LS411" s="120"/>
      <c r="LT411" s="120"/>
      <c r="LU411" s="120"/>
      <c r="LV411" s="120"/>
      <c r="LW411" s="120"/>
      <c r="LX411" s="121"/>
      <c r="LY411" s="119"/>
      <c r="LZ411" s="120"/>
      <c r="MA411" s="120"/>
      <c r="MB411" s="120"/>
      <c r="MC411" s="120"/>
      <c r="MD411" s="120"/>
      <c r="ME411" s="121"/>
      <c r="MF411" s="119"/>
      <c r="MG411" s="120"/>
      <c r="MH411" s="120"/>
      <c r="MI411" s="120"/>
      <c r="MJ411" s="120"/>
      <c r="MK411" s="120"/>
      <c r="ML411" s="121"/>
      <c r="MM411" s="119"/>
      <c r="MN411" s="120"/>
      <c r="MO411" s="120"/>
      <c r="MP411" s="120"/>
      <c r="MQ411" s="120"/>
      <c r="MR411" s="120"/>
      <c r="MS411" s="121"/>
      <c r="MT411" s="119"/>
      <c r="MU411" s="120"/>
      <c r="MV411" s="120"/>
      <c r="MW411" s="120"/>
      <c r="MX411" s="120"/>
      <c r="MY411" s="120"/>
      <c r="MZ411" s="121"/>
      <c r="NA411" s="119"/>
      <c r="NB411" s="120"/>
      <c r="NC411" s="120"/>
      <c r="ND411" s="120"/>
      <c r="NE411" s="120"/>
      <c r="NF411" s="120"/>
      <c r="NG411" s="121"/>
      <c r="NH411" s="119"/>
      <c r="NI411" s="120"/>
      <c r="NJ411" s="120"/>
      <c r="NK411" s="120"/>
      <c r="NL411" s="120"/>
      <c r="NM411" s="120"/>
      <c r="NN411" s="121"/>
      <c r="NO411" s="119"/>
      <c r="NP411" s="120"/>
      <c r="NQ411" s="120"/>
      <c r="NR411" s="120"/>
      <c r="NS411" s="120"/>
      <c r="NT411" s="120"/>
      <c r="NU411" s="121"/>
      <c r="NV411" s="119"/>
      <c r="NW411" s="120"/>
      <c r="NX411" s="120"/>
      <c r="NY411" s="120"/>
      <c r="NZ411" s="120"/>
      <c r="OA411" s="120"/>
      <c r="OB411" s="121"/>
      <c r="OC411" s="119"/>
      <c r="OD411" s="120"/>
      <c r="OE411" s="120"/>
      <c r="OF411" s="120"/>
      <c r="OG411" s="120"/>
      <c r="OH411" s="120"/>
      <c r="OI411" s="121"/>
      <c r="OJ411" s="119"/>
      <c r="OK411" s="120"/>
      <c r="OL411" s="120"/>
      <c r="OM411" s="120"/>
      <c r="ON411" s="120"/>
      <c r="OO411" s="120"/>
      <c r="OP411" s="121"/>
      <c r="OQ411" s="119"/>
      <c r="OR411" s="120"/>
      <c r="OS411" s="120"/>
      <c r="OT411" s="120"/>
      <c r="OU411" s="120"/>
      <c r="OV411" s="120"/>
      <c r="OW411" s="121"/>
      <c r="OX411" s="119"/>
      <c r="OY411" s="120"/>
      <c r="OZ411" s="120"/>
      <c r="PA411" s="120"/>
      <c r="PB411" s="120"/>
      <c r="PC411" s="120"/>
      <c r="PD411" s="121"/>
      <c r="PE411" s="119"/>
      <c r="PF411" s="120"/>
      <c r="PG411" s="120"/>
      <c r="PH411" s="120"/>
      <c r="PI411" s="120"/>
      <c r="PJ411" s="120"/>
      <c r="PK411" s="121"/>
      <c r="PL411" s="119"/>
      <c r="PM411" s="120"/>
      <c r="PN411" s="120"/>
      <c r="PO411" s="120"/>
      <c r="PP411" s="120"/>
      <c r="PQ411" s="120"/>
      <c r="PR411" s="121"/>
      <c r="PS411" s="119"/>
      <c r="PT411" s="120"/>
      <c r="PU411" s="120"/>
      <c r="PV411" s="120"/>
      <c r="PW411" s="120"/>
      <c r="PX411" s="120"/>
      <c r="PY411" s="121"/>
      <c r="PZ411" s="119"/>
      <c r="QA411" s="120"/>
      <c r="QB411" s="120"/>
      <c r="QC411" s="120"/>
      <c r="QD411" s="120"/>
      <c r="QE411" s="120"/>
      <c r="QF411" s="121"/>
      <c r="QG411" s="119"/>
      <c r="QH411" s="120"/>
      <c r="QI411" s="120"/>
      <c r="QJ411" s="120"/>
      <c r="QK411" s="120"/>
      <c r="QL411" s="120"/>
      <c r="QM411" s="121"/>
      <c r="QN411" s="119"/>
      <c r="QO411" s="120"/>
      <c r="QP411" s="120"/>
      <c r="QQ411" s="120"/>
      <c r="QR411" s="120"/>
      <c r="QS411" s="120"/>
      <c r="QT411" s="121"/>
      <c r="QU411" s="119"/>
      <c r="QV411" s="120"/>
      <c r="QW411" s="120"/>
      <c r="QX411" s="120"/>
      <c r="QY411" s="120"/>
      <c r="QZ411" s="120"/>
      <c r="RA411" s="121"/>
      <c r="RB411" s="119"/>
      <c r="RC411" s="120"/>
      <c r="RD411" s="120"/>
      <c r="RE411" s="120"/>
      <c r="RF411" s="120"/>
      <c r="RG411" s="120"/>
      <c r="RH411" s="121"/>
      <c r="RI411" s="119"/>
      <c r="RJ411" s="120"/>
      <c r="RK411" s="120"/>
      <c r="RL411" s="120"/>
      <c r="RM411" s="120"/>
      <c r="RN411" s="120"/>
      <c r="RO411" s="121"/>
      <c r="RP411" s="119"/>
      <c r="RQ411" s="120"/>
      <c r="RR411" s="120"/>
      <c r="RS411" s="120"/>
      <c r="RT411" s="120"/>
      <c r="RU411" s="120"/>
      <c r="RV411" s="121"/>
      <c r="RW411" s="119"/>
      <c r="RX411" s="120"/>
      <c r="RY411" s="120"/>
      <c r="RZ411" s="120"/>
      <c r="SA411" s="120"/>
      <c r="SB411" s="120"/>
      <c r="SC411" s="121"/>
      <c r="SD411" s="119"/>
      <c r="SE411" s="120"/>
      <c r="SF411" s="120"/>
      <c r="SG411" s="120"/>
      <c r="SH411" s="120"/>
      <c r="SI411" s="120"/>
      <c r="SJ411" s="121"/>
      <c r="SK411" s="119"/>
      <c r="SL411" s="120"/>
      <c r="SM411" s="120"/>
      <c r="SN411" s="120"/>
      <c r="SO411" s="120"/>
      <c r="SP411" s="120"/>
      <c r="SQ411" s="121"/>
      <c r="SR411" s="119"/>
      <c r="SS411" s="120"/>
      <c r="ST411" s="120"/>
      <c r="SU411" s="120"/>
      <c r="SV411" s="120"/>
      <c r="SW411" s="120"/>
      <c r="SX411" s="121"/>
      <c r="SY411" s="119"/>
      <c r="SZ411" s="120"/>
      <c r="TA411" s="120"/>
      <c r="TB411" s="120"/>
      <c r="TC411" s="120"/>
      <c r="TD411" s="120"/>
      <c r="TE411" s="121"/>
      <c r="TF411" s="119"/>
      <c r="TG411" s="120"/>
      <c r="TH411" s="120"/>
      <c r="TI411" s="120"/>
      <c r="TJ411" s="120"/>
      <c r="TK411" s="120"/>
      <c r="TL411" s="121"/>
      <c r="TM411" s="119"/>
      <c r="TN411" s="120"/>
      <c r="TO411" s="120"/>
      <c r="TP411" s="120"/>
      <c r="TQ411" s="120"/>
      <c r="TR411" s="120"/>
      <c r="TS411" s="121"/>
      <c r="TT411" s="119"/>
      <c r="TU411" s="120"/>
      <c r="TV411" s="120"/>
      <c r="TW411" s="120"/>
      <c r="TX411" s="120"/>
      <c r="TY411" s="120"/>
      <c r="TZ411" s="121"/>
      <c r="UA411" s="119"/>
      <c r="UB411" s="120"/>
      <c r="UC411" s="120"/>
      <c r="UD411" s="120"/>
      <c r="UE411" s="120"/>
      <c r="UF411" s="120"/>
      <c r="UG411" s="121"/>
      <c r="UH411" s="119"/>
      <c r="UI411" s="120"/>
      <c r="UJ411" s="120"/>
      <c r="UK411" s="120"/>
      <c r="UL411" s="120"/>
      <c r="UM411" s="120"/>
      <c r="UN411" s="121"/>
      <c r="UO411" s="119"/>
      <c r="UP411" s="120"/>
      <c r="UQ411" s="120"/>
      <c r="UR411" s="120"/>
      <c r="US411" s="120"/>
      <c r="UT411" s="120"/>
      <c r="UU411" s="121"/>
      <c r="UV411" s="119"/>
      <c r="UW411" s="120"/>
      <c r="UX411" s="120"/>
      <c r="UY411" s="120"/>
      <c r="UZ411" s="120"/>
      <c r="VA411" s="120"/>
      <c r="VB411" s="121"/>
      <c r="VC411" s="119"/>
      <c r="VD411" s="120"/>
      <c r="VE411" s="120"/>
      <c r="VF411" s="120"/>
      <c r="VG411" s="120"/>
      <c r="VH411" s="120"/>
      <c r="VI411" s="121"/>
      <c r="VJ411" s="119"/>
      <c r="VK411" s="120"/>
      <c r="VL411" s="120"/>
      <c r="VM411" s="120"/>
      <c r="VN411" s="120"/>
      <c r="VO411" s="120"/>
      <c r="VP411" s="121"/>
      <c r="VQ411" s="119"/>
      <c r="VR411" s="120"/>
      <c r="VS411" s="120"/>
      <c r="VT411" s="120"/>
      <c r="VU411" s="120"/>
      <c r="VV411" s="120"/>
      <c r="VW411" s="121"/>
      <c r="VX411" s="119"/>
      <c r="VY411" s="120"/>
      <c r="VZ411" s="120"/>
      <c r="WA411" s="120"/>
      <c r="WB411" s="120"/>
      <c r="WC411" s="120"/>
      <c r="WD411" s="121"/>
      <c r="WE411" s="119"/>
      <c r="WF411" s="120"/>
      <c r="WG411" s="120"/>
      <c r="WH411" s="120"/>
      <c r="WI411" s="120"/>
      <c r="WJ411" s="120"/>
      <c r="WK411" s="121"/>
      <c r="WL411" s="119"/>
      <c r="WM411" s="120"/>
      <c r="WN411" s="120"/>
      <c r="WO411" s="120"/>
      <c r="WP411" s="120"/>
      <c r="WQ411" s="120"/>
      <c r="WR411" s="121"/>
      <c r="WS411" s="119"/>
      <c r="WT411" s="120"/>
      <c r="WU411" s="120"/>
      <c r="WV411" s="120"/>
      <c r="WW411" s="120"/>
      <c r="WX411" s="120"/>
      <c r="WY411" s="121"/>
      <c r="WZ411" s="119"/>
      <c r="XA411" s="120"/>
      <c r="XB411" s="120"/>
      <c r="XC411" s="120"/>
      <c r="XD411" s="120"/>
      <c r="XE411" s="120"/>
      <c r="XF411" s="121"/>
      <c r="XG411" s="119"/>
      <c r="XH411" s="120"/>
      <c r="XI411" s="120"/>
      <c r="XJ411" s="120"/>
      <c r="XK411" s="120"/>
      <c r="XL411" s="120"/>
      <c r="XM411" s="121"/>
      <c r="XN411" s="119"/>
      <c r="XO411" s="120"/>
      <c r="XP411" s="120"/>
      <c r="XQ411" s="120"/>
      <c r="XR411" s="120"/>
      <c r="XS411" s="120"/>
      <c r="XT411" s="121"/>
      <c r="XU411" s="119"/>
      <c r="XV411" s="120"/>
      <c r="XW411" s="120"/>
      <c r="XX411" s="120"/>
      <c r="XY411" s="120"/>
      <c r="XZ411" s="120"/>
      <c r="YA411" s="121"/>
      <c r="YB411" s="119"/>
      <c r="YC411" s="120"/>
      <c r="YD411" s="120"/>
      <c r="YE411" s="120"/>
      <c r="YF411" s="120"/>
      <c r="YG411" s="120"/>
      <c r="YH411" s="121"/>
      <c r="YI411" s="119"/>
      <c r="YJ411" s="120"/>
      <c r="YK411" s="120"/>
      <c r="YL411" s="120"/>
      <c r="YM411" s="120"/>
      <c r="YN411" s="120"/>
      <c r="YO411" s="121"/>
      <c r="YP411" s="119"/>
      <c r="YQ411" s="120"/>
      <c r="YR411" s="120"/>
      <c r="YS411" s="120"/>
      <c r="YT411" s="120"/>
      <c r="YU411" s="120"/>
      <c r="YV411" s="121"/>
      <c r="YW411" s="119"/>
      <c r="YX411" s="120"/>
      <c r="YY411" s="120"/>
      <c r="YZ411" s="120"/>
      <c r="ZA411" s="120"/>
      <c r="ZB411" s="120"/>
      <c r="ZC411" s="121"/>
      <c r="ZD411" s="119"/>
      <c r="ZE411" s="120"/>
      <c r="ZF411" s="120"/>
      <c r="ZG411" s="120"/>
      <c r="ZH411" s="120"/>
      <c r="ZI411" s="120"/>
      <c r="ZJ411" s="121"/>
      <c r="ZK411" s="119"/>
      <c r="ZL411" s="120"/>
      <c r="ZM411" s="120"/>
      <c r="ZN411" s="120"/>
      <c r="ZO411" s="120"/>
      <c r="ZP411" s="120"/>
      <c r="ZQ411" s="121"/>
      <c r="ZR411" s="119"/>
      <c r="ZS411" s="120"/>
      <c r="ZT411" s="120"/>
      <c r="ZU411" s="120"/>
      <c r="ZV411" s="120"/>
      <c r="ZW411" s="120"/>
      <c r="ZX411" s="121"/>
      <c r="ZY411" s="119"/>
      <c r="ZZ411" s="120"/>
      <c r="AAA411" s="120"/>
      <c r="AAB411" s="120"/>
      <c r="AAC411" s="120"/>
      <c r="AAD411" s="120"/>
      <c r="AAE411" s="121"/>
      <c r="AAF411" s="119"/>
      <c r="AAG411" s="120"/>
      <c r="AAH411" s="120"/>
      <c r="AAI411" s="120"/>
      <c r="AAJ411" s="120"/>
      <c r="AAK411" s="120"/>
      <c r="AAL411" s="121"/>
      <c r="AAM411" s="119"/>
      <c r="AAN411" s="120"/>
      <c r="AAO411" s="120"/>
      <c r="AAP411" s="120"/>
      <c r="AAQ411" s="120"/>
      <c r="AAR411" s="120"/>
      <c r="AAS411" s="121"/>
      <c r="AAT411" s="119"/>
      <c r="AAU411" s="120"/>
      <c r="AAV411" s="120"/>
      <c r="AAW411" s="120"/>
      <c r="AAX411" s="120"/>
      <c r="AAY411" s="120"/>
      <c r="AAZ411" s="121"/>
      <c r="ABA411" s="119"/>
      <c r="ABB411" s="120"/>
      <c r="ABC411" s="120"/>
      <c r="ABD411" s="120"/>
      <c r="ABE411" s="120"/>
      <c r="ABF411" s="120"/>
      <c r="ABG411" s="121"/>
      <c r="ABH411" s="119"/>
      <c r="ABI411" s="120"/>
      <c r="ABJ411" s="120"/>
      <c r="ABK411" s="120"/>
      <c r="ABL411" s="120"/>
      <c r="ABM411" s="120"/>
      <c r="ABN411" s="121"/>
      <c r="ABO411" s="119"/>
      <c r="ABP411" s="120"/>
      <c r="ABQ411" s="120"/>
      <c r="ABR411" s="120"/>
      <c r="ABS411" s="120"/>
      <c r="ABT411" s="120"/>
      <c r="ABU411" s="121"/>
      <c r="ABV411" s="119"/>
      <c r="ABW411" s="120"/>
      <c r="ABX411" s="120"/>
      <c r="ABY411" s="120"/>
      <c r="ABZ411" s="120"/>
      <c r="ACA411" s="120"/>
      <c r="ACB411" s="121"/>
      <c r="ACC411" s="119"/>
      <c r="ACD411" s="120"/>
      <c r="ACE411" s="120"/>
      <c r="ACF411" s="120"/>
      <c r="ACG411" s="120"/>
      <c r="ACH411" s="120"/>
      <c r="ACI411" s="121"/>
      <c r="ACJ411" s="119"/>
      <c r="ACK411" s="120"/>
      <c r="ACL411" s="120"/>
      <c r="ACM411" s="120"/>
      <c r="ACN411" s="120"/>
      <c r="ACO411" s="120"/>
      <c r="ACP411" s="121"/>
      <c r="ACQ411" s="119"/>
      <c r="ACR411" s="120"/>
      <c r="ACS411" s="120"/>
      <c r="ACT411" s="120"/>
      <c r="ACU411" s="120"/>
      <c r="ACV411" s="120"/>
      <c r="ACW411" s="121"/>
      <c r="ACX411" s="119"/>
      <c r="ACY411" s="120"/>
      <c r="ACZ411" s="120"/>
      <c r="ADA411" s="120"/>
      <c r="ADB411" s="120"/>
      <c r="ADC411" s="120"/>
      <c r="ADD411" s="121"/>
      <c r="ADE411" s="119"/>
      <c r="ADF411" s="120"/>
      <c r="ADG411" s="120"/>
      <c r="ADH411" s="120"/>
      <c r="ADI411" s="120"/>
      <c r="ADJ411" s="120"/>
      <c r="ADK411" s="121"/>
      <c r="ADL411" s="119"/>
      <c r="ADM411" s="120"/>
      <c r="ADN411" s="120"/>
      <c r="ADO411" s="120"/>
      <c r="ADP411" s="120"/>
      <c r="ADQ411" s="120"/>
      <c r="ADR411" s="121"/>
      <c r="ADS411" s="119"/>
      <c r="ADT411" s="120"/>
      <c r="ADU411" s="120"/>
      <c r="ADV411" s="120"/>
      <c r="ADW411" s="120"/>
      <c r="ADX411" s="120"/>
      <c r="ADY411" s="121"/>
      <c r="ADZ411" s="119"/>
      <c r="AEA411" s="120"/>
      <c r="AEB411" s="120"/>
      <c r="AEC411" s="120"/>
      <c r="AED411" s="120"/>
      <c r="AEE411" s="120"/>
      <c r="AEF411" s="121"/>
      <c r="AEG411" s="119"/>
      <c r="AEH411" s="120"/>
      <c r="AEI411" s="120"/>
      <c r="AEJ411" s="120"/>
      <c r="AEK411" s="120"/>
      <c r="AEL411" s="120"/>
      <c r="AEM411" s="121"/>
      <c r="AEN411" s="119"/>
      <c r="AEO411" s="120"/>
      <c r="AEP411" s="120"/>
      <c r="AEQ411" s="120"/>
      <c r="AER411" s="120"/>
      <c r="AES411" s="120"/>
      <c r="AET411" s="121"/>
      <c r="AEU411" s="119"/>
      <c r="AEV411" s="120"/>
      <c r="AEW411" s="120"/>
      <c r="AEX411" s="120"/>
      <c r="AEY411" s="120"/>
      <c r="AEZ411" s="120"/>
      <c r="AFA411" s="121"/>
      <c r="AFB411" s="119"/>
      <c r="AFC411" s="120"/>
      <c r="AFD411" s="120"/>
      <c r="AFE411" s="120"/>
      <c r="AFF411" s="120"/>
      <c r="AFG411" s="120"/>
      <c r="AFH411" s="121"/>
      <c r="AFI411" s="119"/>
      <c r="AFJ411" s="120"/>
      <c r="AFK411" s="120"/>
      <c r="AFL411" s="120"/>
      <c r="AFM411" s="120"/>
      <c r="AFN411" s="120"/>
      <c r="AFO411" s="121"/>
      <c r="AFP411" s="119"/>
      <c r="AFQ411" s="120"/>
      <c r="AFR411" s="120"/>
      <c r="AFS411" s="120"/>
      <c r="AFT411" s="120"/>
      <c r="AFU411" s="120"/>
      <c r="AFV411" s="121"/>
      <c r="AFW411" s="119"/>
      <c r="AFX411" s="120"/>
      <c r="AFY411" s="120"/>
      <c r="AFZ411" s="120"/>
      <c r="AGA411" s="120"/>
      <c r="AGB411" s="120"/>
      <c r="AGC411" s="121"/>
      <c r="AGD411" s="119"/>
      <c r="AGE411" s="120"/>
      <c r="AGF411" s="120"/>
      <c r="AGG411" s="120"/>
      <c r="AGH411" s="120"/>
      <c r="AGI411" s="120"/>
      <c r="AGJ411" s="121"/>
      <c r="AGK411" s="119"/>
      <c r="AGL411" s="120"/>
      <c r="AGM411" s="120"/>
      <c r="AGN411" s="120"/>
      <c r="AGO411" s="120"/>
      <c r="AGP411" s="120"/>
      <c r="AGQ411" s="121"/>
      <c r="AGR411" s="119"/>
      <c r="AGS411" s="120"/>
      <c r="AGT411" s="120"/>
      <c r="AGU411" s="120"/>
      <c r="AGV411" s="120"/>
      <c r="AGW411" s="120"/>
      <c r="AGX411" s="121"/>
      <c r="AGY411" s="119"/>
      <c r="AGZ411" s="120"/>
      <c r="AHA411" s="120"/>
      <c r="AHB411" s="120"/>
      <c r="AHC411" s="120"/>
      <c r="AHD411" s="120"/>
      <c r="AHE411" s="121"/>
      <c r="AHF411" s="119"/>
      <c r="AHG411" s="120"/>
      <c r="AHH411" s="120"/>
      <c r="AHI411" s="120"/>
      <c r="AHJ411" s="120"/>
      <c r="AHK411" s="120"/>
      <c r="AHL411" s="121"/>
      <c r="AHM411" s="119"/>
      <c r="AHN411" s="120"/>
      <c r="AHO411" s="120"/>
      <c r="AHP411" s="120"/>
      <c r="AHQ411" s="120"/>
      <c r="AHR411" s="120"/>
      <c r="AHS411" s="121"/>
      <c r="AHT411" s="119"/>
      <c r="AHU411" s="120"/>
      <c r="AHV411" s="120"/>
      <c r="AHW411" s="120"/>
      <c r="AHX411" s="120"/>
      <c r="AHY411" s="120"/>
      <c r="AHZ411" s="121"/>
      <c r="AIA411" s="119"/>
      <c r="AIB411" s="120"/>
      <c r="AIC411" s="120"/>
      <c r="AID411" s="120"/>
      <c r="AIE411" s="120"/>
      <c r="AIF411" s="120"/>
      <c r="AIG411" s="121"/>
      <c r="AIH411" s="119"/>
      <c r="AII411" s="120"/>
      <c r="AIJ411" s="120"/>
      <c r="AIK411" s="120"/>
      <c r="AIL411" s="120"/>
      <c r="AIM411" s="120"/>
      <c r="AIN411" s="121"/>
      <c r="AIO411" s="119"/>
      <c r="AIP411" s="120"/>
      <c r="AIQ411" s="120"/>
      <c r="AIR411" s="120"/>
      <c r="AIS411" s="120"/>
      <c r="AIT411" s="120"/>
      <c r="AIU411" s="121"/>
      <c r="AIV411" s="119"/>
      <c r="AIW411" s="120"/>
      <c r="AIX411" s="120"/>
      <c r="AIY411" s="120"/>
      <c r="AIZ411" s="120"/>
      <c r="AJA411" s="120"/>
      <c r="AJB411" s="121"/>
      <c r="AJC411" s="119"/>
      <c r="AJD411" s="120"/>
      <c r="AJE411" s="120"/>
      <c r="AJF411" s="120"/>
      <c r="AJG411" s="120"/>
      <c r="AJH411" s="120"/>
      <c r="AJI411" s="121"/>
      <c r="AJJ411" s="119"/>
      <c r="AJK411" s="120"/>
      <c r="AJL411" s="120"/>
      <c r="AJM411" s="120"/>
      <c r="AJN411" s="120"/>
      <c r="AJO411" s="120"/>
      <c r="AJP411" s="121"/>
      <c r="AJQ411" s="119"/>
      <c r="AJR411" s="120"/>
      <c r="AJS411" s="120"/>
      <c r="AJT411" s="120"/>
      <c r="AJU411" s="120"/>
      <c r="AJV411" s="120"/>
      <c r="AJW411" s="121"/>
      <c r="AJX411" s="119"/>
      <c r="AJY411" s="120"/>
      <c r="AJZ411" s="120"/>
      <c r="AKA411" s="120"/>
      <c r="AKB411" s="120"/>
      <c r="AKC411" s="120"/>
      <c r="AKD411" s="121"/>
      <c r="AKE411" s="119"/>
      <c r="AKF411" s="120"/>
      <c r="AKG411" s="120"/>
      <c r="AKH411" s="120"/>
      <c r="AKI411" s="120"/>
      <c r="AKJ411" s="120"/>
      <c r="AKK411" s="121"/>
      <c r="AKL411" s="119"/>
      <c r="AKM411" s="120"/>
      <c r="AKN411" s="120"/>
      <c r="AKO411" s="120"/>
      <c r="AKP411" s="120"/>
      <c r="AKQ411" s="120"/>
      <c r="AKR411" s="121"/>
      <c r="AKS411" s="119"/>
      <c r="AKT411" s="120"/>
      <c r="AKU411" s="120"/>
      <c r="AKV411" s="120"/>
      <c r="AKW411" s="120"/>
      <c r="AKX411" s="120"/>
      <c r="AKY411" s="121"/>
      <c r="AKZ411" s="119"/>
      <c r="ALA411" s="120"/>
      <c r="ALB411" s="120"/>
      <c r="ALC411" s="120"/>
      <c r="ALD411" s="120"/>
      <c r="ALE411" s="120"/>
      <c r="ALF411" s="121"/>
      <c r="ALG411" s="119"/>
      <c r="ALH411" s="120"/>
      <c r="ALI411" s="120"/>
      <c r="ALJ411" s="120"/>
      <c r="ALK411" s="120"/>
      <c r="ALL411" s="120"/>
      <c r="ALM411" s="121"/>
      <c r="ALN411" s="119"/>
      <c r="ALO411" s="120"/>
      <c r="ALP411" s="120"/>
      <c r="ALQ411" s="120"/>
      <c r="ALR411" s="120"/>
      <c r="ALS411" s="120"/>
      <c r="ALT411" s="121"/>
      <c r="ALU411" s="119"/>
      <c r="ALV411" s="120"/>
      <c r="ALW411" s="120"/>
      <c r="ALX411" s="120"/>
      <c r="ALY411" s="120"/>
      <c r="ALZ411" s="120"/>
      <c r="AMA411" s="121"/>
      <c r="AMB411" s="119"/>
      <c r="AMC411" s="120"/>
      <c r="AMD411" s="120"/>
      <c r="AME411" s="120"/>
      <c r="AMF411" s="120"/>
      <c r="AMG411" s="120"/>
      <c r="AMH411" s="121"/>
      <c r="AMI411" s="119"/>
      <c r="AMJ411" s="120"/>
      <c r="AMK411" s="120"/>
      <c r="AML411" s="120"/>
      <c r="AMM411" s="120"/>
      <c r="AMN411" s="120"/>
      <c r="AMO411" s="121"/>
      <c r="AMP411" s="119"/>
      <c r="AMQ411" s="120"/>
      <c r="AMR411" s="120"/>
      <c r="AMS411" s="120"/>
      <c r="AMT411" s="120"/>
      <c r="AMU411" s="120"/>
      <c r="AMV411" s="121"/>
      <c r="AMW411" s="119"/>
      <c r="AMX411" s="120"/>
      <c r="AMY411" s="120"/>
      <c r="AMZ411" s="120"/>
      <c r="ANA411" s="120"/>
      <c r="ANB411" s="120"/>
      <c r="ANC411" s="121"/>
      <c r="AND411" s="119"/>
      <c r="ANE411" s="120"/>
      <c r="ANF411" s="120"/>
      <c r="ANG411" s="120"/>
      <c r="ANH411" s="120"/>
      <c r="ANI411" s="120"/>
      <c r="ANJ411" s="121"/>
      <c r="ANK411" s="119"/>
      <c r="ANL411" s="120"/>
      <c r="ANM411" s="120"/>
      <c r="ANN411" s="120"/>
      <c r="ANO411" s="120"/>
      <c r="ANP411" s="120"/>
      <c r="ANQ411" s="121"/>
      <c r="ANR411" s="119"/>
      <c r="ANS411" s="120"/>
      <c r="ANT411" s="120"/>
      <c r="ANU411" s="120"/>
      <c r="ANV411" s="120"/>
      <c r="ANW411" s="120"/>
      <c r="ANX411" s="121"/>
      <c r="ANY411" s="119"/>
      <c r="ANZ411" s="120"/>
      <c r="AOA411" s="120"/>
      <c r="AOB411" s="120"/>
      <c r="AOC411" s="120"/>
      <c r="AOD411" s="120"/>
      <c r="AOE411" s="121"/>
      <c r="AOF411" s="119"/>
      <c r="AOG411" s="120"/>
      <c r="AOH411" s="120"/>
      <c r="AOI411" s="120"/>
      <c r="AOJ411" s="120"/>
      <c r="AOK411" s="120"/>
      <c r="AOL411" s="121"/>
      <c r="AOM411" s="119"/>
      <c r="AON411" s="120"/>
      <c r="AOO411" s="120"/>
      <c r="AOP411" s="120"/>
      <c r="AOQ411" s="120"/>
      <c r="AOR411" s="120"/>
      <c r="AOS411" s="121"/>
      <c r="AOT411" s="119"/>
      <c r="AOU411" s="120"/>
      <c r="AOV411" s="120"/>
      <c r="AOW411" s="120"/>
      <c r="AOX411" s="120"/>
      <c r="AOY411" s="120"/>
      <c r="AOZ411" s="121"/>
      <c r="APA411" s="119"/>
      <c r="APB411" s="120"/>
      <c r="APC411" s="120"/>
      <c r="APD411" s="120"/>
      <c r="APE411" s="120"/>
      <c r="APF411" s="120"/>
      <c r="APG411" s="121"/>
      <c r="APH411" s="119"/>
      <c r="API411" s="120"/>
      <c r="APJ411" s="120"/>
      <c r="APK411" s="120"/>
      <c r="APL411" s="120"/>
      <c r="APM411" s="120"/>
      <c r="APN411" s="121"/>
      <c r="APO411" s="119"/>
      <c r="APP411" s="120"/>
      <c r="APQ411" s="120"/>
      <c r="APR411" s="120"/>
      <c r="APS411" s="120"/>
      <c r="APT411" s="120"/>
      <c r="APU411" s="121"/>
      <c r="APV411" s="119"/>
      <c r="APW411" s="120"/>
      <c r="APX411" s="120"/>
      <c r="APY411" s="120"/>
      <c r="APZ411" s="120"/>
      <c r="AQA411" s="120"/>
      <c r="AQB411" s="121"/>
      <c r="AQC411" s="119"/>
      <c r="AQD411" s="120"/>
      <c r="AQE411" s="120"/>
      <c r="AQF411" s="120"/>
      <c r="AQG411" s="120"/>
      <c r="AQH411" s="120"/>
      <c r="AQI411" s="121"/>
      <c r="AQJ411" s="119"/>
      <c r="AQK411" s="120"/>
      <c r="AQL411" s="120"/>
      <c r="AQM411" s="120"/>
      <c r="AQN411" s="120"/>
      <c r="AQO411" s="120"/>
      <c r="AQP411" s="121"/>
      <c r="AQQ411" s="119"/>
      <c r="AQR411" s="120"/>
      <c r="AQS411" s="120"/>
      <c r="AQT411" s="120"/>
      <c r="AQU411" s="120"/>
      <c r="AQV411" s="120"/>
      <c r="AQW411" s="121"/>
      <c r="AQX411" s="119"/>
      <c r="AQY411" s="120"/>
      <c r="AQZ411" s="120"/>
      <c r="ARA411" s="120"/>
      <c r="ARB411" s="120"/>
      <c r="ARC411" s="120"/>
      <c r="ARD411" s="121"/>
      <c r="ARE411" s="119"/>
      <c r="ARF411" s="120"/>
      <c r="ARG411" s="120"/>
      <c r="ARH411" s="120"/>
      <c r="ARI411" s="120"/>
      <c r="ARJ411" s="120"/>
      <c r="ARK411" s="121"/>
      <c r="ARL411" s="119"/>
      <c r="ARM411" s="120"/>
      <c r="ARN411" s="120"/>
      <c r="ARO411" s="120"/>
      <c r="ARP411" s="120"/>
      <c r="ARQ411" s="120"/>
      <c r="ARR411" s="121"/>
      <c r="ARS411" s="119"/>
      <c r="ART411" s="120"/>
      <c r="ARU411" s="120"/>
      <c r="ARV411" s="120"/>
      <c r="ARW411" s="120"/>
      <c r="ARX411" s="120"/>
      <c r="ARY411" s="121"/>
      <c r="ARZ411" s="119"/>
      <c r="ASA411" s="120"/>
      <c r="ASB411" s="120"/>
      <c r="ASC411" s="120"/>
      <c r="ASD411" s="120"/>
      <c r="ASE411" s="120"/>
      <c r="ASF411" s="121"/>
      <c r="ASG411" s="119"/>
      <c r="ASH411" s="120"/>
      <c r="ASI411" s="120"/>
      <c r="ASJ411" s="120"/>
      <c r="ASK411" s="120"/>
      <c r="ASL411" s="120"/>
      <c r="ASM411" s="121"/>
      <c r="ASN411" s="119"/>
      <c r="ASO411" s="120"/>
      <c r="ASP411" s="120"/>
      <c r="ASQ411" s="120"/>
      <c r="ASR411" s="120"/>
      <c r="ASS411" s="120"/>
      <c r="AST411" s="121"/>
      <c r="ASU411" s="119"/>
      <c r="ASV411" s="120"/>
      <c r="ASW411" s="120"/>
      <c r="ASX411" s="120"/>
      <c r="ASY411" s="120"/>
      <c r="ASZ411" s="120"/>
      <c r="ATA411" s="121"/>
      <c r="ATB411" s="119"/>
      <c r="ATC411" s="120"/>
      <c r="ATD411" s="120"/>
      <c r="ATE411" s="120"/>
      <c r="ATF411" s="120"/>
      <c r="ATG411" s="120"/>
      <c r="ATH411" s="121"/>
      <c r="ATI411" s="119"/>
      <c r="ATJ411" s="120"/>
      <c r="ATK411" s="120"/>
      <c r="ATL411" s="120"/>
      <c r="ATM411" s="120"/>
      <c r="ATN411" s="120"/>
      <c r="ATO411" s="121"/>
      <c r="ATP411" s="119"/>
      <c r="ATQ411" s="120"/>
      <c r="ATR411" s="120"/>
      <c r="ATS411" s="120"/>
      <c r="ATT411" s="120"/>
      <c r="ATU411" s="120"/>
      <c r="ATV411" s="121"/>
      <c r="ATW411" s="119"/>
      <c r="ATX411" s="120"/>
      <c r="ATY411" s="120"/>
      <c r="ATZ411" s="120"/>
      <c r="AUA411" s="120"/>
      <c r="AUB411" s="120"/>
      <c r="AUC411" s="121"/>
      <c r="AUD411" s="119"/>
      <c r="AUE411" s="120"/>
      <c r="AUF411" s="120"/>
      <c r="AUG411" s="120"/>
      <c r="AUH411" s="120"/>
      <c r="AUI411" s="120"/>
      <c r="AUJ411" s="121"/>
      <c r="AUK411" s="119"/>
      <c r="AUL411" s="120"/>
      <c r="AUM411" s="120"/>
      <c r="AUN411" s="120"/>
      <c r="AUO411" s="120"/>
      <c r="AUP411" s="120"/>
      <c r="AUQ411" s="121"/>
      <c r="AUR411" s="119"/>
      <c r="AUS411" s="120"/>
      <c r="AUT411" s="120"/>
      <c r="AUU411" s="120"/>
      <c r="AUV411" s="120"/>
      <c r="AUW411" s="120"/>
      <c r="AUX411" s="121"/>
      <c r="AUY411" s="119"/>
      <c r="AUZ411" s="120"/>
      <c r="AVA411" s="120"/>
      <c r="AVB411" s="120"/>
      <c r="AVC411" s="120"/>
      <c r="AVD411" s="120"/>
      <c r="AVE411" s="121"/>
      <c r="AVF411" s="119"/>
      <c r="AVG411" s="120"/>
      <c r="AVH411" s="120"/>
      <c r="AVI411" s="120"/>
      <c r="AVJ411" s="120"/>
      <c r="AVK411" s="120"/>
      <c r="AVL411" s="121"/>
      <c r="AVM411" s="119"/>
      <c r="AVN411" s="120"/>
      <c r="AVO411" s="120"/>
      <c r="AVP411" s="120"/>
      <c r="AVQ411" s="120"/>
      <c r="AVR411" s="120"/>
      <c r="AVS411" s="121"/>
      <c r="AVT411" s="119"/>
      <c r="AVU411" s="120"/>
      <c r="AVV411" s="120"/>
      <c r="AVW411" s="120"/>
      <c r="AVX411" s="120"/>
      <c r="AVY411" s="120"/>
      <c r="AVZ411" s="121"/>
      <c r="AWA411" s="119"/>
      <c r="AWB411" s="120"/>
      <c r="AWC411" s="120"/>
      <c r="AWD411" s="120"/>
      <c r="AWE411" s="120"/>
      <c r="AWF411" s="120"/>
      <c r="AWG411" s="121"/>
      <c r="AWH411" s="119"/>
      <c r="AWI411" s="120"/>
      <c r="AWJ411" s="120"/>
      <c r="AWK411" s="120"/>
      <c r="AWL411" s="120"/>
      <c r="AWM411" s="120"/>
      <c r="AWN411" s="121"/>
      <c r="AWO411" s="119"/>
      <c r="AWP411" s="120"/>
      <c r="AWQ411" s="120"/>
      <c r="AWR411" s="120"/>
      <c r="AWS411" s="120"/>
      <c r="AWT411" s="120"/>
      <c r="AWU411" s="121"/>
      <c r="AWV411" s="119"/>
      <c r="AWW411" s="120"/>
      <c r="AWX411" s="120"/>
      <c r="AWY411" s="120"/>
      <c r="AWZ411" s="120"/>
      <c r="AXA411" s="120"/>
      <c r="AXB411" s="121"/>
      <c r="AXC411" s="119"/>
      <c r="AXD411" s="120"/>
      <c r="AXE411" s="120"/>
      <c r="AXF411" s="120"/>
      <c r="AXG411" s="120"/>
      <c r="AXH411" s="120"/>
      <c r="AXI411" s="121"/>
      <c r="AXJ411" s="119"/>
      <c r="AXK411" s="120"/>
      <c r="AXL411" s="120"/>
      <c r="AXM411" s="120"/>
      <c r="AXN411" s="120"/>
      <c r="AXO411" s="120"/>
      <c r="AXP411" s="121"/>
      <c r="AXQ411" s="119"/>
      <c r="AXR411" s="120"/>
      <c r="AXS411" s="120"/>
      <c r="AXT411" s="120"/>
      <c r="AXU411" s="120"/>
      <c r="AXV411" s="120"/>
      <c r="AXW411" s="121"/>
      <c r="AXX411" s="119"/>
      <c r="AXY411" s="120"/>
      <c r="AXZ411" s="120"/>
      <c r="AYA411" s="120"/>
      <c r="AYB411" s="120"/>
      <c r="AYC411" s="120"/>
      <c r="AYD411" s="121"/>
      <c r="AYE411" s="119"/>
      <c r="AYF411" s="120"/>
      <c r="AYG411" s="120"/>
      <c r="AYH411" s="120"/>
      <c r="AYI411" s="120"/>
      <c r="AYJ411" s="120"/>
      <c r="AYK411" s="121"/>
      <c r="AYL411" s="119"/>
      <c r="AYM411" s="120"/>
      <c r="AYN411" s="120"/>
      <c r="AYO411" s="120"/>
      <c r="AYP411" s="120"/>
      <c r="AYQ411" s="120"/>
      <c r="AYR411" s="121"/>
      <c r="AYS411" s="119"/>
      <c r="AYT411" s="120"/>
      <c r="AYU411" s="120"/>
      <c r="AYV411" s="120"/>
      <c r="AYW411" s="120"/>
      <c r="AYX411" s="120"/>
      <c r="AYY411" s="121"/>
      <c r="AYZ411" s="119"/>
      <c r="AZA411" s="120"/>
      <c r="AZB411" s="120"/>
      <c r="AZC411" s="120"/>
      <c r="AZD411" s="120"/>
      <c r="AZE411" s="120"/>
      <c r="AZF411" s="121"/>
      <c r="AZG411" s="119"/>
      <c r="AZH411" s="120"/>
      <c r="AZI411" s="120"/>
      <c r="AZJ411" s="120"/>
      <c r="AZK411" s="120"/>
      <c r="AZL411" s="120"/>
      <c r="AZM411" s="121"/>
      <c r="AZN411" s="119"/>
      <c r="AZO411" s="120"/>
      <c r="AZP411" s="120"/>
      <c r="AZQ411" s="120"/>
      <c r="AZR411" s="120"/>
      <c r="AZS411" s="120"/>
      <c r="AZT411" s="121"/>
      <c r="AZU411" s="119"/>
      <c r="AZV411" s="120"/>
      <c r="AZW411" s="120"/>
      <c r="AZX411" s="120"/>
      <c r="AZY411" s="120"/>
      <c r="AZZ411" s="120"/>
      <c r="BAA411" s="121"/>
      <c r="BAB411" s="119"/>
      <c r="BAC411" s="120"/>
      <c r="BAD411" s="120"/>
      <c r="BAE411" s="120"/>
      <c r="BAF411" s="120"/>
      <c r="BAG411" s="120"/>
      <c r="BAH411" s="121"/>
      <c r="BAI411" s="119"/>
      <c r="BAJ411" s="120"/>
      <c r="BAK411" s="120"/>
      <c r="BAL411" s="120"/>
      <c r="BAM411" s="120"/>
      <c r="BAN411" s="120"/>
      <c r="BAO411" s="121"/>
      <c r="BAP411" s="119"/>
      <c r="BAQ411" s="120"/>
      <c r="BAR411" s="120"/>
      <c r="BAS411" s="120"/>
      <c r="BAT411" s="120"/>
      <c r="BAU411" s="120"/>
      <c r="BAV411" s="121"/>
      <c r="BAW411" s="119"/>
      <c r="BAX411" s="120"/>
      <c r="BAY411" s="120"/>
      <c r="BAZ411" s="120"/>
      <c r="BBA411" s="120"/>
      <c r="BBB411" s="120"/>
      <c r="BBC411" s="121"/>
      <c r="BBD411" s="119"/>
      <c r="BBE411" s="120"/>
      <c r="BBF411" s="120"/>
      <c r="BBG411" s="120"/>
      <c r="BBH411" s="120"/>
      <c r="BBI411" s="120"/>
      <c r="BBJ411" s="121"/>
      <c r="BBK411" s="119"/>
      <c r="BBL411" s="120"/>
      <c r="BBM411" s="120"/>
      <c r="BBN411" s="120"/>
      <c r="BBO411" s="120"/>
      <c r="BBP411" s="120"/>
      <c r="BBQ411" s="121"/>
      <c r="BBR411" s="119"/>
      <c r="BBS411" s="120"/>
      <c r="BBT411" s="120"/>
      <c r="BBU411" s="120"/>
      <c r="BBV411" s="120"/>
      <c r="BBW411" s="120"/>
      <c r="BBX411" s="121"/>
      <c r="BBY411" s="119"/>
      <c r="BBZ411" s="120"/>
      <c r="BCA411" s="120"/>
      <c r="BCB411" s="120"/>
      <c r="BCC411" s="120"/>
      <c r="BCD411" s="120"/>
      <c r="BCE411" s="121"/>
      <c r="BCF411" s="119"/>
      <c r="BCG411" s="120"/>
      <c r="BCH411" s="120"/>
      <c r="BCI411" s="120"/>
      <c r="BCJ411" s="120"/>
      <c r="BCK411" s="120"/>
      <c r="BCL411" s="121"/>
      <c r="BCM411" s="119"/>
      <c r="BCN411" s="120"/>
      <c r="BCO411" s="120"/>
      <c r="BCP411" s="120"/>
      <c r="BCQ411" s="120"/>
      <c r="BCR411" s="120"/>
      <c r="BCS411" s="121"/>
      <c r="BCT411" s="119"/>
      <c r="BCU411" s="120"/>
      <c r="BCV411" s="120"/>
      <c r="BCW411" s="120"/>
      <c r="BCX411" s="120"/>
      <c r="BCY411" s="120"/>
      <c r="BCZ411" s="121"/>
      <c r="BDA411" s="119"/>
      <c r="BDB411" s="120"/>
      <c r="BDC411" s="120"/>
      <c r="BDD411" s="120"/>
      <c r="BDE411" s="120"/>
      <c r="BDF411" s="120"/>
      <c r="BDG411" s="121"/>
      <c r="BDH411" s="119"/>
      <c r="BDI411" s="120"/>
      <c r="BDJ411" s="120"/>
      <c r="BDK411" s="120"/>
      <c r="BDL411" s="120"/>
      <c r="BDM411" s="120"/>
      <c r="BDN411" s="121"/>
      <c r="BDO411" s="119"/>
      <c r="BDP411" s="120"/>
      <c r="BDQ411" s="120"/>
      <c r="BDR411" s="120"/>
      <c r="BDS411" s="120"/>
      <c r="BDT411" s="120"/>
      <c r="BDU411" s="121"/>
      <c r="BDV411" s="119"/>
      <c r="BDW411" s="120"/>
      <c r="BDX411" s="120"/>
      <c r="BDY411" s="120"/>
      <c r="BDZ411" s="120"/>
      <c r="BEA411" s="120"/>
      <c r="BEB411" s="121"/>
      <c r="BEC411" s="119"/>
      <c r="BED411" s="120"/>
      <c r="BEE411" s="120"/>
      <c r="BEF411" s="120"/>
      <c r="BEG411" s="120"/>
      <c r="BEH411" s="120"/>
      <c r="BEI411" s="121"/>
      <c r="BEJ411" s="119"/>
      <c r="BEK411" s="120"/>
      <c r="BEL411" s="120"/>
      <c r="BEM411" s="120"/>
      <c r="BEN411" s="120"/>
      <c r="BEO411" s="120"/>
      <c r="BEP411" s="121"/>
      <c r="BEQ411" s="119"/>
      <c r="BER411" s="120"/>
      <c r="BES411" s="120"/>
      <c r="BET411" s="120"/>
      <c r="BEU411" s="120"/>
      <c r="BEV411" s="120"/>
      <c r="BEW411" s="121"/>
      <c r="BEX411" s="119"/>
      <c r="BEY411" s="120"/>
      <c r="BEZ411" s="120"/>
      <c r="BFA411" s="120"/>
      <c r="BFB411" s="120"/>
      <c r="BFC411" s="120"/>
      <c r="BFD411" s="121"/>
      <c r="BFE411" s="119"/>
      <c r="BFF411" s="120"/>
      <c r="BFG411" s="120"/>
      <c r="BFH411" s="120"/>
      <c r="BFI411" s="120"/>
      <c r="BFJ411" s="120"/>
      <c r="BFK411" s="121"/>
      <c r="BFL411" s="119"/>
      <c r="BFM411" s="120"/>
      <c r="BFN411" s="120"/>
      <c r="BFO411" s="120"/>
      <c r="BFP411" s="120"/>
      <c r="BFQ411" s="120"/>
      <c r="BFR411" s="121"/>
      <c r="BFS411" s="119"/>
      <c r="BFT411" s="120"/>
      <c r="BFU411" s="120"/>
      <c r="BFV411" s="120"/>
      <c r="BFW411" s="120"/>
      <c r="BFX411" s="120"/>
      <c r="BFY411" s="121"/>
      <c r="BFZ411" s="119"/>
      <c r="BGA411" s="120"/>
      <c r="BGB411" s="120"/>
      <c r="BGC411" s="120"/>
      <c r="BGD411" s="120"/>
      <c r="BGE411" s="120"/>
      <c r="BGF411" s="121"/>
      <c r="BGG411" s="119"/>
      <c r="BGH411" s="120"/>
      <c r="BGI411" s="120"/>
      <c r="BGJ411" s="120"/>
      <c r="BGK411" s="120"/>
      <c r="BGL411" s="120"/>
      <c r="BGM411" s="121"/>
      <c r="BGN411" s="119"/>
      <c r="BGO411" s="120"/>
      <c r="BGP411" s="120"/>
      <c r="BGQ411" s="120"/>
      <c r="BGR411" s="120"/>
      <c r="BGS411" s="120"/>
      <c r="BGT411" s="121"/>
      <c r="BGU411" s="119"/>
      <c r="BGV411" s="120"/>
      <c r="BGW411" s="120"/>
      <c r="BGX411" s="120"/>
      <c r="BGY411" s="120"/>
      <c r="BGZ411" s="120"/>
      <c r="BHA411" s="121"/>
      <c r="BHB411" s="119"/>
      <c r="BHC411" s="120"/>
      <c r="BHD411" s="120"/>
      <c r="BHE411" s="120"/>
      <c r="BHF411" s="120"/>
      <c r="BHG411" s="120"/>
      <c r="BHH411" s="121"/>
      <c r="BHI411" s="119"/>
      <c r="BHJ411" s="120"/>
      <c r="BHK411" s="120"/>
      <c r="BHL411" s="120"/>
      <c r="BHM411" s="120"/>
      <c r="BHN411" s="120"/>
      <c r="BHO411" s="121"/>
      <c r="BHP411" s="119"/>
      <c r="BHQ411" s="120"/>
      <c r="BHR411" s="120"/>
      <c r="BHS411" s="120"/>
      <c r="BHT411" s="120"/>
      <c r="BHU411" s="120"/>
      <c r="BHV411" s="121"/>
      <c r="BHW411" s="119"/>
      <c r="BHX411" s="120"/>
      <c r="BHY411" s="120"/>
      <c r="BHZ411" s="120"/>
      <c r="BIA411" s="120"/>
      <c r="BIB411" s="120"/>
      <c r="BIC411" s="121"/>
      <c r="BID411" s="119"/>
      <c r="BIE411" s="120"/>
      <c r="BIF411" s="120"/>
      <c r="BIG411" s="120"/>
      <c r="BIH411" s="120"/>
      <c r="BII411" s="120"/>
      <c r="BIJ411" s="121"/>
      <c r="BIK411" s="119"/>
      <c r="BIL411" s="120"/>
      <c r="BIM411" s="120"/>
      <c r="BIN411" s="120"/>
      <c r="BIO411" s="120"/>
      <c r="BIP411" s="120"/>
      <c r="BIQ411" s="121"/>
      <c r="BIR411" s="119"/>
      <c r="BIS411" s="120"/>
      <c r="BIT411" s="120"/>
      <c r="BIU411" s="120"/>
      <c r="BIV411" s="120"/>
      <c r="BIW411" s="120"/>
      <c r="BIX411" s="121"/>
      <c r="BIY411" s="119"/>
      <c r="BIZ411" s="120"/>
      <c r="BJA411" s="120"/>
      <c r="BJB411" s="120"/>
      <c r="BJC411" s="120"/>
      <c r="BJD411" s="120"/>
      <c r="BJE411" s="121"/>
      <c r="BJF411" s="119"/>
      <c r="BJG411" s="120"/>
      <c r="BJH411" s="120"/>
      <c r="BJI411" s="120"/>
      <c r="BJJ411" s="120"/>
      <c r="BJK411" s="120"/>
      <c r="BJL411" s="121"/>
      <c r="BJM411" s="119"/>
      <c r="BJN411" s="120"/>
      <c r="BJO411" s="120"/>
      <c r="BJP411" s="120"/>
      <c r="BJQ411" s="120"/>
      <c r="BJR411" s="120"/>
      <c r="BJS411" s="121"/>
      <c r="BJT411" s="119"/>
      <c r="BJU411" s="120"/>
      <c r="BJV411" s="120"/>
      <c r="BJW411" s="120"/>
      <c r="BJX411" s="120"/>
      <c r="BJY411" s="120"/>
      <c r="BJZ411" s="121"/>
      <c r="BKA411" s="119"/>
      <c r="BKB411" s="120"/>
      <c r="BKC411" s="120"/>
      <c r="BKD411" s="120"/>
      <c r="BKE411" s="120"/>
      <c r="BKF411" s="120"/>
      <c r="BKG411" s="121"/>
      <c r="BKH411" s="119"/>
      <c r="BKI411" s="120"/>
      <c r="BKJ411" s="120"/>
      <c r="BKK411" s="120"/>
      <c r="BKL411" s="120"/>
      <c r="BKM411" s="120"/>
      <c r="BKN411" s="121"/>
      <c r="BKO411" s="119"/>
      <c r="BKP411" s="120"/>
      <c r="BKQ411" s="120"/>
      <c r="BKR411" s="120"/>
      <c r="BKS411" s="120"/>
      <c r="BKT411" s="120"/>
      <c r="BKU411" s="121"/>
      <c r="BKV411" s="119"/>
      <c r="BKW411" s="120"/>
      <c r="BKX411" s="120"/>
      <c r="BKY411" s="120"/>
      <c r="BKZ411" s="120"/>
      <c r="BLA411" s="120"/>
      <c r="BLB411" s="121"/>
      <c r="BLC411" s="119"/>
      <c r="BLD411" s="120"/>
      <c r="BLE411" s="120"/>
      <c r="BLF411" s="120"/>
      <c r="BLG411" s="120"/>
      <c r="BLH411" s="120"/>
      <c r="BLI411" s="121"/>
      <c r="BLJ411" s="119"/>
      <c r="BLK411" s="120"/>
      <c r="BLL411" s="120"/>
      <c r="BLM411" s="120"/>
      <c r="BLN411" s="120"/>
      <c r="BLO411" s="120"/>
      <c r="BLP411" s="121"/>
      <c r="BLQ411" s="119"/>
      <c r="BLR411" s="120"/>
      <c r="BLS411" s="120"/>
      <c r="BLT411" s="120"/>
      <c r="BLU411" s="120"/>
      <c r="BLV411" s="120"/>
      <c r="BLW411" s="121"/>
      <c r="BLX411" s="119"/>
      <c r="BLY411" s="120"/>
      <c r="BLZ411" s="120"/>
      <c r="BMA411" s="120"/>
      <c r="BMB411" s="120"/>
      <c r="BMC411" s="120"/>
      <c r="BMD411" s="121"/>
      <c r="BME411" s="119"/>
      <c r="BMF411" s="120"/>
      <c r="BMG411" s="120"/>
      <c r="BMH411" s="120"/>
      <c r="BMI411" s="120"/>
      <c r="BMJ411" s="120"/>
      <c r="BMK411" s="121"/>
      <c r="BML411" s="119"/>
      <c r="BMM411" s="120"/>
      <c r="BMN411" s="120"/>
      <c r="BMO411" s="120"/>
      <c r="BMP411" s="120"/>
      <c r="BMQ411" s="120"/>
      <c r="BMR411" s="121"/>
      <c r="BMS411" s="119"/>
      <c r="BMT411" s="120"/>
      <c r="BMU411" s="120"/>
      <c r="BMV411" s="120"/>
      <c r="BMW411" s="120"/>
      <c r="BMX411" s="120"/>
      <c r="BMY411" s="121"/>
      <c r="BMZ411" s="119"/>
      <c r="BNA411" s="120"/>
      <c r="BNB411" s="120"/>
      <c r="BNC411" s="120"/>
      <c r="BND411" s="120"/>
      <c r="BNE411" s="120"/>
      <c r="BNF411" s="121"/>
      <c r="BNG411" s="119"/>
      <c r="BNH411" s="120"/>
      <c r="BNI411" s="120"/>
      <c r="BNJ411" s="120"/>
      <c r="BNK411" s="120"/>
      <c r="BNL411" s="120"/>
      <c r="BNM411" s="121"/>
      <c r="BNN411" s="119"/>
      <c r="BNO411" s="120"/>
      <c r="BNP411" s="120"/>
      <c r="BNQ411" s="120"/>
      <c r="BNR411" s="120"/>
      <c r="BNS411" s="120"/>
      <c r="BNT411" s="121"/>
      <c r="BNU411" s="119"/>
      <c r="BNV411" s="120"/>
      <c r="BNW411" s="120"/>
      <c r="BNX411" s="120"/>
      <c r="BNY411" s="120"/>
      <c r="BNZ411" s="120"/>
      <c r="BOA411" s="121"/>
      <c r="BOB411" s="119"/>
      <c r="BOC411" s="120"/>
      <c r="BOD411" s="120"/>
      <c r="BOE411" s="120"/>
      <c r="BOF411" s="120"/>
      <c r="BOG411" s="120"/>
      <c r="BOH411" s="121"/>
      <c r="BOI411" s="119"/>
      <c r="BOJ411" s="120"/>
      <c r="BOK411" s="120"/>
      <c r="BOL411" s="120"/>
      <c r="BOM411" s="120"/>
      <c r="BON411" s="120"/>
      <c r="BOO411" s="121"/>
      <c r="BOP411" s="119"/>
      <c r="BOQ411" s="120"/>
      <c r="BOR411" s="120"/>
      <c r="BOS411" s="120"/>
      <c r="BOT411" s="120"/>
      <c r="BOU411" s="120"/>
      <c r="BOV411" s="121"/>
      <c r="BOW411" s="119"/>
      <c r="BOX411" s="120"/>
      <c r="BOY411" s="120"/>
      <c r="BOZ411" s="120"/>
      <c r="BPA411" s="120"/>
      <c r="BPB411" s="120"/>
      <c r="BPC411" s="121"/>
      <c r="BPD411" s="119"/>
      <c r="BPE411" s="120"/>
      <c r="BPF411" s="120"/>
      <c r="BPG411" s="120"/>
      <c r="BPH411" s="120"/>
      <c r="BPI411" s="120"/>
      <c r="BPJ411" s="121"/>
      <c r="BPK411" s="119"/>
      <c r="BPL411" s="120"/>
      <c r="BPM411" s="120"/>
      <c r="BPN411" s="120"/>
      <c r="BPO411" s="120"/>
      <c r="BPP411" s="120"/>
      <c r="BPQ411" s="121"/>
      <c r="BPR411" s="119"/>
      <c r="BPS411" s="120"/>
      <c r="BPT411" s="120"/>
      <c r="BPU411" s="120"/>
      <c r="BPV411" s="120"/>
      <c r="BPW411" s="120"/>
      <c r="BPX411" s="121"/>
      <c r="BPY411" s="119"/>
      <c r="BPZ411" s="120"/>
      <c r="BQA411" s="120"/>
      <c r="BQB411" s="120"/>
      <c r="BQC411" s="120"/>
      <c r="BQD411" s="120"/>
      <c r="BQE411" s="121"/>
      <c r="BQF411" s="119"/>
      <c r="BQG411" s="120"/>
      <c r="BQH411" s="120"/>
      <c r="BQI411" s="120"/>
      <c r="BQJ411" s="120"/>
      <c r="BQK411" s="120"/>
      <c r="BQL411" s="121"/>
      <c r="BQM411" s="119"/>
      <c r="BQN411" s="120"/>
      <c r="BQO411" s="120"/>
      <c r="BQP411" s="120"/>
      <c r="BQQ411" s="120"/>
      <c r="BQR411" s="120"/>
      <c r="BQS411" s="121"/>
      <c r="BQT411" s="119"/>
      <c r="BQU411" s="120"/>
      <c r="BQV411" s="120"/>
      <c r="BQW411" s="120"/>
      <c r="BQX411" s="120"/>
      <c r="BQY411" s="120"/>
      <c r="BQZ411" s="121"/>
      <c r="BRA411" s="119"/>
      <c r="BRB411" s="120"/>
      <c r="BRC411" s="120"/>
      <c r="BRD411" s="120"/>
      <c r="BRE411" s="120"/>
      <c r="BRF411" s="120"/>
      <c r="BRG411" s="121"/>
      <c r="BRH411" s="119"/>
      <c r="BRI411" s="120"/>
      <c r="BRJ411" s="120"/>
      <c r="BRK411" s="120"/>
      <c r="BRL411" s="120"/>
      <c r="BRM411" s="120"/>
      <c r="BRN411" s="121"/>
      <c r="BRO411" s="119"/>
      <c r="BRP411" s="120"/>
      <c r="BRQ411" s="120"/>
      <c r="BRR411" s="120"/>
      <c r="BRS411" s="120"/>
      <c r="BRT411" s="120"/>
      <c r="BRU411" s="121"/>
      <c r="BRV411" s="119"/>
      <c r="BRW411" s="120"/>
      <c r="BRX411" s="120"/>
      <c r="BRY411" s="120"/>
      <c r="BRZ411" s="120"/>
      <c r="BSA411" s="120"/>
      <c r="BSB411" s="121"/>
      <c r="BSC411" s="119"/>
      <c r="BSD411" s="120"/>
      <c r="BSE411" s="120"/>
      <c r="BSF411" s="120"/>
      <c r="BSG411" s="120"/>
      <c r="BSH411" s="120"/>
      <c r="BSI411" s="121"/>
      <c r="BSJ411" s="119"/>
      <c r="BSK411" s="120"/>
      <c r="BSL411" s="120"/>
      <c r="BSM411" s="120"/>
      <c r="BSN411" s="120"/>
      <c r="BSO411" s="120"/>
      <c r="BSP411" s="121"/>
      <c r="BSQ411" s="119"/>
      <c r="BSR411" s="120"/>
      <c r="BSS411" s="120"/>
      <c r="BST411" s="120"/>
      <c r="BSU411" s="120"/>
      <c r="BSV411" s="120"/>
      <c r="BSW411" s="121"/>
      <c r="BSX411" s="119"/>
      <c r="BSY411" s="120"/>
      <c r="BSZ411" s="120"/>
      <c r="BTA411" s="120"/>
      <c r="BTB411" s="120"/>
      <c r="BTC411" s="120"/>
      <c r="BTD411" s="121"/>
      <c r="BTE411" s="119"/>
      <c r="BTF411" s="120"/>
      <c r="BTG411" s="120"/>
      <c r="BTH411" s="120"/>
      <c r="BTI411" s="120"/>
      <c r="BTJ411" s="120"/>
      <c r="BTK411" s="121"/>
      <c r="BTL411" s="119"/>
      <c r="BTM411" s="120"/>
      <c r="BTN411" s="120"/>
      <c r="BTO411" s="120"/>
      <c r="BTP411" s="120"/>
      <c r="BTQ411" s="120"/>
      <c r="BTR411" s="121"/>
      <c r="BTS411" s="119"/>
      <c r="BTT411" s="120"/>
      <c r="BTU411" s="120"/>
      <c r="BTV411" s="120"/>
      <c r="BTW411" s="120"/>
      <c r="BTX411" s="120"/>
      <c r="BTY411" s="121"/>
      <c r="BTZ411" s="119"/>
      <c r="BUA411" s="120"/>
      <c r="BUB411" s="120"/>
      <c r="BUC411" s="120"/>
      <c r="BUD411" s="120"/>
      <c r="BUE411" s="120"/>
      <c r="BUF411" s="121"/>
      <c r="BUG411" s="119"/>
      <c r="BUH411" s="120"/>
      <c r="BUI411" s="120"/>
      <c r="BUJ411" s="120"/>
      <c r="BUK411" s="120"/>
      <c r="BUL411" s="120"/>
      <c r="BUM411" s="121"/>
      <c r="BUN411" s="119"/>
      <c r="BUO411" s="120"/>
      <c r="BUP411" s="120"/>
      <c r="BUQ411" s="120"/>
      <c r="BUR411" s="120"/>
      <c r="BUS411" s="120"/>
      <c r="BUT411" s="121"/>
      <c r="BUU411" s="119"/>
      <c r="BUV411" s="120"/>
      <c r="BUW411" s="120"/>
      <c r="BUX411" s="120"/>
      <c r="BUY411" s="120"/>
      <c r="BUZ411" s="120"/>
      <c r="BVA411" s="121"/>
      <c r="BVB411" s="119"/>
      <c r="BVC411" s="120"/>
      <c r="BVD411" s="120"/>
      <c r="BVE411" s="120"/>
      <c r="BVF411" s="120"/>
      <c r="BVG411" s="120"/>
      <c r="BVH411" s="121"/>
      <c r="BVI411" s="119"/>
      <c r="BVJ411" s="120"/>
      <c r="BVK411" s="120"/>
      <c r="BVL411" s="120"/>
      <c r="BVM411" s="120"/>
      <c r="BVN411" s="120"/>
      <c r="BVO411" s="121"/>
      <c r="BVP411" s="119"/>
      <c r="BVQ411" s="120"/>
      <c r="BVR411" s="120"/>
      <c r="BVS411" s="120"/>
      <c r="BVT411" s="120"/>
      <c r="BVU411" s="120"/>
      <c r="BVV411" s="121"/>
      <c r="BVW411" s="119"/>
      <c r="BVX411" s="120"/>
      <c r="BVY411" s="120"/>
      <c r="BVZ411" s="120"/>
      <c r="BWA411" s="120"/>
      <c r="BWB411" s="120"/>
      <c r="BWC411" s="121"/>
      <c r="BWD411" s="119"/>
      <c r="BWE411" s="120"/>
      <c r="BWF411" s="120"/>
      <c r="BWG411" s="120"/>
      <c r="BWH411" s="120"/>
      <c r="BWI411" s="120"/>
      <c r="BWJ411" s="121"/>
      <c r="BWK411" s="119"/>
      <c r="BWL411" s="120"/>
      <c r="BWM411" s="120"/>
      <c r="BWN411" s="120"/>
      <c r="BWO411" s="120"/>
      <c r="BWP411" s="120"/>
      <c r="BWQ411" s="121"/>
      <c r="BWR411" s="119"/>
      <c r="BWS411" s="120"/>
      <c r="BWT411" s="120"/>
      <c r="BWU411" s="120"/>
      <c r="BWV411" s="120"/>
      <c r="BWW411" s="120"/>
      <c r="BWX411" s="121"/>
      <c r="BWY411" s="119"/>
      <c r="BWZ411" s="120"/>
      <c r="BXA411" s="120"/>
      <c r="BXB411" s="120"/>
      <c r="BXC411" s="120"/>
      <c r="BXD411" s="120"/>
      <c r="BXE411" s="121"/>
      <c r="BXF411" s="119"/>
      <c r="BXG411" s="120"/>
      <c r="BXH411" s="120"/>
      <c r="BXI411" s="120"/>
      <c r="BXJ411" s="120"/>
      <c r="BXK411" s="120"/>
      <c r="BXL411" s="121"/>
      <c r="BXM411" s="119"/>
      <c r="BXN411" s="120"/>
      <c r="BXO411" s="120"/>
      <c r="BXP411" s="120"/>
      <c r="BXQ411" s="120"/>
      <c r="BXR411" s="120"/>
      <c r="BXS411" s="121"/>
      <c r="BXT411" s="119"/>
      <c r="BXU411" s="120"/>
      <c r="BXV411" s="120"/>
      <c r="BXW411" s="120"/>
      <c r="BXX411" s="120"/>
      <c r="BXY411" s="120"/>
      <c r="BXZ411" s="121"/>
      <c r="BYA411" s="119"/>
      <c r="BYB411" s="120"/>
      <c r="BYC411" s="120"/>
      <c r="BYD411" s="120"/>
      <c r="BYE411" s="120"/>
      <c r="BYF411" s="120"/>
      <c r="BYG411" s="121"/>
      <c r="BYH411" s="119"/>
      <c r="BYI411" s="120"/>
      <c r="BYJ411" s="120"/>
      <c r="BYK411" s="120"/>
      <c r="BYL411" s="120"/>
      <c r="BYM411" s="120"/>
      <c r="BYN411" s="121"/>
      <c r="BYO411" s="119"/>
      <c r="BYP411" s="120"/>
      <c r="BYQ411" s="120"/>
      <c r="BYR411" s="120"/>
      <c r="BYS411" s="120"/>
      <c r="BYT411" s="120"/>
      <c r="BYU411" s="121"/>
      <c r="BYV411" s="119"/>
      <c r="BYW411" s="120"/>
      <c r="BYX411" s="120"/>
      <c r="BYY411" s="120"/>
      <c r="BYZ411" s="120"/>
      <c r="BZA411" s="120"/>
      <c r="BZB411" s="121"/>
      <c r="BZC411" s="119"/>
      <c r="BZD411" s="120"/>
      <c r="BZE411" s="120"/>
      <c r="BZF411" s="120"/>
      <c r="BZG411" s="120"/>
      <c r="BZH411" s="120"/>
      <c r="BZI411" s="121"/>
      <c r="BZJ411" s="119"/>
      <c r="BZK411" s="120"/>
      <c r="BZL411" s="120"/>
      <c r="BZM411" s="120"/>
      <c r="BZN411" s="120"/>
      <c r="BZO411" s="120"/>
      <c r="BZP411" s="121"/>
      <c r="BZQ411" s="119"/>
      <c r="BZR411" s="120"/>
      <c r="BZS411" s="120"/>
      <c r="BZT411" s="120"/>
      <c r="BZU411" s="120"/>
      <c r="BZV411" s="120"/>
      <c r="BZW411" s="121"/>
      <c r="BZX411" s="119"/>
      <c r="BZY411" s="120"/>
      <c r="BZZ411" s="120"/>
      <c r="CAA411" s="120"/>
      <c r="CAB411" s="120"/>
      <c r="CAC411" s="120"/>
      <c r="CAD411" s="121"/>
      <c r="CAE411" s="119"/>
      <c r="CAF411" s="120"/>
      <c r="CAG411" s="120"/>
      <c r="CAH411" s="120"/>
      <c r="CAI411" s="120"/>
      <c r="CAJ411" s="120"/>
      <c r="CAK411" s="121"/>
      <c r="CAL411" s="119"/>
      <c r="CAM411" s="120"/>
      <c r="CAN411" s="120"/>
      <c r="CAO411" s="120"/>
      <c r="CAP411" s="120"/>
      <c r="CAQ411" s="120"/>
      <c r="CAR411" s="121"/>
      <c r="CAS411" s="119"/>
      <c r="CAT411" s="120"/>
      <c r="CAU411" s="120"/>
      <c r="CAV411" s="120"/>
      <c r="CAW411" s="120"/>
      <c r="CAX411" s="120"/>
      <c r="CAY411" s="121"/>
      <c r="CAZ411" s="119"/>
      <c r="CBA411" s="120"/>
      <c r="CBB411" s="120"/>
      <c r="CBC411" s="120"/>
      <c r="CBD411" s="120"/>
      <c r="CBE411" s="120"/>
      <c r="CBF411" s="121"/>
      <c r="CBG411" s="119"/>
      <c r="CBH411" s="120"/>
      <c r="CBI411" s="120"/>
      <c r="CBJ411" s="120"/>
      <c r="CBK411" s="120"/>
      <c r="CBL411" s="120"/>
      <c r="CBM411" s="121"/>
      <c r="CBN411" s="119"/>
      <c r="CBO411" s="120"/>
      <c r="CBP411" s="120"/>
      <c r="CBQ411" s="120"/>
      <c r="CBR411" s="120"/>
      <c r="CBS411" s="120"/>
      <c r="CBT411" s="121"/>
      <c r="CBU411" s="119"/>
      <c r="CBV411" s="120"/>
      <c r="CBW411" s="120"/>
      <c r="CBX411" s="120"/>
      <c r="CBY411" s="120"/>
      <c r="CBZ411" s="120"/>
      <c r="CCA411" s="121"/>
      <c r="CCB411" s="119"/>
      <c r="CCC411" s="120"/>
      <c r="CCD411" s="120"/>
      <c r="CCE411" s="120"/>
      <c r="CCF411" s="120"/>
      <c r="CCG411" s="120"/>
      <c r="CCH411" s="121"/>
      <c r="CCI411" s="119"/>
      <c r="CCJ411" s="120"/>
      <c r="CCK411" s="120"/>
      <c r="CCL411" s="120"/>
      <c r="CCM411" s="120"/>
      <c r="CCN411" s="120"/>
      <c r="CCO411" s="121"/>
      <c r="CCP411" s="119"/>
      <c r="CCQ411" s="120"/>
      <c r="CCR411" s="120"/>
      <c r="CCS411" s="120"/>
      <c r="CCT411" s="120"/>
      <c r="CCU411" s="120"/>
      <c r="CCV411" s="121"/>
      <c r="CCW411" s="119"/>
      <c r="CCX411" s="120"/>
      <c r="CCY411" s="120"/>
      <c r="CCZ411" s="120"/>
      <c r="CDA411" s="120"/>
      <c r="CDB411" s="120"/>
      <c r="CDC411" s="121"/>
      <c r="CDD411" s="119"/>
      <c r="CDE411" s="120"/>
      <c r="CDF411" s="120"/>
      <c r="CDG411" s="120"/>
      <c r="CDH411" s="120"/>
      <c r="CDI411" s="120"/>
      <c r="CDJ411" s="121"/>
      <c r="CDK411" s="119"/>
      <c r="CDL411" s="120"/>
      <c r="CDM411" s="120"/>
      <c r="CDN411" s="120"/>
      <c r="CDO411" s="120"/>
      <c r="CDP411" s="120"/>
      <c r="CDQ411" s="121"/>
      <c r="CDR411" s="119"/>
      <c r="CDS411" s="120"/>
      <c r="CDT411" s="120"/>
      <c r="CDU411" s="120"/>
      <c r="CDV411" s="120"/>
      <c r="CDW411" s="120"/>
      <c r="CDX411" s="121"/>
      <c r="CDY411" s="119"/>
      <c r="CDZ411" s="120"/>
      <c r="CEA411" s="120"/>
      <c r="CEB411" s="120"/>
      <c r="CEC411" s="120"/>
      <c r="CED411" s="120"/>
      <c r="CEE411" s="121"/>
      <c r="CEF411" s="119"/>
      <c r="CEG411" s="120"/>
      <c r="CEH411" s="120"/>
      <c r="CEI411" s="120"/>
      <c r="CEJ411" s="120"/>
      <c r="CEK411" s="120"/>
      <c r="CEL411" s="121"/>
      <c r="CEM411" s="119"/>
      <c r="CEN411" s="120"/>
      <c r="CEO411" s="120"/>
      <c r="CEP411" s="120"/>
      <c r="CEQ411" s="120"/>
      <c r="CER411" s="120"/>
      <c r="CES411" s="121"/>
      <c r="CET411" s="119"/>
      <c r="CEU411" s="120"/>
      <c r="CEV411" s="120"/>
      <c r="CEW411" s="120"/>
      <c r="CEX411" s="120"/>
      <c r="CEY411" s="120"/>
      <c r="CEZ411" s="121"/>
      <c r="CFA411" s="119"/>
      <c r="CFB411" s="120"/>
      <c r="CFC411" s="120"/>
      <c r="CFD411" s="120"/>
      <c r="CFE411" s="120"/>
      <c r="CFF411" s="120"/>
      <c r="CFG411" s="121"/>
      <c r="CFH411" s="119"/>
      <c r="CFI411" s="120"/>
      <c r="CFJ411" s="120"/>
      <c r="CFK411" s="120"/>
      <c r="CFL411" s="120"/>
      <c r="CFM411" s="120"/>
      <c r="CFN411" s="121"/>
      <c r="CFO411" s="119"/>
      <c r="CFP411" s="120"/>
      <c r="CFQ411" s="120"/>
      <c r="CFR411" s="120"/>
      <c r="CFS411" s="120"/>
      <c r="CFT411" s="120"/>
      <c r="CFU411" s="121"/>
      <c r="CFV411" s="119"/>
      <c r="CFW411" s="120"/>
      <c r="CFX411" s="120"/>
      <c r="CFY411" s="120"/>
      <c r="CFZ411" s="120"/>
      <c r="CGA411" s="120"/>
      <c r="CGB411" s="121"/>
      <c r="CGC411" s="119"/>
      <c r="CGD411" s="120"/>
      <c r="CGE411" s="120"/>
      <c r="CGF411" s="120"/>
      <c r="CGG411" s="120"/>
      <c r="CGH411" s="120"/>
      <c r="CGI411" s="121"/>
      <c r="CGJ411" s="119"/>
      <c r="CGK411" s="120"/>
      <c r="CGL411" s="120"/>
      <c r="CGM411" s="120"/>
      <c r="CGN411" s="120"/>
      <c r="CGO411" s="120"/>
      <c r="CGP411" s="121"/>
      <c r="CGQ411" s="119"/>
      <c r="CGR411" s="120"/>
      <c r="CGS411" s="120"/>
      <c r="CGT411" s="120"/>
      <c r="CGU411" s="120"/>
      <c r="CGV411" s="120"/>
      <c r="CGW411" s="121"/>
      <c r="CGX411" s="119"/>
      <c r="CGY411" s="120"/>
      <c r="CGZ411" s="120"/>
      <c r="CHA411" s="120"/>
      <c r="CHB411" s="120"/>
      <c r="CHC411" s="120"/>
      <c r="CHD411" s="121"/>
      <c r="CHE411" s="119"/>
      <c r="CHF411" s="120"/>
      <c r="CHG411" s="120"/>
      <c r="CHH411" s="120"/>
      <c r="CHI411" s="120"/>
      <c r="CHJ411" s="120"/>
      <c r="CHK411" s="121"/>
      <c r="CHL411" s="119"/>
      <c r="CHM411" s="120"/>
      <c r="CHN411" s="120"/>
      <c r="CHO411" s="120"/>
      <c r="CHP411" s="120"/>
      <c r="CHQ411" s="120"/>
      <c r="CHR411" s="121"/>
      <c r="CHS411" s="119"/>
      <c r="CHT411" s="120"/>
      <c r="CHU411" s="120"/>
      <c r="CHV411" s="120"/>
      <c r="CHW411" s="120"/>
      <c r="CHX411" s="120"/>
      <c r="CHY411" s="121"/>
      <c r="CHZ411" s="119"/>
      <c r="CIA411" s="120"/>
      <c r="CIB411" s="120"/>
      <c r="CIC411" s="120"/>
      <c r="CID411" s="120"/>
      <c r="CIE411" s="120"/>
      <c r="CIF411" s="121"/>
      <c r="CIG411" s="119"/>
      <c r="CIH411" s="120"/>
      <c r="CII411" s="120"/>
      <c r="CIJ411" s="120"/>
      <c r="CIK411" s="120"/>
      <c r="CIL411" s="120"/>
      <c r="CIM411" s="121"/>
      <c r="CIN411" s="119"/>
      <c r="CIO411" s="120"/>
      <c r="CIP411" s="120"/>
      <c r="CIQ411" s="120"/>
      <c r="CIR411" s="120"/>
      <c r="CIS411" s="120"/>
      <c r="CIT411" s="121"/>
      <c r="CIU411" s="119"/>
      <c r="CIV411" s="120"/>
      <c r="CIW411" s="120"/>
      <c r="CIX411" s="120"/>
      <c r="CIY411" s="120"/>
      <c r="CIZ411" s="120"/>
      <c r="CJA411" s="121"/>
      <c r="CJB411" s="119"/>
      <c r="CJC411" s="120"/>
      <c r="CJD411" s="120"/>
      <c r="CJE411" s="120"/>
      <c r="CJF411" s="120"/>
      <c r="CJG411" s="120"/>
      <c r="CJH411" s="121"/>
      <c r="CJI411" s="119"/>
      <c r="CJJ411" s="120"/>
      <c r="CJK411" s="120"/>
      <c r="CJL411" s="120"/>
      <c r="CJM411" s="120"/>
      <c r="CJN411" s="120"/>
      <c r="CJO411" s="121"/>
      <c r="CJP411" s="119"/>
      <c r="CJQ411" s="120"/>
      <c r="CJR411" s="120"/>
      <c r="CJS411" s="120"/>
      <c r="CJT411" s="120"/>
      <c r="CJU411" s="120"/>
      <c r="CJV411" s="121"/>
      <c r="CJW411" s="119"/>
      <c r="CJX411" s="120"/>
      <c r="CJY411" s="120"/>
      <c r="CJZ411" s="120"/>
      <c r="CKA411" s="120"/>
      <c r="CKB411" s="120"/>
      <c r="CKC411" s="121"/>
      <c r="CKD411" s="119"/>
      <c r="CKE411" s="120"/>
      <c r="CKF411" s="120"/>
      <c r="CKG411" s="120"/>
      <c r="CKH411" s="120"/>
      <c r="CKI411" s="120"/>
      <c r="CKJ411" s="121"/>
      <c r="CKK411" s="119"/>
      <c r="CKL411" s="120"/>
      <c r="CKM411" s="120"/>
      <c r="CKN411" s="120"/>
      <c r="CKO411" s="120"/>
      <c r="CKP411" s="120"/>
      <c r="CKQ411" s="121"/>
      <c r="CKR411" s="119"/>
      <c r="CKS411" s="120"/>
      <c r="CKT411" s="120"/>
      <c r="CKU411" s="120"/>
      <c r="CKV411" s="120"/>
      <c r="CKW411" s="120"/>
      <c r="CKX411" s="121"/>
      <c r="CKY411" s="119"/>
      <c r="CKZ411" s="120"/>
      <c r="CLA411" s="120"/>
      <c r="CLB411" s="120"/>
      <c r="CLC411" s="120"/>
      <c r="CLD411" s="120"/>
      <c r="CLE411" s="121"/>
      <c r="CLF411" s="119"/>
      <c r="CLG411" s="120"/>
      <c r="CLH411" s="120"/>
      <c r="CLI411" s="120"/>
      <c r="CLJ411" s="120"/>
      <c r="CLK411" s="120"/>
      <c r="CLL411" s="121"/>
      <c r="CLM411" s="119"/>
      <c r="CLN411" s="120"/>
      <c r="CLO411" s="120"/>
      <c r="CLP411" s="120"/>
      <c r="CLQ411" s="120"/>
      <c r="CLR411" s="120"/>
      <c r="CLS411" s="121"/>
      <c r="CLT411" s="119"/>
      <c r="CLU411" s="120"/>
      <c r="CLV411" s="120"/>
      <c r="CLW411" s="120"/>
      <c r="CLX411" s="120"/>
      <c r="CLY411" s="120"/>
      <c r="CLZ411" s="121"/>
      <c r="CMA411" s="119"/>
      <c r="CMB411" s="120"/>
      <c r="CMC411" s="120"/>
      <c r="CMD411" s="120"/>
      <c r="CME411" s="120"/>
      <c r="CMF411" s="120"/>
      <c r="CMG411" s="121"/>
      <c r="CMH411" s="119"/>
      <c r="CMI411" s="120"/>
      <c r="CMJ411" s="120"/>
      <c r="CMK411" s="120"/>
      <c r="CML411" s="120"/>
      <c r="CMM411" s="120"/>
      <c r="CMN411" s="121"/>
      <c r="CMO411" s="119"/>
      <c r="CMP411" s="120"/>
      <c r="CMQ411" s="120"/>
      <c r="CMR411" s="120"/>
      <c r="CMS411" s="120"/>
      <c r="CMT411" s="120"/>
      <c r="CMU411" s="121"/>
      <c r="CMV411" s="119"/>
      <c r="CMW411" s="120"/>
      <c r="CMX411" s="120"/>
      <c r="CMY411" s="120"/>
      <c r="CMZ411" s="120"/>
      <c r="CNA411" s="120"/>
      <c r="CNB411" s="121"/>
      <c r="CNC411" s="119"/>
      <c r="CND411" s="120"/>
      <c r="CNE411" s="120"/>
      <c r="CNF411" s="120"/>
      <c r="CNG411" s="120"/>
      <c r="CNH411" s="120"/>
      <c r="CNI411" s="121"/>
      <c r="CNJ411" s="119"/>
      <c r="CNK411" s="120"/>
      <c r="CNL411" s="120"/>
      <c r="CNM411" s="120"/>
      <c r="CNN411" s="120"/>
      <c r="CNO411" s="120"/>
      <c r="CNP411" s="121"/>
      <c r="CNQ411" s="119"/>
      <c r="CNR411" s="120"/>
      <c r="CNS411" s="120"/>
      <c r="CNT411" s="120"/>
      <c r="CNU411" s="120"/>
      <c r="CNV411" s="120"/>
      <c r="CNW411" s="121"/>
      <c r="CNX411" s="119"/>
      <c r="CNY411" s="120"/>
      <c r="CNZ411" s="120"/>
      <c r="COA411" s="120"/>
      <c r="COB411" s="120"/>
      <c r="COC411" s="120"/>
      <c r="COD411" s="121"/>
      <c r="COE411" s="119"/>
      <c r="COF411" s="120"/>
      <c r="COG411" s="120"/>
      <c r="COH411" s="120"/>
      <c r="COI411" s="120"/>
      <c r="COJ411" s="120"/>
      <c r="COK411" s="121"/>
      <c r="COL411" s="119"/>
      <c r="COM411" s="120"/>
      <c r="CON411" s="120"/>
      <c r="COO411" s="120"/>
      <c r="COP411" s="120"/>
      <c r="COQ411" s="120"/>
      <c r="COR411" s="121"/>
      <c r="COS411" s="119"/>
      <c r="COT411" s="120"/>
      <c r="COU411" s="120"/>
      <c r="COV411" s="120"/>
      <c r="COW411" s="120"/>
      <c r="COX411" s="120"/>
      <c r="COY411" s="121"/>
      <c r="COZ411" s="119"/>
      <c r="CPA411" s="120"/>
      <c r="CPB411" s="120"/>
      <c r="CPC411" s="120"/>
      <c r="CPD411" s="120"/>
      <c r="CPE411" s="120"/>
      <c r="CPF411" s="121"/>
      <c r="CPG411" s="119"/>
      <c r="CPH411" s="120"/>
      <c r="CPI411" s="120"/>
      <c r="CPJ411" s="120"/>
      <c r="CPK411" s="120"/>
      <c r="CPL411" s="120"/>
      <c r="CPM411" s="121"/>
      <c r="CPN411" s="119"/>
      <c r="CPO411" s="120"/>
      <c r="CPP411" s="120"/>
      <c r="CPQ411" s="120"/>
      <c r="CPR411" s="120"/>
      <c r="CPS411" s="120"/>
      <c r="CPT411" s="121"/>
      <c r="CPU411" s="119"/>
      <c r="CPV411" s="120"/>
      <c r="CPW411" s="120"/>
      <c r="CPX411" s="120"/>
      <c r="CPY411" s="120"/>
      <c r="CPZ411" s="120"/>
      <c r="CQA411" s="121"/>
      <c r="CQB411" s="119"/>
      <c r="CQC411" s="120"/>
      <c r="CQD411" s="120"/>
      <c r="CQE411" s="120"/>
      <c r="CQF411" s="120"/>
      <c r="CQG411" s="120"/>
      <c r="CQH411" s="121"/>
      <c r="CQI411" s="119"/>
      <c r="CQJ411" s="120"/>
      <c r="CQK411" s="120"/>
      <c r="CQL411" s="120"/>
      <c r="CQM411" s="120"/>
      <c r="CQN411" s="120"/>
      <c r="CQO411" s="121"/>
      <c r="CQP411" s="119"/>
      <c r="CQQ411" s="120"/>
      <c r="CQR411" s="120"/>
      <c r="CQS411" s="120"/>
      <c r="CQT411" s="120"/>
      <c r="CQU411" s="120"/>
      <c r="CQV411" s="121"/>
      <c r="CQW411" s="119"/>
      <c r="CQX411" s="120"/>
      <c r="CQY411" s="120"/>
      <c r="CQZ411" s="120"/>
      <c r="CRA411" s="120"/>
      <c r="CRB411" s="120"/>
      <c r="CRC411" s="121"/>
      <c r="CRD411" s="119"/>
      <c r="CRE411" s="120"/>
      <c r="CRF411" s="120"/>
      <c r="CRG411" s="120"/>
      <c r="CRH411" s="120"/>
      <c r="CRI411" s="120"/>
      <c r="CRJ411" s="121"/>
      <c r="CRK411" s="119"/>
      <c r="CRL411" s="120"/>
      <c r="CRM411" s="120"/>
      <c r="CRN411" s="120"/>
      <c r="CRO411" s="120"/>
      <c r="CRP411" s="120"/>
      <c r="CRQ411" s="121"/>
      <c r="CRR411" s="119"/>
      <c r="CRS411" s="120"/>
      <c r="CRT411" s="120"/>
      <c r="CRU411" s="120"/>
      <c r="CRV411" s="120"/>
      <c r="CRW411" s="120"/>
      <c r="CRX411" s="121"/>
      <c r="CRY411" s="119"/>
      <c r="CRZ411" s="120"/>
      <c r="CSA411" s="120"/>
      <c r="CSB411" s="120"/>
      <c r="CSC411" s="120"/>
      <c r="CSD411" s="120"/>
      <c r="CSE411" s="121"/>
      <c r="CSF411" s="119"/>
      <c r="CSG411" s="120"/>
      <c r="CSH411" s="120"/>
      <c r="CSI411" s="120"/>
      <c r="CSJ411" s="120"/>
      <c r="CSK411" s="120"/>
      <c r="CSL411" s="121"/>
      <c r="CSM411" s="119"/>
      <c r="CSN411" s="120"/>
      <c r="CSO411" s="120"/>
      <c r="CSP411" s="120"/>
      <c r="CSQ411" s="120"/>
      <c r="CSR411" s="120"/>
      <c r="CSS411" s="121"/>
      <c r="CST411" s="119"/>
      <c r="CSU411" s="120"/>
      <c r="CSV411" s="120"/>
      <c r="CSW411" s="120"/>
      <c r="CSX411" s="120"/>
      <c r="CSY411" s="120"/>
      <c r="CSZ411" s="121"/>
      <c r="CTA411" s="119"/>
      <c r="CTB411" s="120"/>
      <c r="CTC411" s="120"/>
      <c r="CTD411" s="120"/>
      <c r="CTE411" s="120"/>
      <c r="CTF411" s="120"/>
      <c r="CTG411" s="121"/>
      <c r="CTH411" s="119"/>
      <c r="CTI411" s="120"/>
      <c r="CTJ411" s="120"/>
      <c r="CTK411" s="120"/>
      <c r="CTL411" s="120"/>
      <c r="CTM411" s="120"/>
      <c r="CTN411" s="121"/>
      <c r="CTO411" s="119"/>
      <c r="CTP411" s="120"/>
      <c r="CTQ411" s="120"/>
      <c r="CTR411" s="120"/>
      <c r="CTS411" s="120"/>
      <c r="CTT411" s="120"/>
      <c r="CTU411" s="121"/>
      <c r="CTV411" s="119"/>
      <c r="CTW411" s="120"/>
      <c r="CTX411" s="120"/>
      <c r="CTY411" s="120"/>
      <c r="CTZ411" s="120"/>
      <c r="CUA411" s="120"/>
      <c r="CUB411" s="121"/>
      <c r="CUC411" s="119"/>
      <c r="CUD411" s="120"/>
      <c r="CUE411" s="120"/>
      <c r="CUF411" s="120"/>
      <c r="CUG411" s="120"/>
      <c r="CUH411" s="120"/>
      <c r="CUI411" s="121"/>
      <c r="CUJ411" s="119"/>
      <c r="CUK411" s="120"/>
      <c r="CUL411" s="120"/>
      <c r="CUM411" s="120"/>
      <c r="CUN411" s="120"/>
      <c r="CUO411" s="120"/>
      <c r="CUP411" s="121"/>
      <c r="CUQ411" s="119"/>
      <c r="CUR411" s="120"/>
      <c r="CUS411" s="120"/>
      <c r="CUT411" s="120"/>
      <c r="CUU411" s="120"/>
      <c r="CUV411" s="120"/>
      <c r="CUW411" s="121"/>
      <c r="CUX411" s="119"/>
      <c r="CUY411" s="120"/>
      <c r="CUZ411" s="120"/>
      <c r="CVA411" s="120"/>
      <c r="CVB411" s="120"/>
      <c r="CVC411" s="120"/>
      <c r="CVD411" s="121"/>
      <c r="CVE411" s="119"/>
      <c r="CVF411" s="120"/>
      <c r="CVG411" s="120"/>
      <c r="CVH411" s="120"/>
      <c r="CVI411" s="120"/>
      <c r="CVJ411" s="120"/>
      <c r="CVK411" s="121"/>
      <c r="CVL411" s="119"/>
      <c r="CVM411" s="120"/>
      <c r="CVN411" s="120"/>
      <c r="CVO411" s="120"/>
      <c r="CVP411" s="120"/>
      <c r="CVQ411" s="120"/>
      <c r="CVR411" s="121"/>
      <c r="CVS411" s="119"/>
      <c r="CVT411" s="120"/>
      <c r="CVU411" s="120"/>
      <c r="CVV411" s="120"/>
      <c r="CVW411" s="120"/>
      <c r="CVX411" s="120"/>
      <c r="CVY411" s="121"/>
      <c r="CVZ411" s="119"/>
      <c r="CWA411" s="120"/>
      <c r="CWB411" s="120"/>
      <c r="CWC411" s="120"/>
      <c r="CWD411" s="120"/>
      <c r="CWE411" s="120"/>
      <c r="CWF411" s="121"/>
      <c r="CWG411" s="119"/>
      <c r="CWH411" s="120"/>
      <c r="CWI411" s="120"/>
      <c r="CWJ411" s="120"/>
      <c r="CWK411" s="120"/>
      <c r="CWL411" s="120"/>
      <c r="CWM411" s="121"/>
      <c r="CWN411" s="119"/>
      <c r="CWO411" s="120"/>
      <c r="CWP411" s="120"/>
      <c r="CWQ411" s="120"/>
      <c r="CWR411" s="120"/>
      <c r="CWS411" s="120"/>
      <c r="CWT411" s="121"/>
      <c r="CWU411" s="119"/>
      <c r="CWV411" s="120"/>
      <c r="CWW411" s="120"/>
      <c r="CWX411" s="120"/>
      <c r="CWY411" s="120"/>
      <c r="CWZ411" s="120"/>
      <c r="CXA411" s="121"/>
      <c r="CXB411" s="119"/>
      <c r="CXC411" s="120"/>
      <c r="CXD411" s="120"/>
      <c r="CXE411" s="120"/>
      <c r="CXF411" s="120"/>
      <c r="CXG411" s="120"/>
      <c r="CXH411" s="121"/>
      <c r="CXI411" s="119"/>
      <c r="CXJ411" s="120"/>
      <c r="CXK411" s="120"/>
      <c r="CXL411" s="120"/>
      <c r="CXM411" s="120"/>
      <c r="CXN411" s="120"/>
      <c r="CXO411" s="121"/>
      <c r="CXP411" s="119"/>
      <c r="CXQ411" s="120"/>
      <c r="CXR411" s="120"/>
      <c r="CXS411" s="120"/>
      <c r="CXT411" s="120"/>
      <c r="CXU411" s="120"/>
      <c r="CXV411" s="121"/>
      <c r="CXW411" s="119"/>
      <c r="CXX411" s="120"/>
      <c r="CXY411" s="120"/>
      <c r="CXZ411" s="120"/>
      <c r="CYA411" s="120"/>
      <c r="CYB411" s="120"/>
      <c r="CYC411" s="121"/>
      <c r="CYD411" s="119"/>
      <c r="CYE411" s="120"/>
      <c r="CYF411" s="120"/>
      <c r="CYG411" s="120"/>
      <c r="CYH411" s="120"/>
      <c r="CYI411" s="120"/>
      <c r="CYJ411" s="121"/>
      <c r="CYK411" s="119"/>
      <c r="CYL411" s="120"/>
      <c r="CYM411" s="120"/>
      <c r="CYN411" s="120"/>
      <c r="CYO411" s="120"/>
      <c r="CYP411" s="120"/>
      <c r="CYQ411" s="121"/>
      <c r="CYR411" s="119"/>
      <c r="CYS411" s="120"/>
      <c r="CYT411" s="120"/>
      <c r="CYU411" s="120"/>
      <c r="CYV411" s="120"/>
      <c r="CYW411" s="120"/>
      <c r="CYX411" s="121"/>
      <c r="CYY411" s="119"/>
      <c r="CYZ411" s="120"/>
      <c r="CZA411" s="120"/>
      <c r="CZB411" s="120"/>
      <c r="CZC411" s="120"/>
      <c r="CZD411" s="120"/>
      <c r="CZE411" s="121"/>
      <c r="CZF411" s="119"/>
      <c r="CZG411" s="120"/>
      <c r="CZH411" s="120"/>
      <c r="CZI411" s="120"/>
      <c r="CZJ411" s="120"/>
      <c r="CZK411" s="120"/>
      <c r="CZL411" s="121"/>
      <c r="CZM411" s="119"/>
      <c r="CZN411" s="120"/>
      <c r="CZO411" s="120"/>
      <c r="CZP411" s="120"/>
      <c r="CZQ411" s="120"/>
      <c r="CZR411" s="120"/>
      <c r="CZS411" s="121"/>
      <c r="CZT411" s="119"/>
      <c r="CZU411" s="120"/>
      <c r="CZV411" s="120"/>
      <c r="CZW411" s="120"/>
      <c r="CZX411" s="120"/>
      <c r="CZY411" s="120"/>
      <c r="CZZ411" s="121"/>
      <c r="DAA411" s="119"/>
      <c r="DAB411" s="120"/>
      <c r="DAC411" s="120"/>
      <c r="DAD411" s="120"/>
      <c r="DAE411" s="120"/>
      <c r="DAF411" s="120"/>
      <c r="DAG411" s="121"/>
      <c r="DAH411" s="119"/>
      <c r="DAI411" s="120"/>
      <c r="DAJ411" s="120"/>
      <c r="DAK411" s="120"/>
      <c r="DAL411" s="120"/>
      <c r="DAM411" s="120"/>
      <c r="DAN411" s="121"/>
      <c r="DAO411" s="119"/>
      <c r="DAP411" s="120"/>
      <c r="DAQ411" s="120"/>
      <c r="DAR411" s="120"/>
      <c r="DAS411" s="120"/>
      <c r="DAT411" s="120"/>
      <c r="DAU411" s="121"/>
      <c r="DAV411" s="119"/>
      <c r="DAW411" s="120"/>
      <c r="DAX411" s="120"/>
      <c r="DAY411" s="120"/>
      <c r="DAZ411" s="120"/>
      <c r="DBA411" s="120"/>
      <c r="DBB411" s="121"/>
      <c r="DBC411" s="119"/>
      <c r="DBD411" s="120"/>
      <c r="DBE411" s="120"/>
      <c r="DBF411" s="120"/>
      <c r="DBG411" s="120"/>
      <c r="DBH411" s="120"/>
      <c r="DBI411" s="121"/>
      <c r="DBJ411" s="119"/>
      <c r="DBK411" s="120"/>
      <c r="DBL411" s="120"/>
      <c r="DBM411" s="120"/>
      <c r="DBN411" s="120"/>
      <c r="DBO411" s="120"/>
      <c r="DBP411" s="121"/>
      <c r="DBQ411" s="119"/>
      <c r="DBR411" s="120"/>
      <c r="DBS411" s="120"/>
      <c r="DBT411" s="120"/>
      <c r="DBU411" s="120"/>
      <c r="DBV411" s="120"/>
      <c r="DBW411" s="121"/>
      <c r="DBX411" s="119"/>
      <c r="DBY411" s="120"/>
      <c r="DBZ411" s="120"/>
      <c r="DCA411" s="120"/>
      <c r="DCB411" s="120"/>
      <c r="DCC411" s="120"/>
      <c r="DCD411" s="121"/>
      <c r="DCE411" s="119"/>
      <c r="DCF411" s="120"/>
      <c r="DCG411" s="120"/>
      <c r="DCH411" s="120"/>
      <c r="DCI411" s="120"/>
      <c r="DCJ411" s="120"/>
      <c r="DCK411" s="121"/>
      <c r="DCL411" s="119"/>
      <c r="DCM411" s="120"/>
      <c r="DCN411" s="120"/>
      <c r="DCO411" s="120"/>
      <c r="DCP411" s="120"/>
      <c r="DCQ411" s="120"/>
      <c r="DCR411" s="121"/>
      <c r="DCS411" s="119"/>
      <c r="DCT411" s="120"/>
      <c r="DCU411" s="120"/>
      <c r="DCV411" s="120"/>
      <c r="DCW411" s="120"/>
      <c r="DCX411" s="120"/>
      <c r="DCY411" s="121"/>
      <c r="DCZ411" s="119"/>
      <c r="DDA411" s="120"/>
      <c r="DDB411" s="120"/>
      <c r="DDC411" s="120"/>
      <c r="DDD411" s="120"/>
      <c r="DDE411" s="120"/>
      <c r="DDF411" s="121"/>
      <c r="DDG411" s="119"/>
      <c r="DDH411" s="120"/>
      <c r="DDI411" s="120"/>
      <c r="DDJ411" s="120"/>
      <c r="DDK411" s="120"/>
      <c r="DDL411" s="120"/>
      <c r="DDM411" s="121"/>
      <c r="DDN411" s="119"/>
      <c r="DDO411" s="120"/>
      <c r="DDP411" s="120"/>
      <c r="DDQ411" s="120"/>
      <c r="DDR411" s="120"/>
      <c r="DDS411" s="120"/>
      <c r="DDT411" s="121"/>
      <c r="DDU411" s="119"/>
      <c r="DDV411" s="120"/>
      <c r="DDW411" s="120"/>
      <c r="DDX411" s="120"/>
      <c r="DDY411" s="120"/>
      <c r="DDZ411" s="120"/>
      <c r="DEA411" s="121"/>
      <c r="DEB411" s="119"/>
      <c r="DEC411" s="120"/>
      <c r="DED411" s="120"/>
      <c r="DEE411" s="120"/>
      <c r="DEF411" s="120"/>
      <c r="DEG411" s="120"/>
      <c r="DEH411" s="121"/>
      <c r="DEI411" s="119"/>
      <c r="DEJ411" s="120"/>
      <c r="DEK411" s="120"/>
      <c r="DEL411" s="120"/>
      <c r="DEM411" s="120"/>
      <c r="DEN411" s="120"/>
      <c r="DEO411" s="121"/>
      <c r="DEP411" s="119"/>
      <c r="DEQ411" s="120"/>
      <c r="DER411" s="120"/>
      <c r="DES411" s="120"/>
      <c r="DET411" s="120"/>
      <c r="DEU411" s="120"/>
      <c r="DEV411" s="121"/>
      <c r="DEW411" s="119"/>
      <c r="DEX411" s="120"/>
      <c r="DEY411" s="120"/>
      <c r="DEZ411" s="120"/>
      <c r="DFA411" s="120"/>
      <c r="DFB411" s="120"/>
      <c r="DFC411" s="121"/>
      <c r="DFD411" s="119"/>
      <c r="DFE411" s="120"/>
      <c r="DFF411" s="120"/>
      <c r="DFG411" s="120"/>
      <c r="DFH411" s="120"/>
      <c r="DFI411" s="120"/>
      <c r="DFJ411" s="121"/>
      <c r="DFK411" s="119"/>
      <c r="DFL411" s="120"/>
      <c r="DFM411" s="120"/>
      <c r="DFN411" s="120"/>
      <c r="DFO411" s="120"/>
      <c r="DFP411" s="120"/>
      <c r="DFQ411" s="121"/>
      <c r="DFR411" s="119"/>
      <c r="DFS411" s="120"/>
      <c r="DFT411" s="120"/>
      <c r="DFU411" s="120"/>
      <c r="DFV411" s="120"/>
      <c r="DFW411" s="120"/>
      <c r="DFX411" s="121"/>
      <c r="DFY411" s="119"/>
      <c r="DFZ411" s="120"/>
      <c r="DGA411" s="120"/>
      <c r="DGB411" s="120"/>
      <c r="DGC411" s="120"/>
      <c r="DGD411" s="120"/>
      <c r="DGE411" s="121"/>
      <c r="DGF411" s="119"/>
      <c r="DGG411" s="120"/>
      <c r="DGH411" s="120"/>
      <c r="DGI411" s="120"/>
      <c r="DGJ411" s="120"/>
      <c r="DGK411" s="120"/>
      <c r="DGL411" s="121"/>
      <c r="DGM411" s="119"/>
      <c r="DGN411" s="120"/>
      <c r="DGO411" s="120"/>
      <c r="DGP411" s="120"/>
      <c r="DGQ411" s="120"/>
      <c r="DGR411" s="120"/>
      <c r="DGS411" s="121"/>
      <c r="DGT411" s="119"/>
      <c r="DGU411" s="120"/>
      <c r="DGV411" s="120"/>
      <c r="DGW411" s="120"/>
      <c r="DGX411" s="120"/>
      <c r="DGY411" s="120"/>
      <c r="DGZ411" s="121"/>
      <c r="DHA411" s="119"/>
      <c r="DHB411" s="120"/>
      <c r="DHC411" s="120"/>
      <c r="DHD411" s="120"/>
      <c r="DHE411" s="120"/>
      <c r="DHF411" s="120"/>
      <c r="DHG411" s="121"/>
      <c r="DHH411" s="119"/>
      <c r="DHI411" s="120"/>
      <c r="DHJ411" s="120"/>
      <c r="DHK411" s="120"/>
      <c r="DHL411" s="120"/>
      <c r="DHM411" s="120"/>
      <c r="DHN411" s="121"/>
      <c r="DHO411" s="119"/>
      <c r="DHP411" s="120"/>
      <c r="DHQ411" s="120"/>
      <c r="DHR411" s="120"/>
      <c r="DHS411" s="120"/>
      <c r="DHT411" s="120"/>
      <c r="DHU411" s="121"/>
      <c r="DHV411" s="119"/>
      <c r="DHW411" s="120"/>
      <c r="DHX411" s="120"/>
      <c r="DHY411" s="120"/>
      <c r="DHZ411" s="120"/>
      <c r="DIA411" s="120"/>
      <c r="DIB411" s="121"/>
      <c r="DIC411" s="119"/>
      <c r="DID411" s="120"/>
      <c r="DIE411" s="120"/>
      <c r="DIF411" s="120"/>
      <c r="DIG411" s="120"/>
      <c r="DIH411" s="120"/>
      <c r="DII411" s="121"/>
      <c r="DIJ411" s="119"/>
      <c r="DIK411" s="120"/>
      <c r="DIL411" s="120"/>
      <c r="DIM411" s="120"/>
      <c r="DIN411" s="120"/>
      <c r="DIO411" s="120"/>
      <c r="DIP411" s="121"/>
      <c r="DIQ411" s="119"/>
      <c r="DIR411" s="120"/>
      <c r="DIS411" s="120"/>
      <c r="DIT411" s="120"/>
      <c r="DIU411" s="120"/>
      <c r="DIV411" s="120"/>
      <c r="DIW411" s="121"/>
      <c r="DIX411" s="119"/>
      <c r="DIY411" s="120"/>
      <c r="DIZ411" s="120"/>
      <c r="DJA411" s="120"/>
      <c r="DJB411" s="120"/>
      <c r="DJC411" s="120"/>
      <c r="DJD411" s="121"/>
      <c r="DJE411" s="119"/>
      <c r="DJF411" s="120"/>
      <c r="DJG411" s="120"/>
      <c r="DJH411" s="120"/>
      <c r="DJI411" s="120"/>
      <c r="DJJ411" s="120"/>
      <c r="DJK411" s="121"/>
      <c r="DJL411" s="119"/>
      <c r="DJM411" s="120"/>
      <c r="DJN411" s="120"/>
      <c r="DJO411" s="120"/>
      <c r="DJP411" s="120"/>
      <c r="DJQ411" s="120"/>
      <c r="DJR411" s="121"/>
      <c r="DJS411" s="119"/>
      <c r="DJT411" s="120"/>
      <c r="DJU411" s="120"/>
      <c r="DJV411" s="120"/>
      <c r="DJW411" s="120"/>
      <c r="DJX411" s="120"/>
      <c r="DJY411" s="121"/>
      <c r="DJZ411" s="119"/>
      <c r="DKA411" s="120"/>
      <c r="DKB411" s="120"/>
      <c r="DKC411" s="120"/>
      <c r="DKD411" s="120"/>
      <c r="DKE411" s="120"/>
      <c r="DKF411" s="121"/>
      <c r="DKG411" s="119"/>
      <c r="DKH411" s="120"/>
      <c r="DKI411" s="120"/>
      <c r="DKJ411" s="120"/>
      <c r="DKK411" s="120"/>
      <c r="DKL411" s="120"/>
      <c r="DKM411" s="121"/>
      <c r="DKN411" s="119"/>
      <c r="DKO411" s="120"/>
      <c r="DKP411" s="120"/>
      <c r="DKQ411" s="120"/>
      <c r="DKR411" s="120"/>
      <c r="DKS411" s="120"/>
      <c r="DKT411" s="121"/>
      <c r="DKU411" s="119"/>
      <c r="DKV411" s="120"/>
      <c r="DKW411" s="120"/>
      <c r="DKX411" s="120"/>
      <c r="DKY411" s="120"/>
      <c r="DKZ411" s="120"/>
      <c r="DLA411" s="121"/>
      <c r="DLB411" s="119"/>
      <c r="DLC411" s="120"/>
      <c r="DLD411" s="120"/>
      <c r="DLE411" s="120"/>
      <c r="DLF411" s="120"/>
      <c r="DLG411" s="120"/>
      <c r="DLH411" s="121"/>
      <c r="DLI411" s="119"/>
      <c r="DLJ411" s="120"/>
      <c r="DLK411" s="120"/>
      <c r="DLL411" s="120"/>
      <c r="DLM411" s="120"/>
      <c r="DLN411" s="120"/>
      <c r="DLO411" s="121"/>
      <c r="DLP411" s="119"/>
      <c r="DLQ411" s="120"/>
      <c r="DLR411" s="120"/>
      <c r="DLS411" s="120"/>
      <c r="DLT411" s="120"/>
      <c r="DLU411" s="120"/>
      <c r="DLV411" s="121"/>
      <c r="DLW411" s="119"/>
      <c r="DLX411" s="120"/>
      <c r="DLY411" s="120"/>
      <c r="DLZ411" s="120"/>
      <c r="DMA411" s="120"/>
      <c r="DMB411" s="120"/>
      <c r="DMC411" s="121"/>
      <c r="DMD411" s="119"/>
      <c r="DME411" s="120"/>
      <c r="DMF411" s="120"/>
      <c r="DMG411" s="120"/>
      <c r="DMH411" s="120"/>
      <c r="DMI411" s="120"/>
      <c r="DMJ411" s="121"/>
      <c r="DMK411" s="119"/>
      <c r="DML411" s="120"/>
      <c r="DMM411" s="120"/>
      <c r="DMN411" s="120"/>
      <c r="DMO411" s="120"/>
      <c r="DMP411" s="120"/>
      <c r="DMQ411" s="121"/>
      <c r="DMR411" s="119"/>
      <c r="DMS411" s="120"/>
      <c r="DMT411" s="120"/>
      <c r="DMU411" s="120"/>
      <c r="DMV411" s="120"/>
      <c r="DMW411" s="120"/>
      <c r="DMX411" s="121"/>
      <c r="DMY411" s="119"/>
      <c r="DMZ411" s="120"/>
      <c r="DNA411" s="120"/>
      <c r="DNB411" s="120"/>
      <c r="DNC411" s="120"/>
      <c r="DND411" s="120"/>
      <c r="DNE411" s="121"/>
      <c r="DNF411" s="119"/>
      <c r="DNG411" s="120"/>
      <c r="DNH411" s="120"/>
      <c r="DNI411" s="120"/>
      <c r="DNJ411" s="120"/>
      <c r="DNK411" s="120"/>
      <c r="DNL411" s="121"/>
      <c r="DNM411" s="119"/>
      <c r="DNN411" s="120"/>
      <c r="DNO411" s="120"/>
      <c r="DNP411" s="120"/>
      <c r="DNQ411" s="120"/>
      <c r="DNR411" s="120"/>
      <c r="DNS411" s="121"/>
      <c r="DNT411" s="119"/>
      <c r="DNU411" s="120"/>
      <c r="DNV411" s="120"/>
      <c r="DNW411" s="120"/>
      <c r="DNX411" s="120"/>
      <c r="DNY411" s="120"/>
      <c r="DNZ411" s="121"/>
      <c r="DOA411" s="119"/>
      <c r="DOB411" s="120"/>
      <c r="DOC411" s="120"/>
      <c r="DOD411" s="120"/>
      <c r="DOE411" s="120"/>
      <c r="DOF411" s="120"/>
      <c r="DOG411" s="121"/>
      <c r="DOH411" s="119"/>
      <c r="DOI411" s="120"/>
      <c r="DOJ411" s="120"/>
      <c r="DOK411" s="120"/>
      <c r="DOL411" s="120"/>
      <c r="DOM411" s="120"/>
      <c r="DON411" s="121"/>
      <c r="DOO411" s="119"/>
      <c r="DOP411" s="120"/>
      <c r="DOQ411" s="120"/>
      <c r="DOR411" s="120"/>
      <c r="DOS411" s="120"/>
      <c r="DOT411" s="120"/>
      <c r="DOU411" s="121"/>
      <c r="DOV411" s="119"/>
      <c r="DOW411" s="120"/>
      <c r="DOX411" s="120"/>
      <c r="DOY411" s="120"/>
      <c r="DOZ411" s="120"/>
      <c r="DPA411" s="120"/>
      <c r="DPB411" s="121"/>
      <c r="DPC411" s="119"/>
      <c r="DPD411" s="120"/>
      <c r="DPE411" s="120"/>
      <c r="DPF411" s="120"/>
      <c r="DPG411" s="120"/>
      <c r="DPH411" s="120"/>
      <c r="DPI411" s="121"/>
      <c r="DPJ411" s="119"/>
      <c r="DPK411" s="120"/>
      <c r="DPL411" s="120"/>
      <c r="DPM411" s="120"/>
      <c r="DPN411" s="120"/>
      <c r="DPO411" s="120"/>
      <c r="DPP411" s="121"/>
      <c r="DPQ411" s="119"/>
      <c r="DPR411" s="120"/>
      <c r="DPS411" s="120"/>
      <c r="DPT411" s="120"/>
      <c r="DPU411" s="120"/>
      <c r="DPV411" s="120"/>
      <c r="DPW411" s="121"/>
      <c r="DPX411" s="119"/>
      <c r="DPY411" s="120"/>
      <c r="DPZ411" s="120"/>
      <c r="DQA411" s="120"/>
      <c r="DQB411" s="120"/>
      <c r="DQC411" s="120"/>
      <c r="DQD411" s="121"/>
      <c r="DQE411" s="119"/>
      <c r="DQF411" s="120"/>
      <c r="DQG411" s="120"/>
      <c r="DQH411" s="120"/>
      <c r="DQI411" s="120"/>
      <c r="DQJ411" s="120"/>
      <c r="DQK411" s="121"/>
      <c r="DQL411" s="119"/>
      <c r="DQM411" s="120"/>
      <c r="DQN411" s="120"/>
      <c r="DQO411" s="120"/>
      <c r="DQP411" s="120"/>
      <c r="DQQ411" s="120"/>
      <c r="DQR411" s="121"/>
      <c r="DQS411" s="119"/>
      <c r="DQT411" s="120"/>
      <c r="DQU411" s="120"/>
      <c r="DQV411" s="120"/>
      <c r="DQW411" s="120"/>
      <c r="DQX411" s="120"/>
      <c r="DQY411" s="121"/>
      <c r="DQZ411" s="119"/>
      <c r="DRA411" s="120"/>
      <c r="DRB411" s="120"/>
      <c r="DRC411" s="120"/>
      <c r="DRD411" s="120"/>
      <c r="DRE411" s="120"/>
      <c r="DRF411" s="121"/>
      <c r="DRG411" s="119"/>
      <c r="DRH411" s="120"/>
      <c r="DRI411" s="120"/>
      <c r="DRJ411" s="120"/>
      <c r="DRK411" s="120"/>
      <c r="DRL411" s="120"/>
      <c r="DRM411" s="121"/>
      <c r="DRN411" s="119"/>
      <c r="DRO411" s="120"/>
      <c r="DRP411" s="120"/>
      <c r="DRQ411" s="120"/>
      <c r="DRR411" s="120"/>
      <c r="DRS411" s="120"/>
      <c r="DRT411" s="121"/>
      <c r="DRU411" s="119"/>
      <c r="DRV411" s="120"/>
      <c r="DRW411" s="120"/>
      <c r="DRX411" s="120"/>
      <c r="DRY411" s="120"/>
      <c r="DRZ411" s="120"/>
      <c r="DSA411" s="121"/>
      <c r="DSB411" s="119"/>
      <c r="DSC411" s="120"/>
      <c r="DSD411" s="120"/>
      <c r="DSE411" s="120"/>
      <c r="DSF411" s="120"/>
      <c r="DSG411" s="120"/>
      <c r="DSH411" s="121"/>
      <c r="DSI411" s="119"/>
      <c r="DSJ411" s="120"/>
      <c r="DSK411" s="120"/>
      <c r="DSL411" s="120"/>
      <c r="DSM411" s="120"/>
      <c r="DSN411" s="120"/>
      <c r="DSO411" s="121"/>
      <c r="DSP411" s="119"/>
      <c r="DSQ411" s="120"/>
      <c r="DSR411" s="120"/>
      <c r="DSS411" s="120"/>
      <c r="DST411" s="120"/>
      <c r="DSU411" s="120"/>
      <c r="DSV411" s="121"/>
      <c r="DSW411" s="119"/>
      <c r="DSX411" s="120"/>
      <c r="DSY411" s="120"/>
      <c r="DSZ411" s="120"/>
      <c r="DTA411" s="120"/>
      <c r="DTB411" s="120"/>
      <c r="DTC411" s="121"/>
      <c r="DTD411" s="119"/>
      <c r="DTE411" s="120"/>
      <c r="DTF411" s="120"/>
      <c r="DTG411" s="120"/>
      <c r="DTH411" s="120"/>
      <c r="DTI411" s="120"/>
      <c r="DTJ411" s="121"/>
      <c r="DTK411" s="119"/>
      <c r="DTL411" s="120"/>
      <c r="DTM411" s="120"/>
      <c r="DTN411" s="120"/>
      <c r="DTO411" s="120"/>
      <c r="DTP411" s="120"/>
      <c r="DTQ411" s="121"/>
      <c r="DTR411" s="119"/>
      <c r="DTS411" s="120"/>
      <c r="DTT411" s="120"/>
      <c r="DTU411" s="120"/>
      <c r="DTV411" s="120"/>
      <c r="DTW411" s="120"/>
      <c r="DTX411" s="121"/>
      <c r="DTY411" s="119"/>
      <c r="DTZ411" s="120"/>
      <c r="DUA411" s="120"/>
      <c r="DUB411" s="120"/>
      <c r="DUC411" s="120"/>
      <c r="DUD411" s="120"/>
      <c r="DUE411" s="121"/>
      <c r="DUF411" s="119"/>
      <c r="DUG411" s="120"/>
      <c r="DUH411" s="120"/>
      <c r="DUI411" s="120"/>
      <c r="DUJ411" s="120"/>
      <c r="DUK411" s="120"/>
      <c r="DUL411" s="121"/>
      <c r="DUM411" s="119"/>
      <c r="DUN411" s="120"/>
      <c r="DUO411" s="120"/>
      <c r="DUP411" s="120"/>
      <c r="DUQ411" s="120"/>
      <c r="DUR411" s="120"/>
      <c r="DUS411" s="121"/>
      <c r="DUT411" s="119"/>
      <c r="DUU411" s="120"/>
      <c r="DUV411" s="120"/>
      <c r="DUW411" s="120"/>
      <c r="DUX411" s="120"/>
      <c r="DUY411" s="120"/>
      <c r="DUZ411" s="121"/>
      <c r="DVA411" s="119"/>
      <c r="DVB411" s="120"/>
      <c r="DVC411" s="120"/>
      <c r="DVD411" s="120"/>
      <c r="DVE411" s="120"/>
      <c r="DVF411" s="120"/>
      <c r="DVG411" s="121"/>
      <c r="DVH411" s="119"/>
      <c r="DVI411" s="120"/>
      <c r="DVJ411" s="120"/>
      <c r="DVK411" s="120"/>
      <c r="DVL411" s="120"/>
      <c r="DVM411" s="120"/>
      <c r="DVN411" s="121"/>
      <c r="DVO411" s="119"/>
      <c r="DVP411" s="120"/>
      <c r="DVQ411" s="120"/>
      <c r="DVR411" s="120"/>
      <c r="DVS411" s="120"/>
      <c r="DVT411" s="120"/>
      <c r="DVU411" s="121"/>
      <c r="DVV411" s="119"/>
      <c r="DVW411" s="120"/>
      <c r="DVX411" s="120"/>
      <c r="DVY411" s="120"/>
      <c r="DVZ411" s="120"/>
      <c r="DWA411" s="120"/>
      <c r="DWB411" s="121"/>
      <c r="DWC411" s="119"/>
      <c r="DWD411" s="120"/>
      <c r="DWE411" s="120"/>
      <c r="DWF411" s="120"/>
      <c r="DWG411" s="120"/>
      <c r="DWH411" s="120"/>
      <c r="DWI411" s="121"/>
      <c r="DWJ411" s="119"/>
      <c r="DWK411" s="120"/>
      <c r="DWL411" s="120"/>
      <c r="DWM411" s="120"/>
      <c r="DWN411" s="120"/>
      <c r="DWO411" s="120"/>
      <c r="DWP411" s="121"/>
      <c r="DWQ411" s="119"/>
      <c r="DWR411" s="120"/>
      <c r="DWS411" s="120"/>
      <c r="DWT411" s="120"/>
      <c r="DWU411" s="120"/>
      <c r="DWV411" s="120"/>
      <c r="DWW411" s="121"/>
      <c r="DWX411" s="119"/>
      <c r="DWY411" s="120"/>
      <c r="DWZ411" s="120"/>
      <c r="DXA411" s="120"/>
      <c r="DXB411" s="120"/>
      <c r="DXC411" s="120"/>
      <c r="DXD411" s="121"/>
      <c r="DXE411" s="119"/>
      <c r="DXF411" s="120"/>
      <c r="DXG411" s="120"/>
      <c r="DXH411" s="120"/>
      <c r="DXI411" s="120"/>
      <c r="DXJ411" s="120"/>
      <c r="DXK411" s="121"/>
      <c r="DXL411" s="119"/>
      <c r="DXM411" s="120"/>
      <c r="DXN411" s="120"/>
      <c r="DXO411" s="120"/>
      <c r="DXP411" s="120"/>
      <c r="DXQ411" s="120"/>
      <c r="DXR411" s="121"/>
      <c r="DXS411" s="119"/>
      <c r="DXT411" s="120"/>
      <c r="DXU411" s="120"/>
      <c r="DXV411" s="120"/>
      <c r="DXW411" s="120"/>
      <c r="DXX411" s="120"/>
      <c r="DXY411" s="121"/>
      <c r="DXZ411" s="119"/>
      <c r="DYA411" s="120"/>
      <c r="DYB411" s="120"/>
      <c r="DYC411" s="120"/>
      <c r="DYD411" s="120"/>
      <c r="DYE411" s="120"/>
      <c r="DYF411" s="121"/>
      <c r="DYG411" s="119"/>
      <c r="DYH411" s="120"/>
      <c r="DYI411" s="120"/>
      <c r="DYJ411" s="120"/>
      <c r="DYK411" s="120"/>
      <c r="DYL411" s="120"/>
      <c r="DYM411" s="121"/>
      <c r="DYN411" s="119"/>
      <c r="DYO411" s="120"/>
      <c r="DYP411" s="120"/>
      <c r="DYQ411" s="120"/>
      <c r="DYR411" s="120"/>
      <c r="DYS411" s="120"/>
      <c r="DYT411" s="121"/>
      <c r="DYU411" s="119"/>
      <c r="DYV411" s="120"/>
      <c r="DYW411" s="120"/>
      <c r="DYX411" s="120"/>
      <c r="DYY411" s="120"/>
      <c r="DYZ411" s="120"/>
      <c r="DZA411" s="121"/>
      <c r="DZB411" s="119"/>
      <c r="DZC411" s="120"/>
      <c r="DZD411" s="120"/>
      <c r="DZE411" s="120"/>
      <c r="DZF411" s="120"/>
      <c r="DZG411" s="120"/>
      <c r="DZH411" s="121"/>
      <c r="DZI411" s="119"/>
      <c r="DZJ411" s="120"/>
      <c r="DZK411" s="120"/>
      <c r="DZL411" s="120"/>
      <c r="DZM411" s="120"/>
      <c r="DZN411" s="120"/>
      <c r="DZO411" s="121"/>
      <c r="DZP411" s="119"/>
      <c r="DZQ411" s="120"/>
      <c r="DZR411" s="120"/>
      <c r="DZS411" s="120"/>
      <c r="DZT411" s="120"/>
      <c r="DZU411" s="120"/>
      <c r="DZV411" s="121"/>
      <c r="DZW411" s="119"/>
      <c r="DZX411" s="120"/>
      <c r="DZY411" s="120"/>
      <c r="DZZ411" s="120"/>
      <c r="EAA411" s="120"/>
      <c r="EAB411" s="120"/>
      <c r="EAC411" s="121"/>
      <c r="EAD411" s="119"/>
      <c r="EAE411" s="120"/>
      <c r="EAF411" s="120"/>
      <c r="EAG411" s="120"/>
      <c r="EAH411" s="120"/>
      <c r="EAI411" s="120"/>
      <c r="EAJ411" s="121"/>
      <c r="EAK411" s="119"/>
      <c r="EAL411" s="120"/>
      <c r="EAM411" s="120"/>
      <c r="EAN411" s="120"/>
      <c r="EAO411" s="120"/>
      <c r="EAP411" s="120"/>
      <c r="EAQ411" s="121"/>
      <c r="EAR411" s="119"/>
      <c r="EAS411" s="120"/>
      <c r="EAT411" s="120"/>
      <c r="EAU411" s="120"/>
      <c r="EAV411" s="120"/>
      <c r="EAW411" s="120"/>
      <c r="EAX411" s="121"/>
      <c r="EAY411" s="119"/>
      <c r="EAZ411" s="120"/>
      <c r="EBA411" s="120"/>
      <c r="EBB411" s="120"/>
      <c r="EBC411" s="120"/>
      <c r="EBD411" s="120"/>
      <c r="EBE411" s="121"/>
      <c r="EBF411" s="119"/>
      <c r="EBG411" s="120"/>
      <c r="EBH411" s="120"/>
      <c r="EBI411" s="120"/>
      <c r="EBJ411" s="120"/>
      <c r="EBK411" s="120"/>
      <c r="EBL411" s="121"/>
      <c r="EBM411" s="119"/>
      <c r="EBN411" s="120"/>
      <c r="EBO411" s="120"/>
      <c r="EBP411" s="120"/>
      <c r="EBQ411" s="120"/>
      <c r="EBR411" s="120"/>
      <c r="EBS411" s="121"/>
      <c r="EBT411" s="119"/>
      <c r="EBU411" s="120"/>
      <c r="EBV411" s="120"/>
      <c r="EBW411" s="120"/>
      <c r="EBX411" s="120"/>
      <c r="EBY411" s="120"/>
      <c r="EBZ411" s="121"/>
      <c r="ECA411" s="119"/>
      <c r="ECB411" s="120"/>
      <c r="ECC411" s="120"/>
      <c r="ECD411" s="120"/>
      <c r="ECE411" s="120"/>
      <c r="ECF411" s="120"/>
      <c r="ECG411" s="121"/>
      <c r="ECH411" s="119"/>
      <c r="ECI411" s="120"/>
      <c r="ECJ411" s="120"/>
      <c r="ECK411" s="120"/>
      <c r="ECL411" s="120"/>
      <c r="ECM411" s="120"/>
      <c r="ECN411" s="121"/>
      <c r="ECO411" s="119"/>
      <c r="ECP411" s="120"/>
      <c r="ECQ411" s="120"/>
      <c r="ECR411" s="120"/>
      <c r="ECS411" s="120"/>
      <c r="ECT411" s="120"/>
      <c r="ECU411" s="121"/>
      <c r="ECV411" s="119"/>
      <c r="ECW411" s="120"/>
      <c r="ECX411" s="120"/>
      <c r="ECY411" s="120"/>
      <c r="ECZ411" s="120"/>
      <c r="EDA411" s="120"/>
      <c r="EDB411" s="121"/>
      <c r="EDC411" s="119"/>
      <c r="EDD411" s="120"/>
      <c r="EDE411" s="120"/>
      <c r="EDF411" s="120"/>
      <c r="EDG411" s="120"/>
      <c r="EDH411" s="120"/>
      <c r="EDI411" s="121"/>
      <c r="EDJ411" s="119"/>
      <c r="EDK411" s="120"/>
      <c r="EDL411" s="120"/>
      <c r="EDM411" s="120"/>
      <c r="EDN411" s="120"/>
      <c r="EDO411" s="120"/>
      <c r="EDP411" s="121"/>
      <c r="EDQ411" s="119"/>
      <c r="EDR411" s="120"/>
      <c r="EDS411" s="120"/>
      <c r="EDT411" s="120"/>
      <c r="EDU411" s="120"/>
      <c r="EDV411" s="120"/>
      <c r="EDW411" s="121"/>
      <c r="EDX411" s="119"/>
      <c r="EDY411" s="120"/>
      <c r="EDZ411" s="120"/>
      <c r="EEA411" s="120"/>
      <c r="EEB411" s="120"/>
      <c r="EEC411" s="120"/>
      <c r="EED411" s="121"/>
      <c r="EEE411" s="119"/>
      <c r="EEF411" s="120"/>
      <c r="EEG411" s="120"/>
      <c r="EEH411" s="120"/>
      <c r="EEI411" s="120"/>
      <c r="EEJ411" s="120"/>
      <c r="EEK411" s="121"/>
      <c r="EEL411" s="119"/>
      <c r="EEM411" s="120"/>
      <c r="EEN411" s="120"/>
      <c r="EEO411" s="120"/>
      <c r="EEP411" s="120"/>
      <c r="EEQ411" s="120"/>
      <c r="EER411" s="121"/>
      <c r="EES411" s="119"/>
      <c r="EET411" s="120"/>
      <c r="EEU411" s="120"/>
      <c r="EEV411" s="120"/>
      <c r="EEW411" s="120"/>
      <c r="EEX411" s="120"/>
      <c r="EEY411" s="121"/>
      <c r="EEZ411" s="119"/>
      <c r="EFA411" s="120"/>
      <c r="EFB411" s="120"/>
      <c r="EFC411" s="120"/>
      <c r="EFD411" s="120"/>
      <c r="EFE411" s="120"/>
      <c r="EFF411" s="121"/>
      <c r="EFG411" s="119"/>
      <c r="EFH411" s="120"/>
      <c r="EFI411" s="120"/>
      <c r="EFJ411" s="120"/>
      <c r="EFK411" s="120"/>
      <c r="EFL411" s="120"/>
      <c r="EFM411" s="121"/>
      <c r="EFN411" s="119"/>
      <c r="EFO411" s="120"/>
      <c r="EFP411" s="120"/>
      <c r="EFQ411" s="120"/>
      <c r="EFR411" s="120"/>
      <c r="EFS411" s="120"/>
      <c r="EFT411" s="121"/>
      <c r="EFU411" s="119"/>
      <c r="EFV411" s="120"/>
      <c r="EFW411" s="120"/>
      <c r="EFX411" s="120"/>
      <c r="EFY411" s="120"/>
      <c r="EFZ411" s="120"/>
      <c r="EGA411" s="121"/>
      <c r="EGB411" s="119"/>
      <c r="EGC411" s="120"/>
      <c r="EGD411" s="120"/>
      <c r="EGE411" s="120"/>
      <c r="EGF411" s="120"/>
      <c r="EGG411" s="120"/>
      <c r="EGH411" s="121"/>
      <c r="EGI411" s="119"/>
      <c r="EGJ411" s="120"/>
      <c r="EGK411" s="120"/>
      <c r="EGL411" s="120"/>
      <c r="EGM411" s="120"/>
      <c r="EGN411" s="120"/>
      <c r="EGO411" s="121"/>
      <c r="EGP411" s="119"/>
      <c r="EGQ411" s="120"/>
      <c r="EGR411" s="120"/>
      <c r="EGS411" s="120"/>
      <c r="EGT411" s="120"/>
      <c r="EGU411" s="120"/>
      <c r="EGV411" s="121"/>
      <c r="EGW411" s="119"/>
      <c r="EGX411" s="120"/>
      <c r="EGY411" s="120"/>
      <c r="EGZ411" s="120"/>
      <c r="EHA411" s="120"/>
      <c r="EHB411" s="120"/>
      <c r="EHC411" s="121"/>
      <c r="EHD411" s="119"/>
      <c r="EHE411" s="120"/>
      <c r="EHF411" s="120"/>
      <c r="EHG411" s="120"/>
      <c r="EHH411" s="120"/>
      <c r="EHI411" s="120"/>
      <c r="EHJ411" s="121"/>
      <c r="EHK411" s="119"/>
      <c r="EHL411" s="120"/>
      <c r="EHM411" s="120"/>
      <c r="EHN411" s="120"/>
      <c r="EHO411" s="120"/>
      <c r="EHP411" s="120"/>
      <c r="EHQ411" s="121"/>
      <c r="EHR411" s="119"/>
      <c r="EHS411" s="120"/>
      <c r="EHT411" s="120"/>
      <c r="EHU411" s="120"/>
      <c r="EHV411" s="120"/>
      <c r="EHW411" s="120"/>
      <c r="EHX411" s="121"/>
      <c r="EHY411" s="119"/>
      <c r="EHZ411" s="120"/>
      <c r="EIA411" s="120"/>
      <c r="EIB411" s="120"/>
      <c r="EIC411" s="120"/>
      <c r="EID411" s="120"/>
      <c r="EIE411" s="121"/>
      <c r="EIF411" s="119"/>
      <c r="EIG411" s="120"/>
      <c r="EIH411" s="120"/>
      <c r="EII411" s="120"/>
      <c r="EIJ411" s="120"/>
      <c r="EIK411" s="120"/>
      <c r="EIL411" s="121"/>
      <c r="EIM411" s="119"/>
      <c r="EIN411" s="120"/>
      <c r="EIO411" s="120"/>
      <c r="EIP411" s="120"/>
      <c r="EIQ411" s="120"/>
      <c r="EIR411" s="120"/>
      <c r="EIS411" s="121"/>
      <c r="EIT411" s="119"/>
      <c r="EIU411" s="120"/>
      <c r="EIV411" s="120"/>
      <c r="EIW411" s="120"/>
      <c r="EIX411" s="120"/>
      <c r="EIY411" s="120"/>
      <c r="EIZ411" s="121"/>
      <c r="EJA411" s="119"/>
      <c r="EJB411" s="120"/>
      <c r="EJC411" s="120"/>
      <c r="EJD411" s="120"/>
      <c r="EJE411" s="120"/>
      <c r="EJF411" s="120"/>
      <c r="EJG411" s="121"/>
      <c r="EJH411" s="119"/>
      <c r="EJI411" s="120"/>
      <c r="EJJ411" s="120"/>
      <c r="EJK411" s="120"/>
      <c r="EJL411" s="120"/>
      <c r="EJM411" s="120"/>
      <c r="EJN411" s="121"/>
      <c r="EJO411" s="119"/>
      <c r="EJP411" s="120"/>
      <c r="EJQ411" s="120"/>
      <c r="EJR411" s="120"/>
      <c r="EJS411" s="120"/>
      <c r="EJT411" s="120"/>
      <c r="EJU411" s="121"/>
      <c r="EJV411" s="119"/>
      <c r="EJW411" s="120"/>
      <c r="EJX411" s="120"/>
      <c r="EJY411" s="120"/>
      <c r="EJZ411" s="120"/>
      <c r="EKA411" s="120"/>
      <c r="EKB411" s="121"/>
      <c r="EKC411" s="119"/>
      <c r="EKD411" s="120"/>
      <c r="EKE411" s="120"/>
      <c r="EKF411" s="120"/>
      <c r="EKG411" s="120"/>
      <c r="EKH411" s="120"/>
      <c r="EKI411" s="121"/>
      <c r="EKJ411" s="119"/>
      <c r="EKK411" s="120"/>
      <c r="EKL411" s="120"/>
      <c r="EKM411" s="120"/>
      <c r="EKN411" s="120"/>
      <c r="EKO411" s="120"/>
      <c r="EKP411" s="121"/>
      <c r="EKQ411" s="119"/>
      <c r="EKR411" s="120"/>
      <c r="EKS411" s="120"/>
      <c r="EKT411" s="120"/>
      <c r="EKU411" s="120"/>
      <c r="EKV411" s="120"/>
      <c r="EKW411" s="121"/>
      <c r="EKX411" s="119"/>
      <c r="EKY411" s="120"/>
      <c r="EKZ411" s="120"/>
      <c r="ELA411" s="120"/>
      <c r="ELB411" s="120"/>
      <c r="ELC411" s="120"/>
      <c r="ELD411" s="121"/>
      <c r="ELE411" s="119"/>
      <c r="ELF411" s="120"/>
      <c r="ELG411" s="120"/>
      <c r="ELH411" s="120"/>
      <c r="ELI411" s="120"/>
      <c r="ELJ411" s="120"/>
      <c r="ELK411" s="121"/>
      <c r="ELL411" s="119"/>
      <c r="ELM411" s="120"/>
      <c r="ELN411" s="120"/>
      <c r="ELO411" s="120"/>
      <c r="ELP411" s="120"/>
      <c r="ELQ411" s="120"/>
      <c r="ELR411" s="121"/>
      <c r="ELS411" s="119"/>
      <c r="ELT411" s="120"/>
      <c r="ELU411" s="120"/>
      <c r="ELV411" s="120"/>
      <c r="ELW411" s="120"/>
      <c r="ELX411" s="120"/>
      <c r="ELY411" s="121"/>
      <c r="ELZ411" s="119"/>
      <c r="EMA411" s="120"/>
      <c r="EMB411" s="120"/>
      <c r="EMC411" s="120"/>
      <c r="EMD411" s="120"/>
      <c r="EME411" s="120"/>
      <c r="EMF411" s="121"/>
      <c r="EMG411" s="119"/>
      <c r="EMH411" s="120"/>
      <c r="EMI411" s="120"/>
      <c r="EMJ411" s="120"/>
      <c r="EMK411" s="120"/>
      <c r="EML411" s="120"/>
      <c r="EMM411" s="121"/>
      <c r="EMN411" s="119"/>
      <c r="EMO411" s="120"/>
      <c r="EMP411" s="120"/>
      <c r="EMQ411" s="120"/>
      <c r="EMR411" s="120"/>
      <c r="EMS411" s="120"/>
      <c r="EMT411" s="121"/>
      <c r="EMU411" s="119"/>
      <c r="EMV411" s="120"/>
      <c r="EMW411" s="120"/>
      <c r="EMX411" s="120"/>
      <c r="EMY411" s="120"/>
      <c r="EMZ411" s="120"/>
      <c r="ENA411" s="121"/>
      <c r="ENB411" s="119"/>
      <c r="ENC411" s="120"/>
      <c r="END411" s="120"/>
      <c r="ENE411" s="120"/>
      <c r="ENF411" s="120"/>
      <c r="ENG411" s="120"/>
      <c r="ENH411" s="121"/>
      <c r="ENI411" s="119"/>
      <c r="ENJ411" s="120"/>
      <c r="ENK411" s="120"/>
      <c r="ENL411" s="120"/>
      <c r="ENM411" s="120"/>
      <c r="ENN411" s="120"/>
      <c r="ENO411" s="121"/>
      <c r="ENP411" s="119"/>
      <c r="ENQ411" s="120"/>
      <c r="ENR411" s="120"/>
      <c r="ENS411" s="120"/>
      <c r="ENT411" s="120"/>
      <c r="ENU411" s="120"/>
      <c r="ENV411" s="121"/>
      <c r="ENW411" s="119"/>
      <c r="ENX411" s="120"/>
      <c r="ENY411" s="120"/>
      <c r="ENZ411" s="120"/>
      <c r="EOA411" s="120"/>
      <c r="EOB411" s="120"/>
      <c r="EOC411" s="121"/>
      <c r="EOD411" s="119"/>
      <c r="EOE411" s="120"/>
      <c r="EOF411" s="120"/>
      <c r="EOG411" s="120"/>
      <c r="EOH411" s="120"/>
      <c r="EOI411" s="120"/>
      <c r="EOJ411" s="121"/>
      <c r="EOK411" s="119"/>
      <c r="EOL411" s="120"/>
      <c r="EOM411" s="120"/>
      <c r="EON411" s="120"/>
      <c r="EOO411" s="120"/>
      <c r="EOP411" s="120"/>
      <c r="EOQ411" s="121"/>
      <c r="EOR411" s="119"/>
      <c r="EOS411" s="120"/>
      <c r="EOT411" s="120"/>
      <c r="EOU411" s="120"/>
      <c r="EOV411" s="120"/>
      <c r="EOW411" s="120"/>
      <c r="EOX411" s="121"/>
      <c r="EOY411" s="119"/>
      <c r="EOZ411" s="120"/>
      <c r="EPA411" s="120"/>
      <c r="EPB411" s="120"/>
      <c r="EPC411" s="120"/>
      <c r="EPD411" s="120"/>
      <c r="EPE411" s="121"/>
      <c r="EPF411" s="119"/>
      <c r="EPG411" s="120"/>
      <c r="EPH411" s="120"/>
      <c r="EPI411" s="120"/>
      <c r="EPJ411" s="120"/>
      <c r="EPK411" s="120"/>
      <c r="EPL411" s="121"/>
      <c r="EPM411" s="119"/>
      <c r="EPN411" s="120"/>
      <c r="EPO411" s="120"/>
      <c r="EPP411" s="120"/>
      <c r="EPQ411" s="120"/>
      <c r="EPR411" s="120"/>
      <c r="EPS411" s="121"/>
      <c r="EPT411" s="119"/>
      <c r="EPU411" s="120"/>
      <c r="EPV411" s="120"/>
      <c r="EPW411" s="120"/>
      <c r="EPX411" s="120"/>
      <c r="EPY411" s="120"/>
      <c r="EPZ411" s="121"/>
      <c r="EQA411" s="119"/>
      <c r="EQB411" s="120"/>
      <c r="EQC411" s="120"/>
      <c r="EQD411" s="120"/>
      <c r="EQE411" s="120"/>
      <c r="EQF411" s="120"/>
      <c r="EQG411" s="121"/>
      <c r="EQH411" s="119"/>
      <c r="EQI411" s="120"/>
      <c r="EQJ411" s="120"/>
      <c r="EQK411" s="120"/>
      <c r="EQL411" s="120"/>
      <c r="EQM411" s="120"/>
      <c r="EQN411" s="121"/>
      <c r="EQO411" s="119"/>
      <c r="EQP411" s="120"/>
      <c r="EQQ411" s="120"/>
      <c r="EQR411" s="120"/>
      <c r="EQS411" s="120"/>
      <c r="EQT411" s="120"/>
      <c r="EQU411" s="121"/>
      <c r="EQV411" s="119"/>
      <c r="EQW411" s="120"/>
      <c r="EQX411" s="120"/>
      <c r="EQY411" s="120"/>
      <c r="EQZ411" s="120"/>
      <c r="ERA411" s="120"/>
      <c r="ERB411" s="121"/>
      <c r="ERC411" s="119"/>
      <c r="ERD411" s="120"/>
      <c r="ERE411" s="120"/>
      <c r="ERF411" s="120"/>
      <c r="ERG411" s="120"/>
      <c r="ERH411" s="120"/>
      <c r="ERI411" s="121"/>
      <c r="ERJ411" s="119"/>
      <c r="ERK411" s="120"/>
      <c r="ERL411" s="120"/>
      <c r="ERM411" s="120"/>
      <c r="ERN411" s="120"/>
      <c r="ERO411" s="120"/>
      <c r="ERP411" s="121"/>
      <c r="ERQ411" s="119"/>
      <c r="ERR411" s="120"/>
      <c r="ERS411" s="120"/>
      <c r="ERT411" s="120"/>
      <c r="ERU411" s="120"/>
      <c r="ERV411" s="120"/>
      <c r="ERW411" s="121"/>
      <c r="ERX411" s="119"/>
      <c r="ERY411" s="120"/>
      <c r="ERZ411" s="120"/>
      <c r="ESA411" s="120"/>
      <c r="ESB411" s="120"/>
      <c r="ESC411" s="120"/>
      <c r="ESD411" s="121"/>
      <c r="ESE411" s="119"/>
      <c r="ESF411" s="120"/>
      <c r="ESG411" s="120"/>
      <c r="ESH411" s="120"/>
      <c r="ESI411" s="120"/>
      <c r="ESJ411" s="120"/>
      <c r="ESK411" s="121"/>
      <c r="ESL411" s="119"/>
      <c r="ESM411" s="120"/>
      <c r="ESN411" s="120"/>
      <c r="ESO411" s="120"/>
      <c r="ESP411" s="120"/>
      <c r="ESQ411" s="120"/>
      <c r="ESR411" s="121"/>
      <c r="ESS411" s="119"/>
      <c r="EST411" s="120"/>
      <c r="ESU411" s="120"/>
      <c r="ESV411" s="120"/>
      <c r="ESW411" s="120"/>
      <c r="ESX411" s="120"/>
      <c r="ESY411" s="121"/>
      <c r="ESZ411" s="119"/>
      <c r="ETA411" s="120"/>
      <c r="ETB411" s="120"/>
      <c r="ETC411" s="120"/>
      <c r="ETD411" s="120"/>
      <c r="ETE411" s="120"/>
      <c r="ETF411" s="121"/>
      <c r="ETG411" s="119"/>
      <c r="ETH411" s="120"/>
      <c r="ETI411" s="120"/>
      <c r="ETJ411" s="120"/>
      <c r="ETK411" s="120"/>
      <c r="ETL411" s="120"/>
      <c r="ETM411" s="121"/>
      <c r="ETN411" s="119"/>
      <c r="ETO411" s="120"/>
      <c r="ETP411" s="120"/>
      <c r="ETQ411" s="120"/>
      <c r="ETR411" s="120"/>
      <c r="ETS411" s="120"/>
      <c r="ETT411" s="121"/>
      <c r="ETU411" s="119"/>
      <c r="ETV411" s="120"/>
      <c r="ETW411" s="120"/>
      <c r="ETX411" s="120"/>
      <c r="ETY411" s="120"/>
      <c r="ETZ411" s="120"/>
      <c r="EUA411" s="121"/>
      <c r="EUB411" s="119"/>
      <c r="EUC411" s="120"/>
      <c r="EUD411" s="120"/>
      <c r="EUE411" s="120"/>
      <c r="EUF411" s="120"/>
      <c r="EUG411" s="120"/>
      <c r="EUH411" s="121"/>
      <c r="EUI411" s="119"/>
      <c r="EUJ411" s="120"/>
      <c r="EUK411" s="120"/>
      <c r="EUL411" s="120"/>
      <c r="EUM411" s="120"/>
      <c r="EUN411" s="120"/>
      <c r="EUO411" s="121"/>
      <c r="EUP411" s="119"/>
      <c r="EUQ411" s="120"/>
      <c r="EUR411" s="120"/>
      <c r="EUS411" s="120"/>
      <c r="EUT411" s="120"/>
      <c r="EUU411" s="120"/>
      <c r="EUV411" s="121"/>
      <c r="EUW411" s="119"/>
      <c r="EUX411" s="120"/>
      <c r="EUY411" s="120"/>
      <c r="EUZ411" s="120"/>
      <c r="EVA411" s="120"/>
      <c r="EVB411" s="120"/>
      <c r="EVC411" s="121"/>
      <c r="EVD411" s="119"/>
      <c r="EVE411" s="120"/>
      <c r="EVF411" s="120"/>
      <c r="EVG411" s="120"/>
      <c r="EVH411" s="120"/>
      <c r="EVI411" s="120"/>
      <c r="EVJ411" s="121"/>
      <c r="EVK411" s="119"/>
      <c r="EVL411" s="120"/>
      <c r="EVM411" s="120"/>
      <c r="EVN411" s="120"/>
      <c r="EVO411" s="120"/>
      <c r="EVP411" s="120"/>
      <c r="EVQ411" s="121"/>
      <c r="EVR411" s="119"/>
      <c r="EVS411" s="120"/>
      <c r="EVT411" s="120"/>
      <c r="EVU411" s="120"/>
      <c r="EVV411" s="120"/>
      <c r="EVW411" s="120"/>
      <c r="EVX411" s="121"/>
      <c r="EVY411" s="119"/>
      <c r="EVZ411" s="120"/>
      <c r="EWA411" s="120"/>
      <c r="EWB411" s="120"/>
      <c r="EWC411" s="120"/>
      <c r="EWD411" s="120"/>
      <c r="EWE411" s="121"/>
      <c r="EWF411" s="119"/>
      <c r="EWG411" s="120"/>
      <c r="EWH411" s="120"/>
      <c r="EWI411" s="120"/>
      <c r="EWJ411" s="120"/>
      <c r="EWK411" s="120"/>
      <c r="EWL411" s="121"/>
      <c r="EWM411" s="119"/>
      <c r="EWN411" s="120"/>
      <c r="EWO411" s="120"/>
      <c r="EWP411" s="120"/>
      <c r="EWQ411" s="120"/>
      <c r="EWR411" s="120"/>
      <c r="EWS411" s="121"/>
      <c r="EWT411" s="119"/>
      <c r="EWU411" s="120"/>
      <c r="EWV411" s="120"/>
      <c r="EWW411" s="120"/>
      <c r="EWX411" s="120"/>
      <c r="EWY411" s="120"/>
      <c r="EWZ411" s="121"/>
      <c r="EXA411" s="119"/>
      <c r="EXB411" s="120"/>
      <c r="EXC411" s="120"/>
      <c r="EXD411" s="120"/>
      <c r="EXE411" s="120"/>
      <c r="EXF411" s="120"/>
      <c r="EXG411" s="121"/>
      <c r="EXH411" s="119"/>
      <c r="EXI411" s="120"/>
      <c r="EXJ411" s="120"/>
      <c r="EXK411" s="120"/>
      <c r="EXL411" s="120"/>
      <c r="EXM411" s="120"/>
      <c r="EXN411" s="121"/>
      <c r="EXO411" s="119"/>
      <c r="EXP411" s="120"/>
      <c r="EXQ411" s="120"/>
      <c r="EXR411" s="120"/>
      <c r="EXS411" s="120"/>
      <c r="EXT411" s="120"/>
      <c r="EXU411" s="121"/>
      <c r="EXV411" s="119"/>
      <c r="EXW411" s="120"/>
      <c r="EXX411" s="120"/>
      <c r="EXY411" s="120"/>
      <c r="EXZ411" s="120"/>
      <c r="EYA411" s="120"/>
      <c r="EYB411" s="121"/>
      <c r="EYC411" s="119"/>
      <c r="EYD411" s="120"/>
      <c r="EYE411" s="120"/>
      <c r="EYF411" s="120"/>
      <c r="EYG411" s="120"/>
      <c r="EYH411" s="120"/>
      <c r="EYI411" s="121"/>
      <c r="EYJ411" s="119"/>
      <c r="EYK411" s="120"/>
      <c r="EYL411" s="120"/>
      <c r="EYM411" s="120"/>
      <c r="EYN411" s="120"/>
      <c r="EYO411" s="120"/>
      <c r="EYP411" s="121"/>
      <c r="EYQ411" s="119"/>
      <c r="EYR411" s="120"/>
      <c r="EYS411" s="120"/>
      <c r="EYT411" s="120"/>
      <c r="EYU411" s="120"/>
      <c r="EYV411" s="120"/>
      <c r="EYW411" s="121"/>
      <c r="EYX411" s="119"/>
      <c r="EYY411" s="120"/>
      <c r="EYZ411" s="120"/>
      <c r="EZA411" s="120"/>
      <c r="EZB411" s="120"/>
      <c r="EZC411" s="120"/>
      <c r="EZD411" s="121"/>
      <c r="EZE411" s="119"/>
      <c r="EZF411" s="120"/>
      <c r="EZG411" s="120"/>
      <c r="EZH411" s="120"/>
      <c r="EZI411" s="120"/>
      <c r="EZJ411" s="120"/>
      <c r="EZK411" s="121"/>
      <c r="EZL411" s="119"/>
      <c r="EZM411" s="120"/>
      <c r="EZN411" s="120"/>
      <c r="EZO411" s="120"/>
      <c r="EZP411" s="120"/>
      <c r="EZQ411" s="120"/>
      <c r="EZR411" s="121"/>
      <c r="EZS411" s="119"/>
      <c r="EZT411" s="120"/>
      <c r="EZU411" s="120"/>
      <c r="EZV411" s="120"/>
      <c r="EZW411" s="120"/>
      <c r="EZX411" s="120"/>
      <c r="EZY411" s="121"/>
      <c r="EZZ411" s="119"/>
      <c r="FAA411" s="120"/>
      <c r="FAB411" s="120"/>
      <c r="FAC411" s="120"/>
      <c r="FAD411" s="120"/>
      <c r="FAE411" s="120"/>
      <c r="FAF411" s="121"/>
      <c r="FAG411" s="119"/>
      <c r="FAH411" s="120"/>
      <c r="FAI411" s="120"/>
      <c r="FAJ411" s="120"/>
      <c r="FAK411" s="120"/>
      <c r="FAL411" s="120"/>
      <c r="FAM411" s="121"/>
      <c r="FAN411" s="119"/>
      <c r="FAO411" s="120"/>
      <c r="FAP411" s="120"/>
      <c r="FAQ411" s="120"/>
      <c r="FAR411" s="120"/>
      <c r="FAS411" s="120"/>
      <c r="FAT411" s="121"/>
      <c r="FAU411" s="119"/>
      <c r="FAV411" s="120"/>
      <c r="FAW411" s="120"/>
      <c r="FAX411" s="120"/>
      <c r="FAY411" s="120"/>
      <c r="FAZ411" s="120"/>
      <c r="FBA411" s="121"/>
      <c r="FBB411" s="119"/>
      <c r="FBC411" s="120"/>
      <c r="FBD411" s="120"/>
      <c r="FBE411" s="120"/>
      <c r="FBF411" s="120"/>
      <c r="FBG411" s="120"/>
      <c r="FBH411" s="121"/>
      <c r="FBI411" s="119"/>
      <c r="FBJ411" s="120"/>
      <c r="FBK411" s="120"/>
      <c r="FBL411" s="120"/>
      <c r="FBM411" s="120"/>
      <c r="FBN411" s="120"/>
      <c r="FBO411" s="121"/>
      <c r="FBP411" s="119"/>
      <c r="FBQ411" s="120"/>
      <c r="FBR411" s="120"/>
      <c r="FBS411" s="120"/>
      <c r="FBT411" s="120"/>
      <c r="FBU411" s="120"/>
      <c r="FBV411" s="121"/>
      <c r="FBW411" s="119"/>
      <c r="FBX411" s="120"/>
      <c r="FBY411" s="120"/>
      <c r="FBZ411" s="120"/>
      <c r="FCA411" s="120"/>
      <c r="FCB411" s="120"/>
      <c r="FCC411" s="121"/>
      <c r="FCD411" s="119"/>
      <c r="FCE411" s="120"/>
      <c r="FCF411" s="120"/>
      <c r="FCG411" s="120"/>
      <c r="FCH411" s="120"/>
      <c r="FCI411" s="120"/>
      <c r="FCJ411" s="121"/>
      <c r="FCK411" s="119"/>
      <c r="FCL411" s="120"/>
      <c r="FCM411" s="120"/>
      <c r="FCN411" s="120"/>
      <c r="FCO411" s="120"/>
      <c r="FCP411" s="120"/>
      <c r="FCQ411" s="121"/>
      <c r="FCR411" s="119"/>
      <c r="FCS411" s="120"/>
      <c r="FCT411" s="120"/>
      <c r="FCU411" s="120"/>
      <c r="FCV411" s="120"/>
      <c r="FCW411" s="120"/>
      <c r="FCX411" s="121"/>
      <c r="FCY411" s="119"/>
      <c r="FCZ411" s="120"/>
      <c r="FDA411" s="120"/>
      <c r="FDB411" s="120"/>
      <c r="FDC411" s="120"/>
      <c r="FDD411" s="120"/>
      <c r="FDE411" s="121"/>
      <c r="FDF411" s="119"/>
      <c r="FDG411" s="120"/>
      <c r="FDH411" s="120"/>
      <c r="FDI411" s="120"/>
      <c r="FDJ411" s="120"/>
      <c r="FDK411" s="120"/>
      <c r="FDL411" s="121"/>
      <c r="FDM411" s="119"/>
      <c r="FDN411" s="120"/>
      <c r="FDO411" s="120"/>
      <c r="FDP411" s="120"/>
      <c r="FDQ411" s="120"/>
      <c r="FDR411" s="120"/>
      <c r="FDS411" s="121"/>
      <c r="FDT411" s="119"/>
      <c r="FDU411" s="120"/>
      <c r="FDV411" s="120"/>
      <c r="FDW411" s="120"/>
      <c r="FDX411" s="120"/>
      <c r="FDY411" s="120"/>
      <c r="FDZ411" s="121"/>
      <c r="FEA411" s="119"/>
      <c r="FEB411" s="120"/>
      <c r="FEC411" s="120"/>
      <c r="FED411" s="120"/>
      <c r="FEE411" s="120"/>
      <c r="FEF411" s="120"/>
      <c r="FEG411" s="121"/>
      <c r="FEH411" s="119"/>
      <c r="FEI411" s="120"/>
      <c r="FEJ411" s="120"/>
      <c r="FEK411" s="120"/>
      <c r="FEL411" s="120"/>
      <c r="FEM411" s="120"/>
      <c r="FEN411" s="121"/>
      <c r="FEO411" s="119"/>
      <c r="FEP411" s="120"/>
      <c r="FEQ411" s="120"/>
      <c r="FER411" s="120"/>
      <c r="FES411" s="120"/>
      <c r="FET411" s="120"/>
      <c r="FEU411" s="121"/>
      <c r="FEV411" s="119"/>
      <c r="FEW411" s="120"/>
      <c r="FEX411" s="120"/>
      <c r="FEY411" s="120"/>
      <c r="FEZ411" s="120"/>
      <c r="FFA411" s="120"/>
      <c r="FFB411" s="121"/>
      <c r="FFC411" s="119"/>
      <c r="FFD411" s="120"/>
      <c r="FFE411" s="120"/>
      <c r="FFF411" s="120"/>
      <c r="FFG411" s="120"/>
      <c r="FFH411" s="120"/>
      <c r="FFI411" s="121"/>
      <c r="FFJ411" s="119"/>
      <c r="FFK411" s="120"/>
      <c r="FFL411" s="120"/>
      <c r="FFM411" s="120"/>
      <c r="FFN411" s="120"/>
      <c r="FFO411" s="120"/>
      <c r="FFP411" s="121"/>
      <c r="FFQ411" s="119"/>
      <c r="FFR411" s="120"/>
      <c r="FFS411" s="120"/>
      <c r="FFT411" s="120"/>
      <c r="FFU411" s="120"/>
      <c r="FFV411" s="120"/>
      <c r="FFW411" s="121"/>
      <c r="FFX411" s="119"/>
      <c r="FFY411" s="120"/>
      <c r="FFZ411" s="120"/>
      <c r="FGA411" s="120"/>
      <c r="FGB411" s="120"/>
      <c r="FGC411" s="120"/>
      <c r="FGD411" s="121"/>
      <c r="FGE411" s="119"/>
      <c r="FGF411" s="120"/>
      <c r="FGG411" s="120"/>
      <c r="FGH411" s="120"/>
      <c r="FGI411" s="120"/>
      <c r="FGJ411" s="120"/>
      <c r="FGK411" s="121"/>
      <c r="FGL411" s="119"/>
      <c r="FGM411" s="120"/>
      <c r="FGN411" s="120"/>
      <c r="FGO411" s="120"/>
      <c r="FGP411" s="120"/>
      <c r="FGQ411" s="120"/>
      <c r="FGR411" s="121"/>
      <c r="FGS411" s="119"/>
      <c r="FGT411" s="120"/>
      <c r="FGU411" s="120"/>
      <c r="FGV411" s="120"/>
      <c r="FGW411" s="120"/>
      <c r="FGX411" s="120"/>
      <c r="FGY411" s="121"/>
      <c r="FGZ411" s="119"/>
      <c r="FHA411" s="120"/>
      <c r="FHB411" s="120"/>
      <c r="FHC411" s="120"/>
      <c r="FHD411" s="120"/>
      <c r="FHE411" s="120"/>
      <c r="FHF411" s="121"/>
      <c r="FHG411" s="119"/>
      <c r="FHH411" s="120"/>
      <c r="FHI411" s="120"/>
      <c r="FHJ411" s="120"/>
      <c r="FHK411" s="120"/>
      <c r="FHL411" s="120"/>
      <c r="FHM411" s="121"/>
      <c r="FHN411" s="119"/>
      <c r="FHO411" s="120"/>
      <c r="FHP411" s="120"/>
      <c r="FHQ411" s="120"/>
      <c r="FHR411" s="120"/>
      <c r="FHS411" s="120"/>
      <c r="FHT411" s="121"/>
      <c r="FHU411" s="119"/>
      <c r="FHV411" s="120"/>
      <c r="FHW411" s="120"/>
      <c r="FHX411" s="120"/>
      <c r="FHY411" s="120"/>
      <c r="FHZ411" s="120"/>
      <c r="FIA411" s="121"/>
      <c r="FIB411" s="119"/>
      <c r="FIC411" s="120"/>
      <c r="FID411" s="120"/>
      <c r="FIE411" s="120"/>
      <c r="FIF411" s="120"/>
      <c r="FIG411" s="120"/>
      <c r="FIH411" s="121"/>
      <c r="FII411" s="119"/>
      <c r="FIJ411" s="120"/>
      <c r="FIK411" s="120"/>
      <c r="FIL411" s="120"/>
      <c r="FIM411" s="120"/>
      <c r="FIN411" s="120"/>
      <c r="FIO411" s="121"/>
      <c r="FIP411" s="119"/>
      <c r="FIQ411" s="120"/>
      <c r="FIR411" s="120"/>
      <c r="FIS411" s="120"/>
      <c r="FIT411" s="120"/>
      <c r="FIU411" s="120"/>
      <c r="FIV411" s="121"/>
      <c r="FIW411" s="119"/>
      <c r="FIX411" s="120"/>
      <c r="FIY411" s="120"/>
      <c r="FIZ411" s="120"/>
      <c r="FJA411" s="120"/>
      <c r="FJB411" s="120"/>
      <c r="FJC411" s="121"/>
      <c r="FJD411" s="119"/>
      <c r="FJE411" s="120"/>
      <c r="FJF411" s="120"/>
      <c r="FJG411" s="120"/>
      <c r="FJH411" s="120"/>
      <c r="FJI411" s="120"/>
      <c r="FJJ411" s="121"/>
      <c r="FJK411" s="119"/>
      <c r="FJL411" s="120"/>
      <c r="FJM411" s="120"/>
      <c r="FJN411" s="120"/>
      <c r="FJO411" s="120"/>
      <c r="FJP411" s="120"/>
      <c r="FJQ411" s="121"/>
      <c r="FJR411" s="119"/>
      <c r="FJS411" s="120"/>
      <c r="FJT411" s="120"/>
      <c r="FJU411" s="120"/>
      <c r="FJV411" s="120"/>
      <c r="FJW411" s="120"/>
      <c r="FJX411" s="121"/>
      <c r="FJY411" s="119"/>
      <c r="FJZ411" s="120"/>
      <c r="FKA411" s="120"/>
      <c r="FKB411" s="120"/>
      <c r="FKC411" s="120"/>
      <c r="FKD411" s="120"/>
      <c r="FKE411" s="121"/>
      <c r="FKF411" s="119"/>
      <c r="FKG411" s="120"/>
      <c r="FKH411" s="120"/>
      <c r="FKI411" s="120"/>
      <c r="FKJ411" s="120"/>
      <c r="FKK411" s="120"/>
      <c r="FKL411" s="121"/>
      <c r="FKM411" s="119"/>
      <c r="FKN411" s="120"/>
      <c r="FKO411" s="120"/>
      <c r="FKP411" s="120"/>
      <c r="FKQ411" s="120"/>
      <c r="FKR411" s="120"/>
      <c r="FKS411" s="121"/>
      <c r="FKT411" s="119"/>
      <c r="FKU411" s="120"/>
      <c r="FKV411" s="120"/>
      <c r="FKW411" s="120"/>
      <c r="FKX411" s="120"/>
      <c r="FKY411" s="120"/>
      <c r="FKZ411" s="121"/>
      <c r="FLA411" s="119"/>
      <c r="FLB411" s="120"/>
      <c r="FLC411" s="120"/>
      <c r="FLD411" s="120"/>
      <c r="FLE411" s="120"/>
      <c r="FLF411" s="120"/>
      <c r="FLG411" s="121"/>
      <c r="FLH411" s="119"/>
      <c r="FLI411" s="120"/>
      <c r="FLJ411" s="120"/>
      <c r="FLK411" s="120"/>
      <c r="FLL411" s="120"/>
      <c r="FLM411" s="120"/>
      <c r="FLN411" s="121"/>
      <c r="FLO411" s="119"/>
      <c r="FLP411" s="120"/>
      <c r="FLQ411" s="120"/>
      <c r="FLR411" s="120"/>
      <c r="FLS411" s="120"/>
      <c r="FLT411" s="120"/>
      <c r="FLU411" s="121"/>
      <c r="FLV411" s="119"/>
      <c r="FLW411" s="120"/>
      <c r="FLX411" s="120"/>
      <c r="FLY411" s="120"/>
      <c r="FLZ411" s="120"/>
      <c r="FMA411" s="120"/>
      <c r="FMB411" s="121"/>
      <c r="FMC411" s="119"/>
      <c r="FMD411" s="120"/>
      <c r="FME411" s="120"/>
      <c r="FMF411" s="120"/>
      <c r="FMG411" s="120"/>
      <c r="FMH411" s="120"/>
      <c r="FMI411" s="121"/>
      <c r="FMJ411" s="119"/>
      <c r="FMK411" s="120"/>
      <c r="FML411" s="120"/>
      <c r="FMM411" s="120"/>
      <c r="FMN411" s="120"/>
      <c r="FMO411" s="120"/>
      <c r="FMP411" s="121"/>
      <c r="FMQ411" s="119"/>
      <c r="FMR411" s="120"/>
      <c r="FMS411" s="120"/>
      <c r="FMT411" s="120"/>
      <c r="FMU411" s="120"/>
      <c r="FMV411" s="120"/>
      <c r="FMW411" s="121"/>
      <c r="FMX411" s="119"/>
      <c r="FMY411" s="120"/>
      <c r="FMZ411" s="120"/>
      <c r="FNA411" s="120"/>
      <c r="FNB411" s="120"/>
      <c r="FNC411" s="120"/>
      <c r="FND411" s="121"/>
      <c r="FNE411" s="119"/>
      <c r="FNF411" s="120"/>
      <c r="FNG411" s="120"/>
      <c r="FNH411" s="120"/>
      <c r="FNI411" s="120"/>
      <c r="FNJ411" s="120"/>
      <c r="FNK411" s="121"/>
      <c r="FNL411" s="119"/>
      <c r="FNM411" s="120"/>
      <c r="FNN411" s="120"/>
      <c r="FNO411" s="120"/>
      <c r="FNP411" s="120"/>
      <c r="FNQ411" s="120"/>
      <c r="FNR411" s="121"/>
      <c r="FNS411" s="119"/>
      <c r="FNT411" s="120"/>
      <c r="FNU411" s="120"/>
      <c r="FNV411" s="120"/>
      <c r="FNW411" s="120"/>
      <c r="FNX411" s="120"/>
      <c r="FNY411" s="121"/>
      <c r="FNZ411" s="119"/>
      <c r="FOA411" s="120"/>
      <c r="FOB411" s="120"/>
      <c r="FOC411" s="120"/>
      <c r="FOD411" s="120"/>
      <c r="FOE411" s="120"/>
      <c r="FOF411" s="121"/>
      <c r="FOG411" s="119"/>
      <c r="FOH411" s="120"/>
      <c r="FOI411" s="120"/>
      <c r="FOJ411" s="120"/>
      <c r="FOK411" s="120"/>
      <c r="FOL411" s="120"/>
      <c r="FOM411" s="121"/>
      <c r="FON411" s="119"/>
      <c r="FOO411" s="120"/>
      <c r="FOP411" s="120"/>
      <c r="FOQ411" s="120"/>
      <c r="FOR411" s="120"/>
      <c r="FOS411" s="120"/>
      <c r="FOT411" s="121"/>
      <c r="FOU411" s="119"/>
      <c r="FOV411" s="120"/>
      <c r="FOW411" s="120"/>
      <c r="FOX411" s="120"/>
      <c r="FOY411" s="120"/>
      <c r="FOZ411" s="120"/>
      <c r="FPA411" s="121"/>
      <c r="FPB411" s="119"/>
      <c r="FPC411" s="120"/>
      <c r="FPD411" s="120"/>
      <c r="FPE411" s="120"/>
      <c r="FPF411" s="120"/>
      <c r="FPG411" s="120"/>
      <c r="FPH411" s="121"/>
      <c r="FPI411" s="119"/>
      <c r="FPJ411" s="120"/>
      <c r="FPK411" s="120"/>
      <c r="FPL411" s="120"/>
      <c r="FPM411" s="120"/>
      <c r="FPN411" s="120"/>
      <c r="FPO411" s="121"/>
      <c r="FPP411" s="119"/>
      <c r="FPQ411" s="120"/>
      <c r="FPR411" s="120"/>
      <c r="FPS411" s="120"/>
      <c r="FPT411" s="120"/>
      <c r="FPU411" s="120"/>
      <c r="FPV411" s="121"/>
      <c r="FPW411" s="119"/>
      <c r="FPX411" s="120"/>
      <c r="FPY411" s="120"/>
      <c r="FPZ411" s="120"/>
      <c r="FQA411" s="120"/>
      <c r="FQB411" s="120"/>
      <c r="FQC411" s="121"/>
      <c r="FQD411" s="119"/>
      <c r="FQE411" s="120"/>
      <c r="FQF411" s="120"/>
      <c r="FQG411" s="120"/>
      <c r="FQH411" s="120"/>
      <c r="FQI411" s="120"/>
      <c r="FQJ411" s="121"/>
      <c r="FQK411" s="119"/>
      <c r="FQL411" s="120"/>
      <c r="FQM411" s="120"/>
      <c r="FQN411" s="120"/>
      <c r="FQO411" s="120"/>
      <c r="FQP411" s="120"/>
      <c r="FQQ411" s="121"/>
      <c r="FQR411" s="119"/>
      <c r="FQS411" s="120"/>
      <c r="FQT411" s="120"/>
      <c r="FQU411" s="120"/>
      <c r="FQV411" s="120"/>
      <c r="FQW411" s="120"/>
      <c r="FQX411" s="121"/>
      <c r="FQY411" s="119"/>
      <c r="FQZ411" s="120"/>
      <c r="FRA411" s="120"/>
      <c r="FRB411" s="120"/>
      <c r="FRC411" s="120"/>
      <c r="FRD411" s="120"/>
      <c r="FRE411" s="121"/>
      <c r="FRF411" s="119"/>
      <c r="FRG411" s="120"/>
      <c r="FRH411" s="120"/>
      <c r="FRI411" s="120"/>
      <c r="FRJ411" s="120"/>
      <c r="FRK411" s="120"/>
      <c r="FRL411" s="121"/>
      <c r="FRM411" s="119"/>
      <c r="FRN411" s="120"/>
      <c r="FRO411" s="120"/>
      <c r="FRP411" s="120"/>
      <c r="FRQ411" s="120"/>
      <c r="FRR411" s="120"/>
      <c r="FRS411" s="121"/>
      <c r="FRT411" s="119"/>
      <c r="FRU411" s="120"/>
      <c r="FRV411" s="120"/>
      <c r="FRW411" s="120"/>
      <c r="FRX411" s="120"/>
      <c r="FRY411" s="120"/>
      <c r="FRZ411" s="121"/>
      <c r="FSA411" s="119"/>
      <c r="FSB411" s="120"/>
      <c r="FSC411" s="120"/>
      <c r="FSD411" s="120"/>
      <c r="FSE411" s="120"/>
      <c r="FSF411" s="120"/>
      <c r="FSG411" s="121"/>
      <c r="FSH411" s="119"/>
      <c r="FSI411" s="120"/>
      <c r="FSJ411" s="120"/>
      <c r="FSK411" s="120"/>
      <c r="FSL411" s="120"/>
      <c r="FSM411" s="120"/>
      <c r="FSN411" s="121"/>
      <c r="FSO411" s="119"/>
      <c r="FSP411" s="120"/>
      <c r="FSQ411" s="120"/>
      <c r="FSR411" s="120"/>
      <c r="FSS411" s="120"/>
      <c r="FST411" s="120"/>
      <c r="FSU411" s="121"/>
      <c r="FSV411" s="119"/>
      <c r="FSW411" s="120"/>
      <c r="FSX411" s="120"/>
      <c r="FSY411" s="120"/>
      <c r="FSZ411" s="120"/>
      <c r="FTA411" s="120"/>
      <c r="FTB411" s="121"/>
      <c r="FTC411" s="119"/>
      <c r="FTD411" s="120"/>
      <c r="FTE411" s="120"/>
      <c r="FTF411" s="120"/>
      <c r="FTG411" s="120"/>
      <c r="FTH411" s="120"/>
      <c r="FTI411" s="121"/>
      <c r="FTJ411" s="119"/>
      <c r="FTK411" s="120"/>
      <c r="FTL411" s="120"/>
      <c r="FTM411" s="120"/>
      <c r="FTN411" s="120"/>
      <c r="FTO411" s="120"/>
      <c r="FTP411" s="121"/>
      <c r="FTQ411" s="119"/>
      <c r="FTR411" s="120"/>
      <c r="FTS411" s="120"/>
      <c r="FTT411" s="120"/>
      <c r="FTU411" s="120"/>
      <c r="FTV411" s="120"/>
      <c r="FTW411" s="121"/>
      <c r="FTX411" s="119"/>
      <c r="FTY411" s="120"/>
      <c r="FTZ411" s="120"/>
      <c r="FUA411" s="120"/>
      <c r="FUB411" s="120"/>
      <c r="FUC411" s="120"/>
      <c r="FUD411" s="121"/>
      <c r="FUE411" s="119"/>
      <c r="FUF411" s="120"/>
      <c r="FUG411" s="120"/>
      <c r="FUH411" s="120"/>
      <c r="FUI411" s="120"/>
      <c r="FUJ411" s="120"/>
      <c r="FUK411" s="121"/>
      <c r="FUL411" s="119"/>
      <c r="FUM411" s="120"/>
      <c r="FUN411" s="120"/>
      <c r="FUO411" s="120"/>
      <c r="FUP411" s="120"/>
      <c r="FUQ411" s="120"/>
      <c r="FUR411" s="121"/>
      <c r="FUS411" s="119"/>
      <c r="FUT411" s="120"/>
      <c r="FUU411" s="120"/>
      <c r="FUV411" s="120"/>
      <c r="FUW411" s="120"/>
      <c r="FUX411" s="120"/>
      <c r="FUY411" s="121"/>
      <c r="FUZ411" s="119"/>
      <c r="FVA411" s="120"/>
      <c r="FVB411" s="120"/>
      <c r="FVC411" s="120"/>
      <c r="FVD411" s="120"/>
      <c r="FVE411" s="120"/>
      <c r="FVF411" s="121"/>
      <c r="FVG411" s="119"/>
      <c r="FVH411" s="120"/>
      <c r="FVI411" s="120"/>
      <c r="FVJ411" s="120"/>
      <c r="FVK411" s="120"/>
      <c r="FVL411" s="120"/>
      <c r="FVM411" s="121"/>
      <c r="FVN411" s="119"/>
      <c r="FVO411" s="120"/>
      <c r="FVP411" s="120"/>
      <c r="FVQ411" s="120"/>
      <c r="FVR411" s="120"/>
      <c r="FVS411" s="120"/>
      <c r="FVT411" s="121"/>
      <c r="FVU411" s="119"/>
      <c r="FVV411" s="120"/>
      <c r="FVW411" s="120"/>
      <c r="FVX411" s="120"/>
      <c r="FVY411" s="120"/>
      <c r="FVZ411" s="120"/>
      <c r="FWA411" s="121"/>
      <c r="FWB411" s="119"/>
      <c r="FWC411" s="120"/>
      <c r="FWD411" s="120"/>
      <c r="FWE411" s="120"/>
      <c r="FWF411" s="120"/>
      <c r="FWG411" s="120"/>
      <c r="FWH411" s="121"/>
      <c r="FWI411" s="119"/>
      <c r="FWJ411" s="120"/>
      <c r="FWK411" s="120"/>
      <c r="FWL411" s="120"/>
      <c r="FWM411" s="120"/>
      <c r="FWN411" s="120"/>
      <c r="FWO411" s="121"/>
      <c r="FWP411" s="119"/>
      <c r="FWQ411" s="120"/>
      <c r="FWR411" s="120"/>
      <c r="FWS411" s="120"/>
      <c r="FWT411" s="120"/>
      <c r="FWU411" s="120"/>
      <c r="FWV411" s="121"/>
      <c r="FWW411" s="119"/>
      <c r="FWX411" s="120"/>
      <c r="FWY411" s="120"/>
      <c r="FWZ411" s="120"/>
      <c r="FXA411" s="120"/>
      <c r="FXB411" s="120"/>
      <c r="FXC411" s="121"/>
      <c r="FXD411" s="119"/>
      <c r="FXE411" s="120"/>
      <c r="FXF411" s="120"/>
      <c r="FXG411" s="120"/>
      <c r="FXH411" s="120"/>
      <c r="FXI411" s="120"/>
      <c r="FXJ411" s="121"/>
      <c r="FXK411" s="119"/>
      <c r="FXL411" s="120"/>
      <c r="FXM411" s="120"/>
      <c r="FXN411" s="120"/>
      <c r="FXO411" s="120"/>
      <c r="FXP411" s="120"/>
      <c r="FXQ411" s="121"/>
      <c r="FXR411" s="119"/>
      <c r="FXS411" s="120"/>
      <c r="FXT411" s="120"/>
      <c r="FXU411" s="120"/>
      <c r="FXV411" s="120"/>
      <c r="FXW411" s="120"/>
      <c r="FXX411" s="121"/>
      <c r="FXY411" s="119"/>
      <c r="FXZ411" s="120"/>
      <c r="FYA411" s="120"/>
      <c r="FYB411" s="120"/>
      <c r="FYC411" s="120"/>
      <c r="FYD411" s="120"/>
      <c r="FYE411" s="121"/>
      <c r="FYF411" s="119"/>
      <c r="FYG411" s="120"/>
      <c r="FYH411" s="120"/>
      <c r="FYI411" s="120"/>
      <c r="FYJ411" s="120"/>
      <c r="FYK411" s="120"/>
      <c r="FYL411" s="121"/>
      <c r="FYM411" s="119"/>
      <c r="FYN411" s="120"/>
      <c r="FYO411" s="120"/>
      <c r="FYP411" s="120"/>
      <c r="FYQ411" s="120"/>
      <c r="FYR411" s="120"/>
      <c r="FYS411" s="121"/>
      <c r="FYT411" s="119"/>
      <c r="FYU411" s="120"/>
      <c r="FYV411" s="120"/>
      <c r="FYW411" s="120"/>
      <c r="FYX411" s="120"/>
      <c r="FYY411" s="120"/>
      <c r="FYZ411" s="121"/>
      <c r="FZA411" s="119"/>
      <c r="FZB411" s="120"/>
      <c r="FZC411" s="120"/>
      <c r="FZD411" s="120"/>
      <c r="FZE411" s="120"/>
      <c r="FZF411" s="120"/>
      <c r="FZG411" s="121"/>
      <c r="FZH411" s="119"/>
      <c r="FZI411" s="120"/>
      <c r="FZJ411" s="120"/>
      <c r="FZK411" s="120"/>
      <c r="FZL411" s="120"/>
      <c r="FZM411" s="120"/>
      <c r="FZN411" s="121"/>
      <c r="FZO411" s="119"/>
      <c r="FZP411" s="120"/>
      <c r="FZQ411" s="120"/>
      <c r="FZR411" s="120"/>
      <c r="FZS411" s="120"/>
      <c r="FZT411" s="120"/>
      <c r="FZU411" s="121"/>
      <c r="FZV411" s="119"/>
      <c r="FZW411" s="120"/>
      <c r="FZX411" s="120"/>
      <c r="FZY411" s="120"/>
      <c r="FZZ411" s="120"/>
      <c r="GAA411" s="120"/>
      <c r="GAB411" s="121"/>
      <c r="GAC411" s="119"/>
      <c r="GAD411" s="120"/>
      <c r="GAE411" s="120"/>
      <c r="GAF411" s="120"/>
      <c r="GAG411" s="120"/>
      <c r="GAH411" s="120"/>
      <c r="GAI411" s="121"/>
      <c r="GAJ411" s="119"/>
      <c r="GAK411" s="120"/>
      <c r="GAL411" s="120"/>
      <c r="GAM411" s="120"/>
      <c r="GAN411" s="120"/>
      <c r="GAO411" s="120"/>
      <c r="GAP411" s="121"/>
      <c r="GAQ411" s="119"/>
      <c r="GAR411" s="120"/>
      <c r="GAS411" s="120"/>
      <c r="GAT411" s="120"/>
      <c r="GAU411" s="120"/>
      <c r="GAV411" s="120"/>
      <c r="GAW411" s="121"/>
      <c r="GAX411" s="119"/>
      <c r="GAY411" s="120"/>
      <c r="GAZ411" s="120"/>
      <c r="GBA411" s="120"/>
      <c r="GBB411" s="120"/>
      <c r="GBC411" s="120"/>
      <c r="GBD411" s="121"/>
      <c r="GBE411" s="119"/>
      <c r="GBF411" s="120"/>
      <c r="GBG411" s="120"/>
      <c r="GBH411" s="120"/>
      <c r="GBI411" s="120"/>
      <c r="GBJ411" s="120"/>
      <c r="GBK411" s="121"/>
      <c r="GBL411" s="119"/>
      <c r="GBM411" s="120"/>
      <c r="GBN411" s="120"/>
      <c r="GBO411" s="120"/>
      <c r="GBP411" s="120"/>
      <c r="GBQ411" s="120"/>
      <c r="GBR411" s="121"/>
      <c r="GBS411" s="119"/>
      <c r="GBT411" s="120"/>
      <c r="GBU411" s="120"/>
      <c r="GBV411" s="120"/>
      <c r="GBW411" s="120"/>
      <c r="GBX411" s="120"/>
      <c r="GBY411" s="121"/>
      <c r="GBZ411" s="119"/>
      <c r="GCA411" s="120"/>
      <c r="GCB411" s="120"/>
      <c r="GCC411" s="120"/>
      <c r="GCD411" s="120"/>
      <c r="GCE411" s="120"/>
      <c r="GCF411" s="121"/>
      <c r="GCG411" s="119"/>
      <c r="GCH411" s="120"/>
      <c r="GCI411" s="120"/>
      <c r="GCJ411" s="120"/>
      <c r="GCK411" s="120"/>
      <c r="GCL411" s="120"/>
      <c r="GCM411" s="121"/>
      <c r="GCN411" s="119"/>
      <c r="GCO411" s="120"/>
      <c r="GCP411" s="120"/>
      <c r="GCQ411" s="120"/>
      <c r="GCR411" s="120"/>
      <c r="GCS411" s="120"/>
      <c r="GCT411" s="121"/>
      <c r="GCU411" s="119"/>
      <c r="GCV411" s="120"/>
      <c r="GCW411" s="120"/>
      <c r="GCX411" s="120"/>
      <c r="GCY411" s="120"/>
      <c r="GCZ411" s="120"/>
      <c r="GDA411" s="121"/>
      <c r="GDB411" s="119"/>
      <c r="GDC411" s="120"/>
      <c r="GDD411" s="120"/>
      <c r="GDE411" s="120"/>
      <c r="GDF411" s="120"/>
      <c r="GDG411" s="120"/>
      <c r="GDH411" s="121"/>
      <c r="GDI411" s="119"/>
      <c r="GDJ411" s="120"/>
      <c r="GDK411" s="120"/>
      <c r="GDL411" s="120"/>
      <c r="GDM411" s="120"/>
      <c r="GDN411" s="120"/>
      <c r="GDO411" s="121"/>
      <c r="GDP411" s="119"/>
      <c r="GDQ411" s="120"/>
      <c r="GDR411" s="120"/>
      <c r="GDS411" s="120"/>
      <c r="GDT411" s="120"/>
      <c r="GDU411" s="120"/>
      <c r="GDV411" s="121"/>
      <c r="GDW411" s="119"/>
      <c r="GDX411" s="120"/>
      <c r="GDY411" s="120"/>
      <c r="GDZ411" s="120"/>
      <c r="GEA411" s="120"/>
      <c r="GEB411" s="120"/>
      <c r="GEC411" s="121"/>
      <c r="GED411" s="119"/>
      <c r="GEE411" s="120"/>
      <c r="GEF411" s="120"/>
      <c r="GEG411" s="120"/>
      <c r="GEH411" s="120"/>
      <c r="GEI411" s="120"/>
      <c r="GEJ411" s="121"/>
      <c r="GEK411" s="119"/>
      <c r="GEL411" s="120"/>
      <c r="GEM411" s="120"/>
      <c r="GEN411" s="120"/>
      <c r="GEO411" s="120"/>
      <c r="GEP411" s="120"/>
      <c r="GEQ411" s="121"/>
      <c r="GER411" s="119"/>
      <c r="GES411" s="120"/>
      <c r="GET411" s="120"/>
      <c r="GEU411" s="120"/>
      <c r="GEV411" s="120"/>
      <c r="GEW411" s="120"/>
      <c r="GEX411" s="121"/>
      <c r="GEY411" s="119"/>
      <c r="GEZ411" s="120"/>
      <c r="GFA411" s="120"/>
      <c r="GFB411" s="120"/>
      <c r="GFC411" s="120"/>
      <c r="GFD411" s="120"/>
      <c r="GFE411" s="121"/>
      <c r="GFF411" s="119"/>
      <c r="GFG411" s="120"/>
      <c r="GFH411" s="120"/>
      <c r="GFI411" s="120"/>
      <c r="GFJ411" s="120"/>
      <c r="GFK411" s="120"/>
      <c r="GFL411" s="121"/>
      <c r="GFM411" s="119"/>
      <c r="GFN411" s="120"/>
      <c r="GFO411" s="120"/>
      <c r="GFP411" s="120"/>
      <c r="GFQ411" s="120"/>
      <c r="GFR411" s="120"/>
      <c r="GFS411" s="121"/>
      <c r="GFT411" s="119"/>
      <c r="GFU411" s="120"/>
      <c r="GFV411" s="120"/>
      <c r="GFW411" s="120"/>
      <c r="GFX411" s="120"/>
      <c r="GFY411" s="120"/>
      <c r="GFZ411" s="121"/>
      <c r="GGA411" s="119"/>
      <c r="GGB411" s="120"/>
      <c r="GGC411" s="120"/>
      <c r="GGD411" s="120"/>
      <c r="GGE411" s="120"/>
      <c r="GGF411" s="120"/>
      <c r="GGG411" s="121"/>
      <c r="GGH411" s="119"/>
      <c r="GGI411" s="120"/>
      <c r="GGJ411" s="120"/>
      <c r="GGK411" s="120"/>
      <c r="GGL411" s="120"/>
      <c r="GGM411" s="120"/>
      <c r="GGN411" s="121"/>
      <c r="GGO411" s="119"/>
      <c r="GGP411" s="120"/>
      <c r="GGQ411" s="120"/>
      <c r="GGR411" s="120"/>
      <c r="GGS411" s="120"/>
      <c r="GGT411" s="120"/>
      <c r="GGU411" s="121"/>
      <c r="GGV411" s="119"/>
      <c r="GGW411" s="120"/>
      <c r="GGX411" s="120"/>
      <c r="GGY411" s="120"/>
      <c r="GGZ411" s="120"/>
      <c r="GHA411" s="120"/>
      <c r="GHB411" s="121"/>
      <c r="GHC411" s="119"/>
      <c r="GHD411" s="120"/>
      <c r="GHE411" s="120"/>
      <c r="GHF411" s="120"/>
      <c r="GHG411" s="120"/>
      <c r="GHH411" s="120"/>
      <c r="GHI411" s="121"/>
      <c r="GHJ411" s="119"/>
      <c r="GHK411" s="120"/>
      <c r="GHL411" s="120"/>
      <c r="GHM411" s="120"/>
      <c r="GHN411" s="120"/>
      <c r="GHO411" s="120"/>
      <c r="GHP411" s="121"/>
      <c r="GHQ411" s="119"/>
      <c r="GHR411" s="120"/>
      <c r="GHS411" s="120"/>
      <c r="GHT411" s="120"/>
      <c r="GHU411" s="120"/>
      <c r="GHV411" s="120"/>
      <c r="GHW411" s="121"/>
      <c r="GHX411" s="119"/>
      <c r="GHY411" s="120"/>
      <c r="GHZ411" s="120"/>
      <c r="GIA411" s="120"/>
      <c r="GIB411" s="120"/>
      <c r="GIC411" s="120"/>
      <c r="GID411" s="121"/>
      <c r="GIE411" s="119"/>
      <c r="GIF411" s="120"/>
      <c r="GIG411" s="120"/>
      <c r="GIH411" s="120"/>
      <c r="GII411" s="120"/>
      <c r="GIJ411" s="120"/>
      <c r="GIK411" s="121"/>
      <c r="GIL411" s="119"/>
      <c r="GIM411" s="120"/>
      <c r="GIN411" s="120"/>
      <c r="GIO411" s="120"/>
      <c r="GIP411" s="120"/>
      <c r="GIQ411" s="120"/>
      <c r="GIR411" s="121"/>
      <c r="GIS411" s="119"/>
      <c r="GIT411" s="120"/>
      <c r="GIU411" s="120"/>
      <c r="GIV411" s="120"/>
      <c r="GIW411" s="120"/>
      <c r="GIX411" s="120"/>
      <c r="GIY411" s="121"/>
      <c r="GIZ411" s="119"/>
      <c r="GJA411" s="120"/>
      <c r="GJB411" s="120"/>
      <c r="GJC411" s="120"/>
      <c r="GJD411" s="120"/>
      <c r="GJE411" s="120"/>
      <c r="GJF411" s="121"/>
      <c r="GJG411" s="119"/>
      <c r="GJH411" s="120"/>
      <c r="GJI411" s="120"/>
      <c r="GJJ411" s="120"/>
      <c r="GJK411" s="120"/>
      <c r="GJL411" s="120"/>
      <c r="GJM411" s="121"/>
      <c r="GJN411" s="119"/>
      <c r="GJO411" s="120"/>
      <c r="GJP411" s="120"/>
      <c r="GJQ411" s="120"/>
      <c r="GJR411" s="120"/>
      <c r="GJS411" s="120"/>
      <c r="GJT411" s="121"/>
      <c r="GJU411" s="119"/>
      <c r="GJV411" s="120"/>
      <c r="GJW411" s="120"/>
      <c r="GJX411" s="120"/>
      <c r="GJY411" s="120"/>
      <c r="GJZ411" s="120"/>
      <c r="GKA411" s="121"/>
      <c r="GKB411" s="119"/>
      <c r="GKC411" s="120"/>
      <c r="GKD411" s="120"/>
      <c r="GKE411" s="120"/>
      <c r="GKF411" s="120"/>
      <c r="GKG411" s="120"/>
      <c r="GKH411" s="121"/>
      <c r="GKI411" s="119"/>
      <c r="GKJ411" s="120"/>
      <c r="GKK411" s="120"/>
      <c r="GKL411" s="120"/>
      <c r="GKM411" s="120"/>
      <c r="GKN411" s="120"/>
      <c r="GKO411" s="121"/>
      <c r="GKP411" s="119"/>
      <c r="GKQ411" s="120"/>
      <c r="GKR411" s="120"/>
      <c r="GKS411" s="120"/>
      <c r="GKT411" s="120"/>
      <c r="GKU411" s="120"/>
      <c r="GKV411" s="121"/>
      <c r="GKW411" s="119"/>
      <c r="GKX411" s="120"/>
      <c r="GKY411" s="120"/>
      <c r="GKZ411" s="120"/>
      <c r="GLA411" s="120"/>
      <c r="GLB411" s="120"/>
      <c r="GLC411" s="121"/>
      <c r="GLD411" s="119"/>
      <c r="GLE411" s="120"/>
      <c r="GLF411" s="120"/>
      <c r="GLG411" s="120"/>
      <c r="GLH411" s="120"/>
      <c r="GLI411" s="120"/>
      <c r="GLJ411" s="121"/>
      <c r="GLK411" s="119"/>
      <c r="GLL411" s="120"/>
      <c r="GLM411" s="120"/>
      <c r="GLN411" s="120"/>
      <c r="GLO411" s="120"/>
      <c r="GLP411" s="120"/>
      <c r="GLQ411" s="121"/>
      <c r="GLR411" s="119"/>
      <c r="GLS411" s="120"/>
      <c r="GLT411" s="120"/>
      <c r="GLU411" s="120"/>
      <c r="GLV411" s="120"/>
      <c r="GLW411" s="120"/>
      <c r="GLX411" s="121"/>
      <c r="GLY411" s="119"/>
      <c r="GLZ411" s="120"/>
      <c r="GMA411" s="120"/>
      <c r="GMB411" s="120"/>
      <c r="GMC411" s="120"/>
      <c r="GMD411" s="120"/>
      <c r="GME411" s="121"/>
      <c r="GMF411" s="119"/>
      <c r="GMG411" s="120"/>
      <c r="GMH411" s="120"/>
      <c r="GMI411" s="120"/>
      <c r="GMJ411" s="120"/>
      <c r="GMK411" s="120"/>
      <c r="GML411" s="121"/>
      <c r="GMM411" s="119"/>
      <c r="GMN411" s="120"/>
      <c r="GMO411" s="120"/>
      <c r="GMP411" s="120"/>
      <c r="GMQ411" s="120"/>
      <c r="GMR411" s="120"/>
      <c r="GMS411" s="121"/>
      <c r="GMT411" s="119"/>
      <c r="GMU411" s="120"/>
      <c r="GMV411" s="120"/>
      <c r="GMW411" s="120"/>
      <c r="GMX411" s="120"/>
      <c r="GMY411" s="120"/>
      <c r="GMZ411" s="121"/>
      <c r="GNA411" s="119"/>
      <c r="GNB411" s="120"/>
      <c r="GNC411" s="120"/>
      <c r="GND411" s="120"/>
      <c r="GNE411" s="120"/>
      <c r="GNF411" s="120"/>
      <c r="GNG411" s="121"/>
      <c r="GNH411" s="119"/>
      <c r="GNI411" s="120"/>
      <c r="GNJ411" s="120"/>
      <c r="GNK411" s="120"/>
      <c r="GNL411" s="120"/>
      <c r="GNM411" s="120"/>
      <c r="GNN411" s="121"/>
      <c r="GNO411" s="119"/>
      <c r="GNP411" s="120"/>
      <c r="GNQ411" s="120"/>
      <c r="GNR411" s="120"/>
      <c r="GNS411" s="120"/>
      <c r="GNT411" s="120"/>
      <c r="GNU411" s="121"/>
      <c r="GNV411" s="119"/>
      <c r="GNW411" s="120"/>
      <c r="GNX411" s="120"/>
      <c r="GNY411" s="120"/>
      <c r="GNZ411" s="120"/>
      <c r="GOA411" s="120"/>
      <c r="GOB411" s="121"/>
      <c r="GOC411" s="119"/>
      <c r="GOD411" s="120"/>
      <c r="GOE411" s="120"/>
      <c r="GOF411" s="120"/>
      <c r="GOG411" s="120"/>
      <c r="GOH411" s="120"/>
      <c r="GOI411" s="121"/>
      <c r="GOJ411" s="119"/>
      <c r="GOK411" s="120"/>
      <c r="GOL411" s="120"/>
      <c r="GOM411" s="120"/>
      <c r="GON411" s="120"/>
      <c r="GOO411" s="120"/>
      <c r="GOP411" s="121"/>
      <c r="GOQ411" s="119"/>
      <c r="GOR411" s="120"/>
      <c r="GOS411" s="120"/>
      <c r="GOT411" s="120"/>
      <c r="GOU411" s="120"/>
      <c r="GOV411" s="120"/>
      <c r="GOW411" s="121"/>
      <c r="GOX411" s="119"/>
      <c r="GOY411" s="120"/>
      <c r="GOZ411" s="120"/>
      <c r="GPA411" s="120"/>
      <c r="GPB411" s="120"/>
      <c r="GPC411" s="120"/>
      <c r="GPD411" s="121"/>
      <c r="GPE411" s="119"/>
      <c r="GPF411" s="120"/>
      <c r="GPG411" s="120"/>
      <c r="GPH411" s="120"/>
      <c r="GPI411" s="120"/>
      <c r="GPJ411" s="120"/>
      <c r="GPK411" s="121"/>
      <c r="GPL411" s="119"/>
      <c r="GPM411" s="120"/>
      <c r="GPN411" s="120"/>
      <c r="GPO411" s="120"/>
      <c r="GPP411" s="120"/>
      <c r="GPQ411" s="120"/>
      <c r="GPR411" s="121"/>
      <c r="GPS411" s="119"/>
      <c r="GPT411" s="120"/>
      <c r="GPU411" s="120"/>
      <c r="GPV411" s="120"/>
      <c r="GPW411" s="120"/>
      <c r="GPX411" s="120"/>
      <c r="GPY411" s="121"/>
      <c r="GPZ411" s="119"/>
      <c r="GQA411" s="120"/>
      <c r="GQB411" s="120"/>
      <c r="GQC411" s="120"/>
      <c r="GQD411" s="120"/>
      <c r="GQE411" s="120"/>
      <c r="GQF411" s="121"/>
      <c r="GQG411" s="119"/>
      <c r="GQH411" s="120"/>
      <c r="GQI411" s="120"/>
      <c r="GQJ411" s="120"/>
      <c r="GQK411" s="120"/>
      <c r="GQL411" s="120"/>
      <c r="GQM411" s="121"/>
      <c r="GQN411" s="119"/>
      <c r="GQO411" s="120"/>
      <c r="GQP411" s="120"/>
      <c r="GQQ411" s="120"/>
      <c r="GQR411" s="120"/>
      <c r="GQS411" s="120"/>
      <c r="GQT411" s="121"/>
      <c r="GQU411" s="119"/>
      <c r="GQV411" s="120"/>
      <c r="GQW411" s="120"/>
      <c r="GQX411" s="120"/>
      <c r="GQY411" s="120"/>
      <c r="GQZ411" s="120"/>
      <c r="GRA411" s="121"/>
      <c r="GRB411" s="119"/>
      <c r="GRC411" s="120"/>
      <c r="GRD411" s="120"/>
      <c r="GRE411" s="120"/>
      <c r="GRF411" s="120"/>
      <c r="GRG411" s="120"/>
      <c r="GRH411" s="121"/>
      <c r="GRI411" s="119"/>
      <c r="GRJ411" s="120"/>
      <c r="GRK411" s="120"/>
      <c r="GRL411" s="120"/>
      <c r="GRM411" s="120"/>
      <c r="GRN411" s="120"/>
      <c r="GRO411" s="121"/>
      <c r="GRP411" s="119"/>
      <c r="GRQ411" s="120"/>
      <c r="GRR411" s="120"/>
      <c r="GRS411" s="120"/>
      <c r="GRT411" s="120"/>
      <c r="GRU411" s="120"/>
      <c r="GRV411" s="121"/>
      <c r="GRW411" s="119"/>
      <c r="GRX411" s="120"/>
      <c r="GRY411" s="120"/>
      <c r="GRZ411" s="120"/>
      <c r="GSA411" s="120"/>
      <c r="GSB411" s="120"/>
      <c r="GSC411" s="121"/>
      <c r="GSD411" s="119"/>
      <c r="GSE411" s="120"/>
      <c r="GSF411" s="120"/>
      <c r="GSG411" s="120"/>
      <c r="GSH411" s="120"/>
      <c r="GSI411" s="120"/>
      <c r="GSJ411" s="121"/>
      <c r="GSK411" s="119"/>
      <c r="GSL411" s="120"/>
      <c r="GSM411" s="120"/>
      <c r="GSN411" s="120"/>
      <c r="GSO411" s="120"/>
      <c r="GSP411" s="120"/>
      <c r="GSQ411" s="121"/>
      <c r="GSR411" s="119"/>
      <c r="GSS411" s="120"/>
      <c r="GST411" s="120"/>
      <c r="GSU411" s="120"/>
      <c r="GSV411" s="120"/>
      <c r="GSW411" s="120"/>
      <c r="GSX411" s="121"/>
      <c r="GSY411" s="119"/>
      <c r="GSZ411" s="120"/>
      <c r="GTA411" s="120"/>
      <c r="GTB411" s="120"/>
      <c r="GTC411" s="120"/>
      <c r="GTD411" s="120"/>
      <c r="GTE411" s="121"/>
      <c r="GTF411" s="119"/>
      <c r="GTG411" s="120"/>
      <c r="GTH411" s="120"/>
      <c r="GTI411" s="120"/>
      <c r="GTJ411" s="120"/>
      <c r="GTK411" s="120"/>
      <c r="GTL411" s="121"/>
      <c r="GTM411" s="119"/>
      <c r="GTN411" s="120"/>
      <c r="GTO411" s="120"/>
      <c r="GTP411" s="120"/>
      <c r="GTQ411" s="120"/>
      <c r="GTR411" s="120"/>
      <c r="GTS411" s="121"/>
      <c r="GTT411" s="119"/>
      <c r="GTU411" s="120"/>
      <c r="GTV411" s="120"/>
      <c r="GTW411" s="120"/>
      <c r="GTX411" s="120"/>
      <c r="GTY411" s="120"/>
      <c r="GTZ411" s="121"/>
      <c r="GUA411" s="119"/>
      <c r="GUB411" s="120"/>
      <c r="GUC411" s="120"/>
      <c r="GUD411" s="120"/>
      <c r="GUE411" s="120"/>
      <c r="GUF411" s="120"/>
      <c r="GUG411" s="121"/>
      <c r="GUH411" s="119"/>
      <c r="GUI411" s="120"/>
      <c r="GUJ411" s="120"/>
      <c r="GUK411" s="120"/>
      <c r="GUL411" s="120"/>
      <c r="GUM411" s="120"/>
      <c r="GUN411" s="121"/>
      <c r="GUO411" s="119"/>
      <c r="GUP411" s="120"/>
      <c r="GUQ411" s="120"/>
      <c r="GUR411" s="120"/>
      <c r="GUS411" s="120"/>
      <c r="GUT411" s="120"/>
      <c r="GUU411" s="121"/>
      <c r="GUV411" s="119"/>
      <c r="GUW411" s="120"/>
      <c r="GUX411" s="120"/>
      <c r="GUY411" s="120"/>
      <c r="GUZ411" s="120"/>
      <c r="GVA411" s="120"/>
      <c r="GVB411" s="121"/>
      <c r="GVC411" s="119"/>
      <c r="GVD411" s="120"/>
      <c r="GVE411" s="120"/>
      <c r="GVF411" s="120"/>
      <c r="GVG411" s="120"/>
      <c r="GVH411" s="120"/>
      <c r="GVI411" s="121"/>
      <c r="GVJ411" s="119"/>
      <c r="GVK411" s="120"/>
      <c r="GVL411" s="120"/>
      <c r="GVM411" s="120"/>
      <c r="GVN411" s="120"/>
      <c r="GVO411" s="120"/>
      <c r="GVP411" s="121"/>
      <c r="GVQ411" s="119"/>
      <c r="GVR411" s="120"/>
      <c r="GVS411" s="120"/>
      <c r="GVT411" s="120"/>
      <c r="GVU411" s="120"/>
      <c r="GVV411" s="120"/>
      <c r="GVW411" s="121"/>
      <c r="GVX411" s="119"/>
      <c r="GVY411" s="120"/>
      <c r="GVZ411" s="120"/>
      <c r="GWA411" s="120"/>
      <c r="GWB411" s="120"/>
      <c r="GWC411" s="120"/>
      <c r="GWD411" s="121"/>
      <c r="GWE411" s="119"/>
      <c r="GWF411" s="120"/>
      <c r="GWG411" s="120"/>
      <c r="GWH411" s="120"/>
      <c r="GWI411" s="120"/>
      <c r="GWJ411" s="120"/>
      <c r="GWK411" s="121"/>
      <c r="GWL411" s="119"/>
      <c r="GWM411" s="120"/>
      <c r="GWN411" s="120"/>
      <c r="GWO411" s="120"/>
      <c r="GWP411" s="120"/>
      <c r="GWQ411" s="120"/>
      <c r="GWR411" s="121"/>
      <c r="GWS411" s="119"/>
      <c r="GWT411" s="120"/>
      <c r="GWU411" s="120"/>
      <c r="GWV411" s="120"/>
      <c r="GWW411" s="120"/>
      <c r="GWX411" s="120"/>
      <c r="GWY411" s="121"/>
      <c r="GWZ411" s="119"/>
      <c r="GXA411" s="120"/>
      <c r="GXB411" s="120"/>
      <c r="GXC411" s="120"/>
      <c r="GXD411" s="120"/>
      <c r="GXE411" s="120"/>
      <c r="GXF411" s="121"/>
      <c r="GXG411" s="119"/>
      <c r="GXH411" s="120"/>
      <c r="GXI411" s="120"/>
      <c r="GXJ411" s="120"/>
      <c r="GXK411" s="120"/>
      <c r="GXL411" s="120"/>
      <c r="GXM411" s="121"/>
      <c r="GXN411" s="119"/>
      <c r="GXO411" s="120"/>
      <c r="GXP411" s="120"/>
      <c r="GXQ411" s="120"/>
      <c r="GXR411" s="120"/>
      <c r="GXS411" s="120"/>
      <c r="GXT411" s="121"/>
      <c r="GXU411" s="119"/>
      <c r="GXV411" s="120"/>
      <c r="GXW411" s="120"/>
      <c r="GXX411" s="120"/>
      <c r="GXY411" s="120"/>
      <c r="GXZ411" s="120"/>
      <c r="GYA411" s="121"/>
      <c r="GYB411" s="119"/>
      <c r="GYC411" s="120"/>
      <c r="GYD411" s="120"/>
      <c r="GYE411" s="120"/>
      <c r="GYF411" s="120"/>
      <c r="GYG411" s="120"/>
      <c r="GYH411" s="121"/>
      <c r="GYI411" s="119"/>
      <c r="GYJ411" s="120"/>
      <c r="GYK411" s="120"/>
      <c r="GYL411" s="120"/>
      <c r="GYM411" s="120"/>
      <c r="GYN411" s="120"/>
      <c r="GYO411" s="121"/>
      <c r="GYP411" s="119"/>
      <c r="GYQ411" s="120"/>
      <c r="GYR411" s="120"/>
      <c r="GYS411" s="120"/>
      <c r="GYT411" s="120"/>
      <c r="GYU411" s="120"/>
      <c r="GYV411" s="121"/>
      <c r="GYW411" s="119"/>
      <c r="GYX411" s="120"/>
      <c r="GYY411" s="120"/>
      <c r="GYZ411" s="120"/>
      <c r="GZA411" s="120"/>
      <c r="GZB411" s="120"/>
      <c r="GZC411" s="121"/>
      <c r="GZD411" s="119"/>
      <c r="GZE411" s="120"/>
      <c r="GZF411" s="120"/>
      <c r="GZG411" s="120"/>
      <c r="GZH411" s="120"/>
      <c r="GZI411" s="120"/>
      <c r="GZJ411" s="121"/>
      <c r="GZK411" s="119"/>
      <c r="GZL411" s="120"/>
      <c r="GZM411" s="120"/>
      <c r="GZN411" s="120"/>
      <c r="GZO411" s="120"/>
      <c r="GZP411" s="120"/>
      <c r="GZQ411" s="121"/>
      <c r="GZR411" s="119"/>
      <c r="GZS411" s="120"/>
      <c r="GZT411" s="120"/>
      <c r="GZU411" s="120"/>
      <c r="GZV411" s="120"/>
      <c r="GZW411" s="120"/>
      <c r="GZX411" s="121"/>
      <c r="GZY411" s="119"/>
      <c r="GZZ411" s="120"/>
      <c r="HAA411" s="120"/>
      <c r="HAB411" s="120"/>
      <c r="HAC411" s="120"/>
      <c r="HAD411" s="120"/>
      <c r="HAE411" s="121"/>
      <c r="HAF411" s="119"/>
      <c r="HAG411" s="120"/>
      <c r="HAH411" s="120"/>
      <c r="HAI411" s="120"/>
      <c r="HAJ411" s="120"/>
      <c r="HAK411" s="120"/>
      <c r="HAL411" s="121"/>
      <c r="HAM411" s="119"/>
      <c r="HAN411" s="120"/>
      <c r="HAO411" s="120"/>
      <c r="HAP411" s="120"/>
      <c r="HAQ411" s="120"/>
      <c r="HAR411" s="120"/>
      <c r="HAS411" s="121"/>
      <c r="HAT411" s="119"/>
      <c r="HAU411" s="120"/>
      <c r="HAV411" s="120"/>
      <c r="HAW411" s="120"/>
      <c r="HAX411" s="120"/>
      <c r="HAY411" s="120"/>
      <c r="HAZ411" s="121"/>
      <c r="HBA411" s="119"/>
      <c r="HBB411" s="120"/>
      <c r="HBC411" s="120"/>
      <c r="HBD411" s="120"/>
      <c r="HBE411" s="120"/>
      <c r="HBF411" s="120"/>
      <c r="HBG411" s="121"/>
      <c r="HBH411" s="119"/>
      <c r="HBI411" s="120"/>
      <c r="HBJ411" s="120"/>
      <c r="HBK411" s="120"/>
      <c r="HBL411" s="120"/>
      <c r="HBM411" s="120"/>
      <c r="HBN411" s="121"/>
      <c r="HBO411" s="119"/>
      <c r="HBP411" s="120"/>
      <c r="HBQ411" s="120"/>
      <c r="HBR411" s="120"/>
      <c r="HBS411" s="120"/>
      <c r="HBT411" s="120"/>
      <c r="HBU411" s="121"/>
      <c r="HBV411" s="119"/>
      <c r="HBW411" s="120"/>
      <c r="HBX411" s="120"/>
      <c r="HBY411" s="120"/>
      <c r="HBZ411" s="120"/>
      <c r="HCA411" s="120"/>
      <c r="HCB411" s="121"/>
      <c r="HCC411" s="119"/>
      <c r="HCD411" s="120"/>
      <c r="HCE411" s="120"/>
      <c r="HCF411" s="120"/>
      <c r="HCG411" s="120"/>
      <c r="HCH411" s="120"/>
      <c r="HCI411" s="121"/>
      <c r="HCJ411" s="119"/>
      <c r="HCK411" s="120"/>
      <c r="HCL411" s="120"/>
      <c r="HCM411" s="120"/>
      <c r="HCN411" s="120"/>
      <c r="HCO411" s="120"/>
      <c r="HCP411" s="121"/>
      <c r="HCQ411" s="119"/>
      <c r="HCR411" s="120"/>
      <c r="HCS411" s="120"/>
      <c r="HCT411" s="120"/>
      <c r="HCU411" s="120"/>
      <c r="HCV411" s="120"/>
      <c r="HCW411" s="121"/>
      <c r="HCX411" s="119"/>
      <c r="HCY411" s="120"/>
      <c r="HCZ411" s="120"/>
      <c r="HDA411" s="120"/>
      <c r="HDB411" s="120"/>
      <c r="HDC411" s="120"/>
      <c r="HDD411" s="121"/>
      <c r="HDE411" s="119"/>
      <c r="HDF411" s="120"/>
      <c r="HDG411" s="120"/>
      <c r="HDH411" s="120"/>
      <c r="HDI411" s="120"/>
      <c r="HDJ411" s="120"/>
      <c r="HDK411" s="121"/>
      <c r="HDL411" s="119"/>
      <c r="HDM411" s="120"/>
      <c r="HDN411" s="120"/>
      <c r="HDO411" s="120"/>
      <c r="HDP411" s="120"/>
      <c r="HDQ411" s="120"/>
      <c r="HDR411" s="121"/>
      <c r="HDS411" s="119"/>
      <c r="HDT411" s="120"/>
      <c r="HDU411" s="120"/>
      <c r="HDV411" s="120"/>
      <c r="HDW411" s="120"/>
      <c r="HDX411" s="120"/>
      <c r="HDY411" s="121"/>
      <c r="HDZ411" s="119"/>
      <c r="HEA411" s="120"/>
      <c r="HEB411" s="120"/>
      <c r="HEC411" s="120"/>
      <c r="HED411" s="120"/>
      <c r="HEE411" s="120"/>
      <c r="HEF411" s="121"/>
      <c r="HEG411" s="119"/>
      <c r="HEH411" s="120"/>
      <c r="HEI411" s="120"/>
      <c r="HEJ411" s="120"/>
      <c r="HEK411" s="120"/>
      <c r="HEL411" s="120"/>
      <c r="HEM411" s="121"/>
      <c r="HEN411" s="119"/>
      <c r="HEO411" s="120"/>
      <c r="HEP411" s="120"/>
      <c r="HEQ411" s="120"/>
      <c r="HER411" s="120"/>
      <c r="HES411" s="120"/>
      <c r="HET411" s="121"/>
      <c r="HEU411" s="119"/>
      <c r="HEV411" s="120"/>
      <c r="HEW411" s="120"/>
      <c r="HEX411" s="120"/>
      <c r="HEY411" s="120"/>
      <c r="HEZ411" s="120"/>
      <c r="HFA411" s="121"/>
      <c r="HFB411" s="119"/>
      <c r="HFC411" s="120"/>
      <c r="HFD411" s="120"/>
      <c r="HFE411" s="120"/>
      <c r="HFF411" s="120"/>
      <c r="HFG411" s="120"/>
      <c r="HFH411" s="121"/>
      <c r="HFI411" s="119"/>
      <c r="HFJ411" s="120"/>
      <c r="HFK411" s="120"/>
      <c r="HFL411" s="120"/>
      <c r="HFM411" s="120"/>
      <c r="HFN411" s="120"/>
      <c r="HFO411" s="121"/>
      <c r="HFP411" s="119"/>
      <c r="HFQ411" s="120"/>
      <c r="HFR411" s="120"/>
      <c r="HFS411" s="120"/>
      <c r="HFT411" s="120"/>
      <c r="HFU411" s="120"/>
      <c r="HFV411" s="121"/>
      <c r="HFW411" s="119"/>
      <c r="HFX411" s="120"/>
      <c r="HFY411" s="120"/>
      <c r="HFZ411" s="120"/>
      <c r="HGA411" s="120"/>
      <c r="HGB411" s="120"/>
      <c r="HGC411" s="121"/>
      <c r="HGD411" s="119"/>
      <c r="HGE411" s="120"/>
      <c r="HGF411" s="120"/>
      <c r="HGG411" s="120"/>
      <c r="HGH411" s="120"/>
      <c r="HGI411" s="120"/>
      <c r="HGJ411" s="121"/>
      <c r="HGK411" s="119"/>
      <c r="HGL411" s="120"/>
      <c r="HGM411" s="120"/>
      <c r="HGN411" s="120"/>
      <c r="HGO411" s="120"/>
      <c r="HGP411" s="120"/>
      <c r="HGQ411" s="121"/>
      <c r="HGR411" s="119"/>
      <c r="HGS411" s="120"/>
      <c r="HGT411" s="120"/>
      <c r="HGU411" s="120"/>
      <c r="HGV411" s="120"/>
      <c r="HGW411" s="120"/>
      <c r="HGX411" s="121"/>
      <c r="HGY411" s="119"/>
      <c r="HGZ411" s="120"/>
      <c r="HHA411" s="120"/>
      <c r="HHB411" s="120"/>
      <c r="HHC411" s="120"/>
      <c r="HHD411" s="120"/>
      <c r="HHE411" s="121"/>
      <c r="HHF411" s="119"/>
      <c r="HHG411" s="120"/>
      <c r="HHH411" s="120"/>
      <c r="HHI411" s="120"/>
      <c r="HHJ411" s="120"/>
      <c r="HHK411" s="120"/>
      <c r="HHL411" s="121"/>
      <c r="HHM411" s="119"/>
      <c r="HHN411" s="120"/>
      <c r="HHO411" s="120"/>
      <c r="HHP411" s="120"/>
      <c r="HHQ411" s="120"/>
      <c r="HHR411" s="120"/>
      <c r="HHS411" s="121"/>
      <c r="HHT411" s="119"/>
      <c r="HHU411" s="120"/>
      <c r="HHV411" s="120"/>
      <c r="HHW411" s="120"/>
      <c r="HHX411" s="120"/>
      <c r="HHY411" s="120"/>
      <c r="HHZ411" s="121"/>
      <c r="HIA411" s="119"/>
      <c r="HIB411" s="120"/>
      <c r="HIC411" s="120"/>
      <c r="HID411" s="120"/>
      <c r="HIE411" s="120"/>
      <c r="HIF411" s="120"/>
      <c r="HIG411" s="121"/>
      <c r="HIH411" s="119"/>
      <c r="HII411" s="120"/>
      <c r="HIJ411" s="120"/>
      <c r="HIK411" s="120"/>
      <c r="HIL411" s="120"/>
      <c r="HIM411" s="120"/>
      <c r="HIN411" s="121"/>
      <c r="HIO411" s="119"/>
      <c r="HIP411" s="120"/>
      <c r="HIQ411" s="120"/>
      <c r="HIR411" s="120"/>
      <c r="HIS411" s="120"/>
      <c r="HIT411" s="120"/>
      <c r="HIU411" s="121"/>
      <c r="HIV411" s="119"/>
      <c r="HIW411" s="120"/>
      <c r="HIX411" s="120"/>
      <c r="HIY411" s="120"/>
      <c r="HIZ411" s="120"/>
      <c r="HJA411" s="120"/>
      <c r="HJB411" s="121"/>
      <c r="HJC411" s="119"/>
      <c r="HJD411" s="120"/>
      <c r="HJE411" s="120"/>
      <c r="HJF411" s="120"/>
      <c r="HJG411" s="120"/>
      <c r="HJH411" s="120"/>
      <c r="HJI411" s="121"/>
      <c r="HJJ411" s="119"/>
      <c r="HJK411" s="120"/>
      <c r="HJL411" s="120"/>
      <c r="HJM411" s="120"/>
      <c r="HJN411" s="120"/>
      <c r="HJO411" s="120"/>
      <c r="HJP411" s="121"/>
      <c r="HJQ411" s="119"/>
      <c r="HJR411" s="120"/>
      <c r="HJS411" s="120"/>
      <c r="HJT411" s="120"/>
      <c r="HJU411" s="120"/>
      <c r="HJV411" s="120"/>
      <c r="HJW411" s="121"/>
      <c r="HJX411" s="119"/>
      <c r="HJY411" s="120"/>
      <c r="HJZ411" s="120"/>
      <c r="HKA411" s="120"/>
      <c r="HKB411" s="120"/>
      <c r="HKC411" s="120"/>
      <c r="HKD411" s="121"/>
      <c r="HKE411" s="119"/>
      <c r="HKF411" s="120"/>
      <c r="HKG411" s="120"/>
      <c r="HKH411" s="120"/>
      <c r="HKI411" s="120"/>
      <c r="HKJ411" s="120"/>
      <c r="HKK411" s="121"/>
      <c r="HKL411" s="119"/>
      <c r="HKM411" s="120"/>
      <c r="HKN411" s="120"/>
      <c r="HKO411" s="120"/>
      <c r="HKP411" s="120"/>
      <c r="HKQ411" s="120"/>
      <c r="HKR411" s="121"/>
      <c r="HKS411" s="119"/>
      <c r="HKT411" s="120"/>
      <c r="HKU411" s="120"/>
      <c r="HKV411" s="120"/>
      <c r="HKW411" s="120"/>
      <c r="HKX411" s="120"/>
      <c r="HKY411" s="121"/>
      <c r="HKZ411" s="119"/>
      <c r="HLA411" s="120"/>
      <c r="HLB411" s="120"/>
      <c r="HLC411" s="120"/>
      <c r="HLD411" s="120"/>
      <c r="HLE411" s="120"/>
      <c r="HLF411" s="121"/>
      <c r="HLG411" s="119"/>
      <c r="HLH411" s="120"/>
      <c r="HLI411" s="120"/>
      <c r="HLJ411" s="120"/>
      <c r="HLK411" s="120"/>
      <c r="HLL411" s="120"/>
      <c r="HLM411" s="121"/>
      <c r="HLN411" s="119"/>
      <c r="HLO411" s="120"/>
      <c r="HLP411" s="120"/>
      <c r="HLQ411" s="120"/>
      <c r="HLR411" s="120"/>
      <c r="HLS411" s="120"/>
      <c r="HLT411" s="121"/>
      <c r="HLU411" s="119"/>
      <c r="HLV411" s="120"/>
      <c r="HLW411" s="120"/>
      <c r="HLX411" s="120"/>
      <c r="HLY411" s="120"/>
      <c r="HLZ411" s="120"/>
      <c r="HMA411" s="121"/>
      <c r="HMB411" s="119"/>
      <c r="HMC411" s="120"/>
      <c r="HMD411" s="120"/>
      <c r="HME411" s="120"/>
      <c r="HMF411" s="120"/>
      <c r="HMG411" s="120"/>
      <c r="HMH411" s="121"/>
      <c r="HMI411" s="119"/>
      <c r="HMJ411" s="120"/>
      <c r="HMK411" s="120"/>
      <c r="HML411" s="120"/>
      <c r="HMM411" s="120"/>
      <c r="HMN411" s="120"/>
      <c r="HMO411" s="121"/>
      <c r="HMP411" s="119"/>
      <c r="HMQ411" s="120"/>
      <c r="HMR411" s="120"/>
      <c r="HMS411" s="120"/>
      <c r="HMT411" s="120"/>
      <c r="HMU411" s="120"/>
      <c r="HMV411" s="121"/>
      <c r="HMW411" s="119"/>
      <c r="HMX411" s="120"/>
      <c r="HMY411" s="120"/>
      <c r="HMZ411" s="120"/>
      <c r="HNA411" s="120"/>
      <c r="HNB411" s="120"/>
      <c r="HNC411" s="121"/>
      <c r="HND411" s="119"/>
      <c r="HNE411" s="120"/>
      <c r="HNF411" s="120"/>
      <c r="HNG411" s="120"/>
      <c r="HNH411" s="120"/>
      <c r="HNI411" s="120"/>
      <c r="HNJ411" s="121"/>
      <c r="HNK411" s="119"/>
      <c r="HNL411" s="120"/>
      <c r="HNM411" s="120"/>
      <c r="HNN411" s="120"/>
      <c r="HNO411" s="120"/>
      <c r="HNP411" s="120"/>
      <c r="HNQ411" s="121"/>
      <c r="HNR411" s="119"/>
      <c r="HNS411" s="120"/>
      <c r="HNT411" s="120"/>
      <c r="HNU411" s="120"/>
      <c r="HNV411" s="120"/>
      <c r="HNW411" s="120"/>
      <c r="HNX411" s="121"/>
      <c r="HNY411" s="119"/>
      <c r="HNZ411" s="120"/>
      <c r="HOA411" s="120"/>
      <c r="HOB411" s="120"/>
      <c r="HOC411" s="120"/>
      <c r="HOD411" s="120"/>
      <c r="HOE411" s="121"/>
      <c r="HOF411" s="119"/>
      <c r="HOG411" s="120"/>
      <c r="HOH411" s="120"/>
      <c r="HOI411" s="120"/>
      <c r="HOJ411" s="120"/>
      <c r="HOK411" s="120"/>
      <c r="HOL411" s="121"/>
      <c r="HOM411" s="119"/>
      <c r="HON411" s="120"/>
      <c r="HOO411" s="120"/>
      <c r="HOP411" s="120"/>
      <c r="HOQ411" s="120"/>
      <c r="HOR411" s="120"/>
      <c r="HOS411" s="121"/>
      <c r="HOT411" s="119"/>
      <c r="HOU411" s="120"/>
      <c r="HOV411" s="120"/>
      <c r="HOW411" s="120"/>
      <c r="HOX411" s="120"/>
      <c r="HOY411" s="120"/>
      <c r="HOZ411" s="121"/>
      <c r="HPA411" s="119"/>
      <c r="HPB411" s="120"/>
      <c r="HPC411" s="120"/>
      <c r="HPD411" s="120"/>
      <c r="HPE411" s="120"/>
      <c r="HPF411" s="120"/>
      <c r="HPG411" s="121"/>
      <c r="HPH411" s="119"/>
      <c r="HPI411" s="120"/>
      <c r="HPJ411" s="120"/>
      <c r="HPK411" s="120"/>
      <c r="HPL411" s="120"/>
      <c r="HPM411" s="120"/>
      <c r="HPN411" s="121"/>
      <c r="HPO411" s="119"/>
      <c r="HPP411" s="120"/>
      <c r="HPQ411" s="120"/>
      <c r="HPR411" s="120"/>
      <c r="HPS411" s="120"/>
      <c r="HPT411" s="120"/>
      <c r="HPU411" s="121"/>
      <c r="HPV411" s="119"/>
      <c r="HPW411" s="120"/>
      <c r="HPX411" s="120"/>
      <c r="HPY411" s="120"/>
      <c r="HPZ411" s="120"/>
      <c r="HQA411" s="120"/>
      <c r="HQB411" s="121"/>
      <c r="HQC411" s="119"/>
      <c r="HQD411" s="120"/>
      <c r="HQE411" s="120"/>
      <c r="HQF411" s="120"/>
      <c r="HQG411" s="120"/>
      <c r="HQH411" s="120"/>
      <c r="HQI411" s="121"/>
      <c r="HQJ411" s="119"/>
      <c r="HQK411" s="120"/>
      <c r="HQL411" s="120"/>
      <c r="HQM411" s="120"/>
      <c r="HQN411" s="120"/>
      <c r="HQO411" s="120"/>
      <c r="HQP411" s="121"/>
      <c r="HQQ411" s="119"/>
      <c r="HQR411" s="120"/>
      <c r="HQS411" s="120"/>
      <c r="HQT411" s="120"/>
      <c r="HQU411" s="120"/>
      <c r="HQV411" s="120"/>
      <c r="HQW411" s="121"/>
      <c r="HQX411" s="119"/>
      <c r="HQY411" s="120"/>
      <c r="HQZ411" s="120"/>
      <c r="HRA411" s="120"/>
      <c r="HRB411" s="120"/>
      <c r="HRC411" s="120"/>
      <c r="HRD411" s="121"/>
      <c r="HRE411" s="119"/>
      <c r="HRF411" s="120"/>
      <c r="HRG411" s="120"/>
      <c r="HRH411" s="120"/>
      <c r="HRI411" s="120"/>
      <c r="HRJ411" s="120"/>
      <c r="HRK411" s="121"/>
      <c r="HRL411" s="119"/>
      <c r="HRM411" s="120"/>
      <c r="HRN411" s="120"/>
      <c r="HRO411" s="120"/>
      <c r="HRP411" s="120"/>
      <c r="HRQ411" s="120"/>
      <c r="HRR411" s="121"/>
      <c r="HRS411" s="119"/>
      <c r="HRT411" s="120"/>
      <c r="HRU411" s="120"/>
      <c r="HRV411" s="120"/>
      <c r="HRW411" s="120"/>
      <c r="HRX411" s="120"/>
      <c r="HRY411" s="121"/>
      <c r="HRZ411" s="119"/>
      <c r="HSA411" s="120"/>
      <c r="HSB411" s="120"/>
      <c r="HSC411" s="120"/>
      <c r="HSD411" s="120"/>
      <c r="HSE411" s="120"/>
      <c r="HSF411" s="121"/>
      <c r="HSG411" s="119"/>
      <c r="HSH411" s="120"/>
      <c r="HSI411" s="120"/>
      <c r="HSJ411" s="120"/>
      <c r="HSK411" s="120"/>
      <c r="HSL411" s="120"/>
      <c r="HSM411" s="121"/>
      <c r="HSN411" s="119"/>
      <c r="HSO411" s="120"/>
      <c r="HSP411" s="120"/>
      <c r="HSQ411" s="120"/>
      <c r="HSR411" s="120"/>
      <c r="HSS411" s="120"/>
      <c r="HST411" s="121"/>
      <c r="HSU411" s="119"/>
      <c r="HSV411" s="120"/>
      <c r="HSW411" s="120"/>
      <c r="HSX411" s="120"/>
      <c r="HSY411" s="120"/>
      <c r="HSZ411" s="120"/>
      <c r="HTA411" s="121"/>
      <c r="HTB411" s="119"/>
      <c r="HTC411" s="120"/>
      <c r="HTD411" s="120"/>
      <c r="HTE411" s="120"/>
      <c r="HTF411" s="120"/>
      <c r="HTG411" s="120"/>
      <c r="HTH411" s="121"/>
      <c r="HTI411" s="119"/>
      <c r="HTJ411" s="120"/>
      <c r="HTK411" s="120"/>
      <c r="HTL411" s="120"/>
      <c r="HTM411" s="120"/>
      <c r="HTN411" s="120"/>
      <c r="HTO411" s="121"/>
      <c r="HTP411" s="119"/>
      <c r="HTQ411" s="120"/>
      <c r="HTR411" s="120"/>
      <c r="HTS411" s="120"/>
      <c r="HTT411" s="120"/>
      <c r="HTU411" s="120"/>
      <c r="HTV411" s="121"/>
      <c r="HTW411" s="119"/>
      <c r="HTX411" s="120"/>
      <c r="HTY411" s="120"/>
      <c r="HTZ411" s="120"/>
      <c r="HUA411" s="120"/>
      <c r="HUB411" s="120"/>
      <c r="HUC411" s="121"/>
      <c r="HUD411" s="119"/>
      <c r="HUE411" s="120"/>
      <c r="HUF411" s="120"/>
      <c r="HUG411" s="120"/>
      <c r="HUH411" s="120"/>
      <c r="HUI411" s="120"/>
      <c r="HUJ411" s="121"/>
      <c r="HUK411" s="119"/>
      <c r="HUL411" s="120"/>
      <c r="HUM411" s="120"/>
      <c r="HUN411" s="120"/>
      <c r="HUO411" s="120"/>
      <c r="HUP411" s="120"/>
      <c r="HUQ411" s="121"/>
      <c r="HUR411" s="119"/>
      <c r="HUS411" s="120"/>
      <c r="HUT411" s="120"/>
      <c r="HUU411" s="120"/>
      <c r="HUV411" s="120"/>
      <c r="HUW411" s="120"/>
      <c r="HUX411" s="121"/>
      <c r="HUY411" s="119"/>
      <c r="HUZ411" s="120"/>
      <c r="HVA411" s="120"/>
      <c r="HVB411" s="120"/>
      <c r="HVC411" s="120"/>
      <c r="HVD411" s="120"/>
      <c r="HVE411" s="121"/>
      <c r="HVF411" s="119"/>
      <c r="HVG411" s="120"/>
      <c r="HVH411" s="120"/>
      <c r="HVI411" s="120"/>
      <c r="HVJ411" s="120"/>
      <c r="HVK411" s="120"/>
      <c r="HVL411" s="121"/>
      <c r="HVM411" s="119"/>
      <c r="HVN411" s="120"/>
      <c r="HVO411" s="120"/>
      <c r="HVP411" s="120"/>
      <c r="HVQ411" s="120"/>
      <c r="HVR411" s="120"/>
      <c r="HVS411" s="121"/>
      <c r="HVT411" s="119"/>
      <c r="HVU411" s="120"/>
      <c r="HVV411" s="120"/>
      <c r="HVW411" s="120"/>
      <c r="HVX411" s="120"/>
      <c r="HVY411" s="120"/>
      <c r="HVZ411" s="121"/>
      <c r="HWA411" s="119"/>
      <c r="HWB411" s="120"/>
      <c r="HWC411" s="120"/>
      <c r="HWD411" s="120"/>
      <c r="HWE411" s="120"/>
      <c r="HWF411" s="120"/>
      <c r="HWG411" s="121"/>
      <c r="HWH411" s="119"/>
      <c r="HWI411" s="120"/>
      <c r="HWJ411" s="120"/>
      <c r="HWK411" s="120"/>
      <c r="HWL411" s="120"/>
      <c r="HWM411" s="120"/>
      <c r="HWN411" s="121"/>
      <c r="HWO411" s="119"/>
      <c r="HWP411" s="120"/>
      <c r="HWQ411" s="120"/>
      <c r="HWR411" s="120"/>
      <c r="HWS411" s="120"/>
      <c r="HWT411" s="120"/>
      <c r="HWU411" s="121"/>
      <c r="HWV411" s="119"/>
      <c r="HWW411" s="120"/>
      <c r="HWX411" s="120"/>
      <c r="HWY411" s="120"/>
      <c r="HWZ411" s="120"/>
      <c r="HXA411" s="120"/>
      <c r="HXB411" s="121"/>
      <c r="HXC411" s="119"/>
      <c r="HXD411" s="120"/>
      <c r="HXE411" s="120"/>
      <c r="HXF411" s="120"/>
      <c r="HXG411" s="120"/>
      <c r="HXH411" s="120"/>
      <c r="HXI411" s="121"/>
      <c r="HXJ411" s="119"/>
      <c r="HXK411" s="120"/>
      <c r="HXL411" s="120"/>
      <c r="HXM411" s="120"/>
      <c r="HXN411" s="120"/>
      <c r="HXO411" s="120"/>
      <c r="HXP411" s="121"/>
      <c r="HXQ411" s="119"/>
      <c r="HXR411" s="120"/>
      <c r="HXS411" s="120"/>
      <c r="HXT411" s="120"/>
      <c r="HXU411" s="120"/>
      <c r="HXV411" s="120"/>
      <c r="HXW411" s="121"/>
      <c r="HXX411" s="119"/>
      <c r="HXY411" s="120"/>
      <c r="HXZ411" s="120"/>
      <c r="HYA411" s="120"/>
      <c r="HYB411" s="120"/>
      <c r="HYC411" s="120"/>
      <c r="HYD411" s="121"/>
      <c r="HYE411" s="119"/>
      <c r="HYF411" s="120"/>
      <c r="HYG411" s="120"/>
      <c r="HYH411" s="120"/>
      <c r="HYI411" s="120"/>
      <c r="HYJ411" s="120"/>
      <c r="HYK411" s="121"/>
      <c r="HYL411" s="119"/>
      <c r="HYM411" s="120"/>
      <c r="HYN411" s="120"/>
      <c r="HYO411" s="120"/>
      <c r="HYP411" s="120"/>
      <c r="HYQ411" s="120"/>
      <c r="HYR411" s="121"/>
      <c r="HYS411" s="119"/>
      <c r="HYT411" s="120"/>
      <c r="HYU411" s="120"/>
      <c r="HYV411" s="120"/>
      <c r="HYW411" s="120"/>
      <c r="HYX411" s="120"/>
      <c r="HYY411" s="121"/>
      <c r="HYZ411" s="119"/>
      <c r="HZA411" s="120"/>
      <c r="HZB411" s="120"/>
      <c r="HZC411" s="120"/>
      <c r="HZD411" s="120"/>
      <c r="HZE411" s="120"/>
      <c r="HZF411" s="121"/>
      <c r="HZG411" s="119"/>
      <c r="HZH411" s="120"/>
      <c r="HZI411" s="120"/>
      <c r="HZJ411" s="120"/>
      <c r="HZK411" s="120"/>
      <c r="HZL411" s="120"/>
      <c r="HZM411" s="121"/>
      <c r="HZN411" s="119"/>
      <c r="HZO411" s="120"/>
      <c r="HZP411" s="120"/>
      <c r="HZQ411" s="120"/>
      <c r="HZR411" s="120"/>
      <c r="HZS411" s="120"/>
      <c r="HZT411" s="121"/>
      <c r="HZU411" s="119"/>
      <c r="HZV411" s="120"/>
      <c r="HZW411" s="120"/>
      <c r="HZX411" s="120"/>
      <c r="HZY411" s="120"/>
      <c r="HZZ411" s="120"/>
      <c r="IAA411" s="121"/>
      <c r="IAB411" s="119"/>
      <c r="IAC411" s="120"/>
      <c r="IAD411" s="120"/>
      <c r="IAE411" s="120"/>
      <c r="IAF411" s="120"/>
      <c r="IAG411" s="120"/>
      <c r="IAH411" s="121"/>
      <c r="IAI411" s="119"/>
      <c r="IAJ411" s="120"/>
      <c r="IAK411" s="120"/>
      <c r="IAL411" s="120"/>
      <c r="IAM411" s="120"/>
      <c r="IAN411" s="120"/>
      <c r="IAO411" s="121"/>
      <c r="IAP411" s="119"/>
      <c r="IAQ411" s="120"/>
      <c r="IAR411" s="120"/>
      <c r="IAS411" s="120"/>
      <c r="IAT411" s="120"/>
      <c r="IAU411" s="120"/>
      <c r="IAV411" s="121"/>
      <c r="IAW411" s="119"/>
      <c r="IAX411" s="120"/>
      <c r="IAY411" s="120"/>
      <c r="IAZ411" s="120"/>
      <c r="IBA411" s="120"/>
      <c r="IBB411" s="120"/>
      <c r="IBC411" s="121"/>
      <c r="IBD411" s="119"/>
      <c r="IBE411" s="120"/>
      <c r="IBF411" s="120"/>
      <c r="IBG411" s="120"/>
      <c r="IBH411" s="120"/>
      <c r="IBI411" s="120"/>
      <c r="IBJ411" s="121"/>
      <c r="IBK411" s="119"/>
      <c r="IBL411" s="120"/>
      <c r="IBM411" s="120"/>
      <c r="IBN411" s="120"/>
      <c r="IBO411" s="120"/>
      <c r="IBP411" s="120"/>
      <c r="IBQ411" s="121"/>
      <c r="IBR411" s="119"/>
      <c r="IBS411" s="120"/>
      <c r="IBT411" s="120"/>
      <c r="IBU411" s="120"/>
      <c r="IBV411" s="120"/>
      <c r="IBW411" s="120"/>
      <c r="IBX411" s="121"/>
      <c r="IBY411" s="119"/>
      <c r="IBZ411" s="120"/>
      <c r="ICA411" s="120"/>
      <c r="ICB411" s="120"/>
      <c r="ICC411" s="120"/>
      <c r="ICD411" s="120"/>
      <c r="ICE411" s="121"/>
      <c r="ICF411" s="119"/>
      <c r="ICG411" s="120"/>
      <c r="ICH411" s="120"/>
      <c r="ICI411" s="120"/>
      <c r="ICJ411" s="120"/>
      <c r="ICK411" s="120"/>
      <c r="ICL411" s="121"/>
      <c r="ICM411" s="119"/>
      <c r="ICN411" s="120"/>
      <c r="ICO411" s="120"/>
      <c r="ICP411" s="120"/>
      <c r="ICQ411" s="120"/>
      <c r="ICR411" s="120"/>
      <c r="ICS411" s="121"/>
      <c r="ICT411" s="119"/>
      <c r="ICU411" s="120"/>
      <c r="ICV411" s="120"/>
      <c r="ICW411" s="120"/>
      <c r="ICX411" s="120"/>
      <c r="ICY411" s="120"/>
      <c r="ICZ411" s="121"/>
      <c r="IDA411" s="119"/>
      <c r="IDB411" s="120"/>
      <c r="IDC411" s="120"/>
      <c r="IDD411" s="120"/>
      <c r="IDE411" s="120"/>
      <c r="IDF411" s="120"/>
      <c r="IDG411" s="121"/>
      <c r="IDH411" s="119"/>
      <c r="IDI411" s="120"/>
      <c r="IDJ411" s="120"/>
      <c r="IDK411" s="120"/>
      <c r="IDL411" s="120"/>
      <c r="IDM411" s="120"/>
      <c r="IDN411" s="121"/>
      <c r="IDO411" s="119"/>
      <c r="IDP411" s="120"/>
      <c r="IDQ411" s="120"/>
      <c r="IDR411" s="120"/>
      <c r="IDS411" s="120"/>
      <c r="IDT411" s="120"/>
      <c r="IDU411" s="121"/>
      <c r="IDV411" s="119"/>
      <c r="IDW411" s="120"/>
      <c r="IDX411" s="120"/>
      <c r="IDY411" s="120"/>
      <c r="IDZ411" s="120"/>
      <c r="IEA411" s="120"/>
      <c r="IEB411" s="121"/>
      <c r="IEC411" s="119"/>
      <c r="IED411" s="120"/>
      <c r="IEE411" s="120"/>
      <c r="IEF411" s="120"/>
      <c r="IEG411" s="120"/>
      <c r="IEH411" s="120"/>
      <c r="IEI411" s="121"/>
      <c r="IEJ411" s="119"/>
      <c r="IEK411" s="120"/>
      <c r="IEL411" s="120"/>
      <c r="IEM411" s="120"/>
      <c r="IEN411" s="120"/>
      <c r="IEO411" s="120"/>
      <c r="IEP411" s="121"/>
      <c r="IEQ411" s="119"/>
      <c r="IER411" s="120"/>
      <c r="IES411" s="120"/>
      <c r="IET411" s="120"/>
      <c r="IEU411" s="120"/>
      <c r="IEV411" s="120"/>
      <c r="IEW411" s="121"/>
      <c r="IEX411" s="119"/>
      <c r="IEY411" s="120"/>
      <c r="IEZ411" s="120"/>
      <c r="IFA411" s="120"/>
      <c r="IFB411" s="120"/>
      <c r="IFC411" s="120"/>
      <c r="IFD411" s="121"/>
      <c r="IFE411" s="119"/>
      <c r="IFF411" s="120"/>
      <c r="IFG411" s="120"/>
      <c r="IFH411" s="120"/>
      <c r="IFI411" s="120"/>
      <c r="IFJ411" s="120"/>
      <c r="IFK411" s="121"/>
      <c r="IFL411" s="119"/>
      <c r="IFM411" s="120"/>
      <c r="IFN411" s="120"/>
      <c r="IFO411" s="120"/>
      <c r="IFP411" s="120"/>
      <c r="IFQ411" s="120"/>
      <c r="IFR411" s="121"/>
      <c r="IFS411" s="119"/>
      <c r="IFT411" s="120"/>
      <c r="IFU411" s="120"/>
      <c r="IFV411" s="120"/>
      <c r="IFW411" s="120"/>
      <c r="IFX411" s="120"/>
      <c r="IFY411" s="121"/>
      <c r="IFZ411" s="119"/>
      <c r="IGA411" s="120"/>
      <c r="IGB411" s="120"/>
      <c r="IGC411" s="120"/>
      <c r="IGD411" s="120"/>
      <c r="IGE411" s="120"/>
      <c r="IGF411" s="121"/>
      <c r="IGG411" s="119"/>
      <c r="IGH411" s="120"/>
      <c r="IGI411" s="120"/>
      <c r="IGJ411" s="120"/>
      <c r="IGK411" s="120"/>
      <c r="IGL411" s="120"/>
      <c r="IGM411" s="121"/>
      <c r="IGN411" s="119"/>
      <c r="IGO411" s="120"/>
      <c r="IGP411" s="120"/>
      <c r="IGQ411" s="120"/>
      <c r="IGR411" s="120"/>
      <c r="IGS411" s="120"/>
      <c r="IGT411" s="121"/>
      <c r="IGU411" s="119"/>
      <c r="IGV411" s="120"/>
      <c r="IGW411" s="120"/>
      <c r="IGX411" s="120"/>
      <c r="IGY411" s="120"/>
      <c r="IGZ411" s="120"/>
      <c r="IHA411" s="121"/>
      <c r="IHB411" s="119"/>
      <c r="IHC411" s="120"/>
      <c r="IHD411" s="120"/>
      <c r="IHE411" s="120"/>
      <c r="IHF411" s="120"/>
      <c r="IHG411" s="120"/>
      <c r="IHH411" s="121"/>
      <c r="IHI411" s="119"/>
      <c r="IHJ411" s="120"/>
      <c r="IHK411" s="120"/>
      <c r="IHL411" s="120"/>
      <c r="IHM411" s="120"/>
      <c r="IHN411" s="120"/>
      <c r="IHO411" s="121"/>
      <c r="IHP411" s="119"/>
      <c r="IHQ411" s="120"/>
      <c r="IHR411" s="120"/>
      <c r="IHS411" s="120"/>
      <c r="IHT411" s="120"/>
      <c r="IHU411" s="120"/>
      <c r="IHV411" s="121"/>
      <c r="IHW411" s="119"/>
      <c r="IHX411" s="120"/>
      <c r="IHY411" s="120"/>
      <c r="IHZ411" s="120"/>
      <c r="IIA411" s="120"/>
      <c r="IIB411" s="120"/>
      <c r="IIC411" s="121"/>
      <c r="IID411" s="119"/>
      <c r="IIE411" s="120"/>
      <c r="IIF411" s="120"/>
      <c r="IIG411" s="120"/>
      <c r="IIH411" s="120"/>
      <c r="III411" s="120"/>
      <c r="IIJ411" s="121"/>
      <c r="IIK411" s="119"/>
      <c r="IIL411" s="120"/>
      <c r="IIM411" s="120"/>
      <c r="IIN411" s="120"/>
      <c r="IIO411" s="120"/>
      <c r="IIP411" s="120"/>
      <c r="IIQ411" s="121"/>
      <c r="IIR411" s="119"/>
      <c r="IIS411" s="120"/>
      <c r="IIT411" s="120"/>
      <c r="IIU411" s="120"/>
      <c r="IIV411" s="120"/>
      <c r="IIW411" s="120"/>
      <c r="IIX411" s="121"/>
      <c r="IIY411" s="119"/>
      <c r="IIZ411" s="120"/>
      <c r="IJA411" s="120"/>
      <c r="IJB411" s="120"/>
      <c r="IJC411" s="120"/>
      <c r="IJD411" s="120"/>
      <c r="IJE411" s="121"/>
      <c r="IJF411" s="119"/>
      <c r="IJG411" s="120"/>
      <c r="IJH411" s="120"/>
      <c r="IJI411" s="120"/>
      <c r="IJJ411" s="120"/>
      <c r="IJK411" s="120"/>
      <c r="IJL411" s="121"/>
      <c r="IJM411" s="119"/>
      <c r="IJN411" s="120"/>
      <c r="IJO411" s="120"/>
      <c r="IJP411" s="120"/>
      <c r="IJQ411" s="120"/>
      <c r="IJR411" s="120"/>
      <c r="IJS411" s="121"/>
      <c r="IJT411" s="119"/>
      <c r="IJU411" s="120"/>
      <c r="IJV411" s="120"/>
      <c r="IJW411" s="120"/>
      <c r="IJX411" s="120"/>
      <c r="IJY411" s="120"/>
      <c r="IJZ411" s="121"/>
      <c r="IKA411" s="119"/>
      <c r="IKB411" s="120"/>
      <c r="IKC411" s="120"/>
      <c r="IKD411" s="120"/>
      <c r="IKE411" s="120"/>
      <c r="IKF411" s="120"/>
      <c r="IKG411" s="121"/>
      <c r="IKH411" s="119"/>
      <c r="IKI411" s="120"/>
      <c r="IKJ411" s="120"/>
      <c r="IKK411" s="120"/>
      <c r="IKL411" s="120"/>
      <c r="IKM411" s="120"/>
      <c r="IKN411" s="121"/>
      <c r="IKO411" s="119"/>
      <c r="IKP411" s="120"/>
      <c r="IKQ411" s="120"/>
      <c r="IKR411" s="120"/>
      <c r="IKS411" s="120"/>
      <c r="IKT411" s="120"/>
      <c r="IKU411" s="121"/>
      <c r="IKV411" s="119"/>
      <c r="IKW411" s="120"/>
      <c r="IKX411" s="120"/>
      <c r="IKY411" s="120"/>
      <c r="IKZ411" s="120"/>
      <c r="ILA411" s="120"/>
      <c r="ILB411" s="121"/>
      <c r="ILC411" s="119"/>
      <c r="ILD411" s="120"/>
      <c r="ILE411" s="120"/>
      <c r="ILF411" s="120"/>
      <c r="ILG411" s="120"/>
      <c r="ILH411" s="120"/>
      <c r="ILI411" s="121"/>
      <c r="ILJ411" s="119"/>
      <c r="ILK411" s="120"/>
      <c r="ILL411" s="120"/>
      <c r="ILM411" s="120"/>
      <c r="ILN411" s="120"/>
      <c r="ILO411" s="120"/>
      <c r="ILP411" s="121"/>
      <c r="ILQ411" s="119"/>
      <c r="ILR411" s="120"/>
      <c r="ILS411" s="120"/>
      <c r="ILT411" s="120"/>
      <c r="ILU411" s="120"/>
      <c r="ILV411" s="120"/>
      <c r="ILW411" s="121"/>
      <c r="ILX411" s="119"/>
      <c r="ILY411" s="120"/>
      <c r="ILZ411" s="120"/>
      <c r="IMA411" s="120"/>
      <c r="IMB411" s="120"/>
      <c r="IMC411" s="120"/>
      <c r="IMD411" s="121"/>
      <c r="IME411" s="119"/>
      <c r="IMF411" s="120"/>
      <c r="IMG411" s="120"/>
      <c r="IMH411" s="120"/>
      <c r="IMI411" s="120"/>
      <c r="IMJ411" s="120"/>
      <c r="IMK411" s="121"/>
      <c r="IML411" s="119"/>
      <c r="IMM411" s="120"/>
      <c r="IMN411" s="120"/>
      <c r="IMO411" s="120"/>
      <c r="IMP411" s="120"/>
      <c r="IMQ411" s="120"/>
      <c r="IMR411" s="121"/>
      <c r="IMS411" s="119"/>
      <c r="IMT411" s="120"/>
      <c r="IMU411" s="120"/>
      <c r="IMV411" s="120"/>
      <c r="IMW411" s="120"/>
      <c r="IMX411" s="120"/>
      <c r="IMY411" s="121"/>
      <c r="IMZ411" s="119"/>
      <c r="INA411" s="120"/>
      <c r="INB411" s="120"/>
      <c r="INC411" s="120"/>
      <c r="IND411" s="120"/>
      <c r="INE411" s="120"/>
      <c r="INF411" s="121"/>
      <c r="ING411" s="119"/>
      <c r="INH411" s="120"/>
      <c r="INI411" s="120"/>
      <c r="INJ411" s="120"/>
      <c r="INK411" s="120"/>
      <c r="INL411" s="120"/>
      <c r="INM411" s="121"/>
      <c r="INN411" s="119"/>
      <c r="INO411" s="120"/>
      <c r="INP411" s="120"/>
      <c r="INQ411" s="120"/>
      <c r="INR411" s="120"/>
      <c r="INS411" s="120"/>
      <c r="INT411" s="121"/>
      <c r="INU411" s="119"/>
      <c r="INV411" s="120"/>
      <c r="INW411" s="120"/>
      <c r="INX411" s="120"/>
      <c r="INY411" s="120"/>
      <c r="INZ411" s="120"/>
      <c r="IOA411" s="121"/>
      <c r="IOB411" s="119"/>
      <c r="IOC411" s="120"/>
      <c r="IOD411" s="120"/>
      <c r="IOE411" s="120"/>
      <c r="IOF411" s="120"/>
      <c r="IOG411" s="120"/>
      <c r="IOH411" s="121"/>
      <c r="IOI411" s="119"/>
      <c r="IOJ411" s="120"/>
      <c r="IOK411" s="120"/>
      <c r="IOL411" s="120"/>
      <c r="IOM411" s="120"/>
      <c r="ION411" s="120"/>
      <c r="IOO411" s="121"/>
      <c r="IOP411" s="119"/>
      <c r="IOQ411" s="120"/>
      <c r="IOR411" s="120"/>
      <c r="IOS411" s="120"/>
      <c r="IOT411" s="120"/>
      <c r="IOU411" s="120"/>
      <c r="IOV411" s="121"/>
      <c r="IOW411" s="119"/>
      <c r="IOX411" s="120"/>
      <c r="IOY411" s="120"/>
      <c r="IOZ411" s="120"/>
      <c r="IPA411" s="120"/>
      <c r="IPB411" s="120"/>
      <c r="IPC411" s="121"/>
      <c r="IPD411" s="119"/>
      <c r="IPE411" s="120"/>
      <c r="IPF411" s="120"/>
      <c r="IPG411" s="120"/>
      <c r="IPH411" s="120"/>
      <c r="IPI411" s="120"/>
      <c r="IPJ411" s="121"/>
      <c r="IPK411" s="119"/>
      <c r="IPL411" s="120"/>
      <c r="IPM411" s="120"/>
      <c r="IPN411" s="120"/>
      <c r="IPO411" s="120"/>
      <c r="IPP411" s="120"/>
      <c r="IPQ411" s="121"/>
      <c r="IPR411" s="119"/>
      <c r="IPS411" s="120"/>
      <c r="IPT411" s="120"/>
      <c r="IPU411" s="120"/>
      <c r="IPV411" s="120"/>
      <c r="IPW411" s="120"/>
      <c r="IPX411" s="121"/>
      <c r="IPY411" s="119"/>
      <c r="IPZ411" s="120"/>
      <c r="IQA411" s="120"/>
      <c r="IQB411" s="120"/>
      <c r="IQC411" s="120"/>
      <c r="IQD411" s="120"/>
      <c r="IQE411" s="121"/>
      <c r="IQF411" s="119"/>
      <c r="IQG411" s="120"/>
      <c r="IQH411" s="120"/>
      <c r="IQI411" s="120"/>
      <c r="IQJ411" s="120"/>
      <c r="IQK411" s="120"/>
      <c r="IQL411" s="121"/>
      <c r="IQM411" s="119"/>
      <c r="IQN411" s="120"/>
      <c r="IQO411" s="120"/>
      <c r="IQP411" s="120"/>
      <c r="IQQ411" s="120"/>
      <c r="IQR411" s="120"/>
      <c r="IQS411" s="121"/>
      <c r="IQT411" s="119"/>
      <c r="IQU411" s="120"/>
      <c r="IQV411" s="120"/>
      <c r="IQW411" s="120"/>
      <c r="IQX411" s="120"/>
      <c r="IQY411" s="120"/>
      <c r="IQZ411" s="121"/>
      <c r="IRA411" s="119"/>
      <c r="IRB411" s="120"/>
      <c r="IRC411" s="120"/>
      <c r="IRD411" s="120"/>
      <c r="IRE411" s="120"/>
      <c r="IRF411" s="120"/>
      <c r="IRG411" s="121"/>
      <c r="IRH411" s="119"/>
      <c r="IRI411" s="120"/>
      <c r="IRJ411" s="120"/>
      <c r="IRK411" s="120"/>
      <c r="IRL411" s="120"/>
      <c r="IRM411" s="120"/>
      <c r="IRN411" s="121"/>
      <c r="IRO411" s="119"/>
      <c r="IRP411" s="120"/>
      <c r="IRQ411" s="120"/>
      <c r="IRR411" s="120"/>
      <c r="IRS411" s="120"/>
      <c r="IRT411" s="120"/>
      <c r="IRU411" s="121"/>
      <c r="IRV411" s="119"/>
      <c r="IRW411" s="120"/>
      <c r="IRX411" s="120"/>
      <c r="IRY411" s="120"/>
      <c r="IRZ411" s="120"/>
      <c r="ISA411" s="120"/>
      <c r="ISB411" s="121"/>
      <c r="ISC411" s="119"/>
      <c r="ISD411" s="120"/>
      <c r="ISE411" s="120"/>
      <c r="ISF411" s="120"/>
      <c r="ISG411" s="120"/>
      <c r="ISH411" s="120"/>
      <c r="ISI411" s="121"/>
      <c r="ISJ411" s="119"/>
      <c r="ISK411" s="120"/>
      <c r="ISL411" s="120"/>
      <c r="ISM411" s="120"/>
      <c r="ISN411" s="120"/>
      <c r="ISO411" s="120"/>
      <c r="ISP411" s="121"/>
      <c r="ISQ411" s="119"/>
      <c r="ISR411" s="120"/>
      <c r="ISS411" s="120"/>
      <c r="IST411" s="120"/>
      <c r="ISU411" s="120"/>
      <c r="ISV411" s="120"/>
      <c r="ISW411" s="121"/>
      <c r="ISX411" s="119"/>
      <c r="ISY411" s="120"/>
      <c r="ISZ411" s="120"/>
      <c r="ITA411" s="120"/>
      <c r="ITB411" s="120"/>
      <c r="ITC411" s="120"/>
      <c r="ITD411" s="121"/>
      <c r="ITE411" s="119"/>
      <c r="ITF411" s="120"/>
      <c r="ITG411" s="120"/>
      <c r="ITH411" s="120"/>
      <c r="ITI411" s="120"/>
      <c r="ITJ411" s="120"/>
      <c r="ITK411" s="121"/>
      <c r="ITL411" s="119"/>
      <c r="ITM411" s="120"/>
      <c r="ITN411" s="120"/>
      <c r="ITO411" s="120"/>
      <c r="ITP411" s="120"/>
      <c r="ITQ411" s="120"/>
      <c r="ITR411" s="121"/>
      <c r="ITS411" s="119"/>
      <c r="ITT411" s="120"/>
      <c r="ITU411" s="120"/>
      <c r="ITV411" s="120"/>
      <c r="ITW411" s="120"/>
      <c r="ITX411" s="120"/>
      <c r="ITY411" s="121"/>
      <c r="ITZ411" s="119"/>
      <c r="IUA411" s="120"/>
      <c r="IUB411" s="120"/>
      <c r="IUC411" s="120"/>
      <c r="IUD411" s="120"/>
      <c r="IUE411" s="120"/>
      <c r="IUF411" s="121"/>
      <c r="IUG411" s="119"/>
      <c r="IUH411" s="120"/>
      <c r="IUI411" s="120"/>
      <c r="IUJ411" s="120"/>
      <c r="IUK411" s="120"/>
      <c r="IUL411" s="120"/>
      <c r="IUM411" s="121"/>
      <c r="IUN411" s="119"/>
      <c r="IUO411" s="120"/>
      <c r="IUP411" s="120"/>
      <c r="IUQ411" s="120"/>
      <c r="IUR411" s="120"/>
      <c r="IUS411" s="120"/>
      <c r="IUT411" s="121"/>
      <c r="IUU411" s="119"/>
      <c r="IUV411" s="120"/>
      <c r="IUW411" s="120"/>
      <c r="IUX411" s="120"/>
      <c r="IUY411" s="120"/>
      <c r="IUZ411" s="120"/>
      <c r="IVA411" s="121"/>
      <c r="IVB411" s="119"/>
      <c r="IVC411" s="120"/>
      <c r="IVD411" s="120"/>
      <c r="IVE411" s="120"/>
      <c r="IVF411" s="120"/>
      <c r="IVG411" s="120"/>
      <c r="IVH411" s="121"/>
      <c r="IVI411" s="119"/>
      <c r="IVJ411" s="120"/>
      <c r="IVK411" s="120"/>
      <c r="IVL411" s="120"/>
      <c r="IVM411" s="120"/>
      <c r="IVN411" s="120"/>
      <c r="IVO411" s="121"/>
      <c r="IVP411" s="119"/>
      <c r="IVQ411" s="120"/>
      <c r="IVR411" s="120"/>
      <c r="IVS411" s="120"/>
      <c r="IVT411" s="120"/>
      <c r="IVU411" s="120"/>
      <c r="IVV411" s="121"/>
      <c r="IVW411" s="119"/>
      <c r="IVX411" s="120"/>
      <c r="IVY411" s="120"/>
      <c r="IVZ411" s="120"/>
      <c r="IWA411" s="120"/>
      <c r="IWB411" s="120"/>
      <c r="IWC411" s="121"/>
      <c r="IWD411" s="119"/>
      <c r="IWE411" s="120"/>
      <c r="IWF411" s="120"/>
      <c r="IWG411" s="120"/>
      <c r="IWH411" s="120"/>
      <c r="IWI411" s="120"/>
      <c r="IWJ411" s="121"/>
      <c r="IWK411" s="119"/>
      <c r="IWL411" s="120"/>
      <c r="IWM411" s="120"/>
      <c r="IWN411" s="120"/>
      <c r="IWO411" s="120"/>
      <c r="IWP411" s="120"/>
      <c r="IWQ411" s="121"/>
      <c r="IWR411" s="119"/>
      <c r="IWS411" s="120"/>
      <c r="IWT411" s="120"/>
      <c r="IWU411" s="120"/>
      <c r="IWV411" s="120"/>
      <c r="IWW411" s="120"/>
      <c r="IWX411" s="121"/>
      <c r="IWY411" s="119"/>
      <c r="IWZ411" s="120"/>
      <c r="IXA411" s="120"/>
      <c r="IXB411" s="120"/>
      <c r="IXC411" s="120"/>
      <c r="IXD411" s="120"/>
      <c r="IXE411" s="121"/>
      <c r="IXF411" s="119"/>
      <c r="IXG411" s="120"/>
      <c r="IXH411" s="120"/>
      <c r="IXI411" s="120"/>
      <c r="IXJ411" s="120"/>
      <c r="IXK411" s="120"/>
      <c r="IXL411" s="121"/>
      <c r="IXM411" s="119"/>
      <c r="IXN411" s="120"/>
      <c r="IXO411" s="120"/>
      <c r="IXP411" s="120"/>
      <c r="IXQ411" s="120"/>
      <c r="IXR411" s="120"/>
      <c r="IXS411" s="121"/>
      <c r="IXT411" s="119"/>
      <c r="IXU411" s="120"/>
      <c r="IXV411" s="120"/>
      <c r="IXW411" s="120"/>
      <c r="IXX411" s="120"/>
      <c r="IXY411" s="120"/>
      <c r="IXZ411" s="121"/>
      <c r="IYA411" s="119"/>
      <c r="IYB411" s="120"/>
      <c r="IYC411" s="120"/>
      <c r="IYD411" s="120"/>
      <c r="IYE411" s="120"/>
      <c r="IYF411" s="120"/>
      <c r="IYG411" s="121"/>
      <c r="IYH411" s="119"/>
      <c r="IYI411" s="120"/>
      <c r="IYJ411" s="120"/>
      <c r="IYK411" s="120"/>
      <c r="IYL411" s="120"/>
      <c r="IYM411" s="120"/>
      <c r="IYN411" s="121"/>
      <c r="IYO411" s="119"/>
      <c r="IYP411" s="120"/>
      <c r="IYQ411" s="120"/>
      <c r="IYR411" s="120"/>
      <c r="IYS411" s="120"/>
      <c r="IYT411" s="120"/>
      <c r="IYU411" s="121"/>
      <c r="IYV411" s="119"/>
      <c r="IYW411" s="120"/>
      <c r="IYX411" s="120"/>
      <c r="IYY411" s="120"/>
      <c r="IYZ411" s="120"/>
      <c r="IZA411" s="120"/>
      <c r="IZB411" s="121"/>
      <c r="IZC411" s="119"/>
      <c r="IZD411" s="120"/>
      <c r="IZE411" s="120"/>
      <c r="IZF411" s="120"/>
      <c r="IZG411" s="120"/>
      <c r="IZH411" s="120"/>
      <c r="IZI411" s="121"/>
      <c r="IZJ411" s="119"/>
      <c r="IZK411" s="120"/>
      <c r="IZL411" s="120"/>
      <c r="IZM411" s="120"/>
      <c r="IZN411" s="120"/>
      <c r="IZO411" s="120"/>
      <c r="IZP411" s="121"/>
      <c r="IZQ411" s="119"/>
      <c r="IZR411" s="120"/>
      <c r="IZS411" s="120"/>
      <c r="IZT411" s="120"/>
      <c r="IZU411" s="120"/>
      <c r="IZV411" s="120"/>
      <c r="IZW411" s="121"/>
      <c r="IZX411" s="119"/>
      <c r="IZY411" s="120"/>
      <c r="IZZ411" s="120"/>
      <c r="JAA411" s="120"/>
      <c r="JAB411" s="120"/>
      <c r="JAC411" s="120"/>
      <c r="JAD411" s="121"/>
      <c r="JAE411" s="119"/>
      <c r="JAF411" s="120"/>
      <c r="JAG411" s="120"/>
      <c r="JAH411" s="120"/>
      <c r="JAI411" s="120"/>
      <c r="JAJ411" s="120"/>
      <c r="JAK411" s="121"/>
      <c r="JAL411" s="119"/>
      <c r="JAM411" s="120"/>
      <c r="JAN411" s="120"/>
      <c r="JAO411" s="120"/>
      <c r="JAP411" s="120"/>
      <c r="JAQ411" s="120"/>
      <c r="JAR411" s="121"/>
      <c r="JAS411" s="119"/>
      <c r="JAT411" s="120"/>
      <c r="JAU411" s="120"/>
      <c r="JAV411" s="120"/>
      <c r="JAW411" s="120"/>
      <c r="JAX411" s="120"/>
      <c r="JAY411" s="121"/>
      <c r="JAZ411" s="119"/>
      <c r="JBA411" s="120"/>
      <c r="JBB411" s="120"/>
      <c r="JBC411" s="120"/>
      <c r="JBD411" s="120"/>
      <c r="JBE411" s="120"/>
      <c r="JBF411" s="121"/>
      <c r="JBG411" s="119"/>
      <c r="JBH411" s="120"/>
      <c r="JBI411" s="120"/>
      <c r="JBJ411" s="120"/>
      <c r="JBK411" s="120"/>
      <c r="JBL411" s="120"/>
      <c r="JBM411" s="121"/>
      <c r="JBN411" s="119"/>
      <c r="JBO411" s="120"/>
      <c r="JBP411" s="120"/>
      <c r="JBQ411" s="120"/>
      <c r="JBR411" s="120"/>
      <c r="JBS411" s="120"/>
      <c r="JBT411" s="121"/>
      <c r="JBU411" s="119"/>
      <c r="JBV411" s="120"/>
      <c r="JBW411" s="120"/>
      <c r="JBX411" s="120"/>
      <c r="JBY411" s="120"/>
      <c r="JBZ411" s="120"/>
      <c r="JCA411" s="121"/>
      <c r="JCB411" s="119"/>
      <c r="JCC411" s="120"/>
      <c r="JCD411" s="120"/>
      <c r="JCE411" s="120"/>
      <c r="JCF411" s="120"/>
      <c r="JCG411" s="120"/>
      <c r="JCH411" s="121"/>
      <c r="JCI411" s="119"/>
      <c r="JCJ411" s="120"/>
      <c r="JCK411" s="120"/>
      <c r="JCL411" s="120"/>
      <c r="JCM411" s="120"/>
      <c r="JCN411" s="120"/>
      <c r="JCO411" s="121"/>
      <c r="JCP411" s="119"/>
      <c r="JCQ411" s="120"/>
      <c r="JCR411" s="120"/>
      <c r="JCS411" s="120"/>
      <c r="JCT411" s="120"/>
      <c r="JCU411" s="120"/>
      <c r="JCV411" s="121"/>
      <c r="JCW411" s="119"/>
      <c r="JCX411" s="120"/>
      <c r="JCY411" s="120"/>
      <c r="JCZ411" s="120"/>
      <c r="JDA411" s="120"/>
      <c r="JDB411" s="120"/>
      <c r="JDC411" s="121"/>
      <c r="JDD411" s="119"/>
      <c r="JDE411" s="120"/>
      <c r="JDF411" s="120"/>
      <c r="JDG411" s="120"/>
      <c r="JDH411" s="120"/>
      <c r="JDI411" s="120"/>
      <c r="JDJ411" s="121"/>
      <c r="JDK411" s="119"/>
      <c r="JDL411" s="120"/>
      <c r="JDM411" s="120"/>
      <c r="JDN411" s="120"/>
      <c r="JDO411" s="120"/>
      <c r="JDP411" s="120"/>
      <c r="JDQ411" s="121"/>
      <c r="JDR411" s="119"/>
      <c r="JDS411" s="120"/>
      <c r="JDT411" s="120"/>
      <c r="JDU411" s="120"/>
      <c r="JDV411" s="120"/>
      <c r="JDW411" s="120"/>
      <c r="JDX411" s="121"/>
      <c r="JDY411" s="119"/>
      <c r="JDZ411" s="120"/>
      <c r="JEA411" s="120"/>
      <c r="JEB411" s="120"/>
      <c r="JEC411" s="120"/>
      <c r="JED411" s="120"/>
      <c r="JEE411" s="121"/>
      <c r="JEF411" s="119"/>
      <c r="JEG411" s="120"/>
      <c r="JEH411" s="120"/>
      <c r="JEI411" s="120"/>
      <c r="JEJ411" s="120"/>
      <c r="JEK411" s="120"/>
      <c r="JEL411" s="121"/>
      <c r="JEM411" s="119"/>
      <c r="JEN411" s="120"/>
      <c r="JEO411" s="120"/>
      <c r="JEP411" s="120"/>
      <c r="JEQ411" s="120"/>
      <c r="JER411" s="120"/>
      <c r="JES411" s="121"/>
      <c r="JET411" s="119"/>
      <c r="JEU411" s="120"/>
      <c r="JEV411" s="120"/>
      <c r="JEW411" s="120"/>
      <c r="JEX411" s="120"/>
      <c r="JEY411" s="120"/>
      <c r="JEZ411" s="121"/>
      <c r="JFA411" s="119"/>
      <c r="JFB411" s="120"/>
      <c r="JFC411" s="120"/>
      <c r="JFD411" s="120"/>
      <c r="JFE411" s="120"/>
      <c r="JFF411" s="120"/>
      <c r="JFG411" s="121"/>
      <c r="JFH411" s="119"/>
      <c r="JFI411" s="120"/>
      <c r="JFJ411" s="120"/>
      <c r="JFK411" s="120"/>
      <c r="JFL411" s="120"/>
      <c r="JFM411" s="120"/>
      <c r="JFN411" s="121"/>
      <c r="JFO411" s="119"/>
      <c r="JFP411" s="120"/>
      <c r="JFQ411" s="120"/>
      <c r="JFR411" s="120"/>
      <c r="JFS411" s="120"/>
      <c r="JFT411" s="120"/>
      <c r="JFU411" s="121"/>
      <c r="JFV411" s="119"/>
      <c r="JFW411" s="120"/>
      <c r="JFX411" s="120"/>
      <c r="JFY411" s="120"/>
      <c r="JFZ411" s="120"/>
      <c r="JGA411" s="120"/>
      <c r="JGB411" s="121"/>
      <c r="JGC411" s="119"/>
      <c r="JGD411" s="120"/>
      <c r="JGE411" s="120"/>
      <c r="JGF411" s="120"/>
      <c r="JGG411" s="120"/>
      <c r="JGH411" s="120"/>
      <c r="JGI411" s="121"/>
      <c r="JGJ411" s="119"/>
      <c r="JGK411" s="120"/>
      <c r="JGL411" s="120"/>
      <c r="JGM411" s="120"/>
      <c r="JGN411" s="120"/>
      <c r="JGO411" s="120"/>
      <c r="JGP411" s="121"/>
      <c r="JGQ411" s="119"/>
      <c r="JGR411" s="120"/>
      <c r="JGS411" s="120"/>
      <c r="JGT411" s="120"/>
      <c r="JGU411" s="120"/>
      <c r="JGV411" s="120"/>
      <c r="JGW411" s="121"/>
      <c r="JGX411" s="119"/>
      <c r="JGY411" s="120"/>
      <c r="JGZ411" s="120"/>
      <c r="JHA411" s="120"/>
      <c r="JHB411" s="120"/>
      <c r="JHC411" s="120"/>
      <c r="JHD411" s="121"/>
      <c r="JHE411" s="119"/>
      <c r="JHF411" s="120"/>
      <c r="JHG411" s="120"/>
      <c r="JHH411" s="120"/>
      <c r="JHI411" s="120"/>
      <c r="JHJ411" s="120"/>
      <c r="JHK411" s="121"/>
      <c r="JHL411" s="119"/>
      <c r="JHM411" s="120"/>
      <c r="JHN411" s="120"/>
      <c r="JHO411" s="120"/>
      <c r="JHP411" s="120"/>
      <c r="JHQ411" s="120"/>
      <c r="JHR411" s="121"/>
      <c r="JHS411" s="119"/>
      <c r="JHT411" s="120"/>
      <c r="JHU411" s="120"/>
      <c r="JHV411" s="120"/>
      <c r="JHW411" s="120"/>
      <c r="JHX411" s="120"/>
      <c r="JHY411" s="121"/>
      <c r="JHZ411" s="119"/>
      <c r="JIA411" s="120"/>
      <c r="JIB411" s="120"/>
      <c r="JIC411" s="120"/>
      <c r="JID411" s="120"/>
      <c r="JIE411" s="120"/>
      <c r="JIF411" s="121"/>
      <c r="JIG411" s="119"/>
      <c r="JIH411" s="120"/>
      <c r="JII411" s="120"/>
      <c r="JIJ411" s="120"/>
      <c r="JIK411" s="120"/>
      <c r="JIL411" s="120"/>
      <c r="JIM411" s="121"/>
      <c r="JIN411" s="119"/>
      <c r="JIO411" s="120"/>
      <c r="JIP411" s="120"/>
      <c r="JIQ411" s="120"/>
      <c r="JIR411" s="120"/>
      <c r="JIS411" s="120"/>
      <c r="JIT411" s="121"/>
      <c r="JIU411" s="119"/>
      <c r="JIV411" s="120"/>
      <c r="JIW411" s="120"/>
      <c r="JIX411" s="120"/>
      <c r="JIY411" s="120"/>
      <c r="JIZ411" s="120"/>
      <c r="JJA411" s="121"/>
      <c r="JJB411" s="119"/>
      <c r="JJC411" s="120"/>
      <c r="JJD411" s="120"/>
      <c r="JJE411" s="120"/>
      <c r="JJF411" s="120"/>
      <c r="JJG411" s="120"/>
      <c r="JJH411" s="121"/>
      <c r="JJI411" s="119"/>
      <c r="JJJ411" s="120"/>
      <c r="JJK411" s="120"/>
      <c r="JJL411" s="120"/>
      <c r="JJM411" s="120"/>
      <c r="JJN411" s="120"/>
      <c r="JJO411" s="121"/>
      <c r="JJP411" s="119"/>
      <c r="JJQ411" s="120"/>
      <c r="JJR411" s="120"/>
      <c r="JJS411" s="120"/>
      <c r="JJT411" s="120"/>
      <c r="JJU411" s="120"/>
      <c r="JJV411" s="121"/>
      <c r="JJW411" s="119"/>
      <c r="JJX411" s="120"/>
      <c r="JJY411" s="120"/>
      <c r="JJZ411" s="120"/>
      <c r="JKA411" s="120"/>
      <c r="JKB411" s="120"/>
      <c r="JKC411" s="121"/>
      <c r="JKD411" s="119"/>
      <c r="JKE411" s="120"/>
      <c r="JKF411" s="120"/>
      <c r="JKG411" s="120"/>
      <c r="JKH411" s="120"/>
      <c r="JKI411" s="120"/>
      <c r="JKJ411" s="121"/>
      <c r="JKK411" s="119"/>
      <c r="JKL411" s="120"/>
      <c r="JKM411" s="120"/>
      <c r="JKN411" s="120"/>
      <c r="JKO411" s="120"/>
      <c r="JKP411" s="120"/>
      <c r="JKQ411" s="121"/>
      <c r="JKR411" s="119"/>
      <c r="JKS411" s="120"/>
      <c r="JKT411" s="120"/>
      <c r="JKU411" s="120"/>
      <c r="JKV411" s="120"/>
      <c r="JKW411" s="120"/>
      <c r="JKX411" s="121"/>
      <c r="JKY411" s="119"/>
      <c r="JKZ411" s="120"/>
      <c r="JLA411" s="120"/>
      <c r="JLB411" s="120"/>
      <c r="JLC411" s="120"/>
      <c r="JLD411" s="120"/>
      <c r="JLE411" s="121"/>
      <c r="JLF411" s="119"/>
      <c r="JLG411" s="120"/>
      <c r="JLH411" s="120"/>
      <c r="JLI411" s="120"/>
      <c r="JLJ411" s="120"/>
      <c r="JLK411" s="120"/>
      <c r="JLL411" s="121"/>
      <c r="JLM411" s="119"/>
      <c r="JLN411" s="120"/>
      <c r="JLO411" s="120"/>
      <c r="JLP411" s="120"/>
      <c r="JLQ411" s="120"/>
      <c r="JLR411" s="120"/>
      <c r="JLS411" s="121"/>
      <c r="JLT411" s="119"/>
      <c r="JLU411" s="120"/>
      <c r="JLV411" s="120"/>
      <c r="JLW411" s="120"/>
      <c r="JLX411" s="120"/>
      <c r="JLY411" s="120"/>
      <c r="JLZ411" s="121"/>
      <c r="JMA411" s="119"/>
      <c r="JMB411" s="120"/>
      <c r="JMC411" s="120"/>
      <c r="JMD411" s="120"/>
      <c r="JME411" s="120"/>
      <c r="JMF411" s="120"/>
      <c r="JMG411" s="121"/>
      <c r="JMH411" s="119"/>
      <c r="JMI411" s="120"/>
      <c r="JMJ411" s="120"/>
      <c r="JMK411" s="120"/>
      <c r="JML411" s="120"/>
      <c r="JMM411" s="120"/>
      <c r="JMN411" s="121"/>
      <c r="JMO411" s="119"/>
      <c r="JMP411" s="120"/>
      <c r="JMQ411" s="120"/>
      <c r="JMR411" s="120"/>
      <c r="JMS411" s="120"/>
      <c r="JMT411" s="120"/>
      <c r="JMU411" s="121"/>
      <c r="JMV411" s="119"/>
      <c r="JMW411" s="120"/>
      <c r="JMX411" s="120"/>
      <c r="JMY411" s="120"/>
      <c r="JMZ411" s="120"/>
      <c r="JNA411" s="120"/>
      <c r="JNB411" s="121"/>
      <c r="JNC411" s="119"/>
      <c r="JND411" s="120"/>
      <c r="JNE411" s="120"/>
      <c r="JNF411" s="120"/>
      <c r="JNG411" s="120"/>
      <c r="JNH411" s="120"/>
      <c r="JNI411" s="121"/>
      <c r="JNJ411" s="119"/>
      <c r="JNK411" s="120"/>
      <c r="JNL411" s="120"/>
      <c r="JNM411" s="120"/>
      <c r="JNN411" s="120"/>
      <c r="JNO411" s="120"/>
      <c r="JNP411" s="121"/>
      <c r="JNQ411" s="119"/>
      <c r="JNR411" s="120"/>
      <c r="JNS411" s="120"/>
      <c r="JNT411" s="120"/>
      <c r="JNU411" s="120"/>
      <c r="JNV411" s="120"/>
      <c r="JNW411" s="121"/>
      <c r="JNX411" s="119"/>
      <c r="JNY411" s="120"/>
      <c r="JNZ411" s="120"/>
      <c r="JOA411" s="120"/>
      <c r="JOB411" s="120"/>
      <c r="JOC411" s="120"/>
      <c r="JOD411" s="121"/>
      <c r="JOE411" s="119"/>
      <c r="JOF411" s="120"/>
      <c r="JOG411" s="120"/>
      <c r="JOH411" s="120"/>
      <c r="JOI411" s="120"/>
      <c r="JOJ411" s="120"/>
      <c r="JOK411" s="121"/>
      <c r="JOL411" s="119"/>
      <c r="JOM411" s="120"/>
      <c r="JON411" s="120"/>
      <c r="JOO411" s="120"/>
      <c r="JOP411" s="120"/>
      <c r="JOQ411" s="120"/>
      <c r="JOR411" s="121"/>
      <c r="JOS411" s="119"/>
      <c r="JOT411" s="120"/>
      <c r="JOU411" s="120"/>
      <c r="JOV411" s="120"/>
      <c r="JOW411" s="120"/>
      <c r="JOX411" s="120"/>
      <c r="JOY411" s="121"/>
      <c r="JOZ411" s="119"/>
      <c r="JPA411" s="120"/>
      <c r="JPB411" s="120"/>
      <c r="JPC411" s="120"/>
      <c r="JPD411" s="120"/>
      <c r="JPE411" s="120"/>
      <c r="JPF411" s="121"/>
      <c r="JPG411" s="119"/>
      <c r="JPH411" s="120"/>
      <c r="JPI411" s="120"/>
      <c r="JPJ411" s="120"/>
      <c r="JPK411" s="120"/>
      <c r="JPL411" s="120"/>
      <c r="JPM411" s="121"/>
      <c r="JPN411" s="119"/>
      <c r="JPO411" s="120"/>
      <c r="JPP411" s="120"/>
      <c r="JPQ411" s="120"/>
      <c r="JPR411" s="120"/>
      <c r="JPS411" s="120"/>
      <c r="JPT411" s="121"/>
      <c r="JPU411" s="119"/>
      <c r="JPV411" s="120"/>
      <c r="JPW411" s="120"/>
      <c r="JPX411" s="120"/>
      <c r="JPY411" s="120"/>
      <c r="JPZ411" s="120"/>
      <c r="JQA411" s="121"/>
      <c r="JQB411" s="119"/>
      <c r="JQC411" s="120"/>
      <c r="JQD411" s="120"/>
      <c r="JQE411" s="120"/>
      <c r="JQF411" s="120"/>
      <c r="JQG411" s="120"/>
      <c r="JQH411" s="121"/>
      <c r="JQI411" s="119"/>
      <c r="JQJ411" s="120"/>
      <c r="JQK411" s="120"/>
      <c r="JQL411" s="120"/>
      <c r="JQM411" s="120"/>
      <c r="JQN411" s="120"/>
      <c r="JQO411" s="121"/>
      <c r="JQP411" s="119"/>
      <c r="JQQ411" s="120"/>
      <c r="JQR411" s="120"/>
      <c r="JQS411" s="120"/>
      <c r="JQT411" s="120"/>
      <c r="JQU411" s="120"/>
      <c r="JQV411" s="121"/>
      <c r="JQW411" s="119"/>
      <c r="JQX411" s="120"/>
      <c r="JQY411" s="120"/>
      <c r="JQZ411" s="120"/>
      <c r="JRA411" s="120"/>
      <c r="JRB411" s="120"/>
      <c r="JRC411" s="121"/>
      <c r="JRD411" s="119"/>
      <c r="JRE411" s="120"/>
      <c r="JRF411" s="120"/>
      <c r="JRG411" s="120"/>
      <c r="JRH411" s="120"/>
      <c r="JRI411" s="120"/>
      <c r="JRJ411" s="121"/>
      <c r="JRK411" s="119"/>
      <c r="JRL411" s="120"/>
      <c r="JRM411" s="120"/>
      <c r="JRN411" s="120"/>
      <c r="JRO411" s="120"/>
      <c r="JRP411" s="120"/>
      <c r="JRQ411" s="121"/>
      <c r="JRR411" s="119"/>
      <c r="JRS411" s="120"/>
      <c r="JRT411" s="120"/>
      <c r="JRU411" s="120"/>
      <c r="JRV411" s="120"/>
      <c r="JRW411" s="120"/>
      <c r="JRX411" s="121"/>
      <c r="JRY411" s="119"/>
      <c r="JRZ411" s="120"/>
      <c r="JSA411" s="120"/>
      <c r="JSB411" s="120"/>
      <c r="JSC411" s="120"/>
      <c r="JSD411" s="120"/>
      <c r="JSE411" s="121"/>
      <c r="JSF411" s="119"/>
      <c r="JSG411" s="120"/>
      <c r="JSH411" s="120"/>
      <c r="JSI411" s="120"/>
      <c r="JSJ411" s="120"/>
      <c r="JSK411" s="120"/>
      <c r="JSL411" s="121"/>
      <c r="JSM411" s="119"/>
      <c r="JSN411" s="120"/>
      <c r="JSO411" s="120"/>
      <c r="JSP411" s="120"/>
      <c r="JSQ411" s="120"/>
      <c r="JSR411" s="120"/>
      <c r="JSS411" s="121"/>
      <c r="JST411" s="119"/>
      <c r="JSU411" s="120"/>
      <c r="JSV411" s="120"/>
      <c r="JSW411" s="120"/>
      <c r="JSX411" s="120"/>
      <c r="JSY411" s="120"/>
      <c r="JSZ411" s="121"/>
      <c r="JTA411" s="119"/>
      <c r="JTB411" s="120"/>
      <c r="JTC411" s="120"/>
      <c r="JTD411" s="120"/>
      <c r="JTE411" s="120"/>
      <c r="JTF411" s="120"/>
      <c r="JTG411" s="121"/>
      <c r="JTH411" s="119"/>
      <c r="JTI411" s="120"/>
      <c r="JTJ411" s="120"/>
      <c r="JTK411" s="120"/>
      <c r="JTL411" s="120"/>
      <c r="JTM411" s="120"/>
      <c r="JTN411" s="121"/>
      <c r="JTO411" s="119"/>
      <c r="JTP411" s="120"/>
      <c r="JTQ411" s="120"/>
      <c r="JTR411" s="120"/>
      <c r="JTS411" s="120"/>
      <c r="JTT411" s="120"/>
      <c r="JTU411" s="121"/>
      <c r="JTV411" s="119"/>
      <c r="JTW411" s="120"/>
      <c r="JTX411" s="120"/>
      <c r="JTY411" s="120"/>
      <c r="JTZ411" s="120"/>
      <c r="JUA411" s="120"/>
      <c r="JUB411" s="121"/>
      <c r="JUC411" s="119"/>
      <c r="JUD411" s="120"/>
      <c r="JUE411" s="120"/>
      <c r="JUF411" s="120"/>
      <c r="JUG411" s="120"/>
      <c r="JUH411" s="120"/>
      <c r="JUI411" s="121"/>
      <c r="JUJ411" s="119"/>
      <c r="JUK411" s="120"/>
      <c r="JUL411" s="120"/>
      <c r="JUM411" s="120"/>
      <c r="JUN411" s="120"/>
      <c r="JUO411" s="120"/>
      <c r="JUP411" s="121"/>
      <c r="JUQ411" s="119"/>
      <c r="JUR411" s="120"/>
      <c r="JUS411" s="120"/>
      <c r="JUT411" s="120"/>
      <c r="JUU411" s="120"/>
      <c r="JUV411" s="120"/>
      <c r="JUW411" s="121"/>
      <c r="JUX411" s="119"/>
      <c r="JUY411" s="120"/>
      <c r="JUZ411" s="120"/>
      <c r="JVA411" s="120"/>
      <c r="JVB411" s="120"/>
      <c r="JVC411" s="120"/>
      <c r="JVD411" s="121"/>
      <c r="JVE411" s="119"/>
      <c r="JVF411" s="120"/>
      <c r="JVG411" s="120"/>
      <c r="JVH411" s="120"/>
      <c r="JVI411" s="120"/>
      <c r="JVJ411" s="120"/>
      <c r="JVK411" s="121"/>
      <c r="JVL411" s="119"/>
      <c r="JVM411" s="120"/>
      <c r="JVN411" s="120"/>
      <c r="JVO411" s="120"/>
      <c r="JVP411" s="120"/>
      <c r="JVQ411" s="120"/>
      <c r="JVR411" s="121"/>
      <c r="JVS411" s="119"/>
      <c r="JVT411" s="120"/>
      <c r="JVU411" s="120"/>
      <c r="JVV411" s="120"/>
      <c r="JVW411" s="120"/>
      <c r="JVX411" s="120"/>
      <c r="JVY411" s="121"/>
      <c r="JVZ411" s="119"/>
      <c r="JWA411" s="120"/>
      <c r="JWB411" s="120"/>
      <c r="JWC411" s="120"/>
      <c r="JWD411" s="120"/>
      <c r="JWE411" s="120"/>
      <c r="JWF411" s="121"/>
      <c r="JWG411" s="119"/>
      <c r="JWH411" s="120"/>
      <c r="JWI411" s="120"/>
      <c r="JWJ411" s="120"/>
      <c r="JWK411" s="120"/>
      <c r="JWL411" s="120"/>
      <c r="JWM411" s="121"/>
      <c r="JWN411" s="119"/>
      <c r="JWO411" s="120"/>
      <c r="JWP411" s="120"/>
      <c r="JWQ411" s="120"/>
      <c r="JWR411" s="120"/>
      <c r="JWS411" s="120"/>
      <c r="JWT411" s="121"/>
      <c r="JWU411" s="119"/>
      <c r="JWV411" s="120"/>
      <c r="JWW411" s="120"/>
      <c r="JWX411" s="120"/>
      <c r="JWY411" s="120"/>
      <c r="JWZ411" s="120"/>
      <c r="JXA411" s="121"/>
      <c r="JXB411" s="119"/>
      <c r="JXC411" s="120"/>
      <c r="JXD411" s="120"/>
      <c r="JXE411" s="120"/>
      <c r="JXF411" s="120"/>
      <c r="JXG411" s="120"/>
      <c r="JXH411" s="121"/>
      <c r="JXI411" s="119"/>
      <c r="JXJ411" s="120"/>
      <c r="JXK411" s="120"/>
      <c r="JXL411" s="120"/>
      <c r="JXM411" s="120"/>
      <c r="JXN411" s="120"/>
      <c r="JXO411" s="121"/>
      <c r="JXP411" s="119"/>
      <c r="JXQ411" s="120"/>
      <c r="JXR411" s="120"/>
      <c r="JXS411" s="120"/>
      <c r="JXT411" s="120"/>
      <c r="JXU411" s="120"/>
      <c r="JXV411" s="121"/>
      <c r="JXW411" s="119"/>
      <c r="JXX411" s="120"/>
      <c r="JXY411" s="120"/>
      <c r="JXZ411" s="120"/>
      <c r="JYA411" s="120"/>
      <c r="JYB411" s="120"/>
      <c r="JYC411" s="121"/>
      <c r="JYD411" s="119"/>
      <c r="JYE411" s="120"/>
      <c r="JYF411" s="120"/>
      <c r="JYG411" s="120"/>
      <c r="JYH411" s="120"/>
      <c r="JYI411" s="120"/>
      <c r="JYJ411" s="121"/>
      <c r="JYK411" s="119"/>
      <c r="JYL411" s="120"/>
      <c r="JYM411" s="120"/>
      <c r="JYN411" s="120"/>
      <c r="JYO411" s="120"/>
      <c r="JYP411" s="120"/>
      <c r="JYQ411" s="121"/>
      <c r="JYR411" s="119"/>
      <c r="JYS411" s="120"/>
      <c r="JYT411" s="120"/>
      <c r="JYU411" s="120"/>
      <c r="JYV411" s="120"/>
      <c r="JYW411" s="120"/>
      <c r="JYX411" s="121"/>
      <c r="JYY411" s="119"/>
      <c r="JYZ411" s="120"/>
      <c r="JZA411" s="120"/>
      <c r="JZB411" s="120"/>
      <c r="JZC411" s="120"/>
      <c r="JZD411" s="120"/>
      <c r="JZE411" s="121"/>
      <c r="JZF411" s="119"/>
      <c r="JZG411" s="120"/>
      <c r="JZH411" s="120"/>
      <c r="JZI411" s="120"/>
      <c r="JZJ411" s="120"/>
      <c r="JZK411" s="120"/>
      <c r="JZL411" s="121"/>
      <c r="JZM411" s="119"/>
      <c r="JZN411" s="120"/>
      <c r="JZO411" s="120"/>
      <c r="JZP411" s="120"/>
      <c r="JZQ411" s="120"/>
      <c r="JZR411" s="120"/>
      <c r="JZS411" s="121"/>
      <c r="JZT411" s="119"/>
      <c r="JZU411" s="120"/>
      <c r="JZV411" s="120"/>
      <c r="JZW411" s="120"/>
      <c r="JZX411" s="120"/>
      <c r="JZY411" s="120"/>
      <c r="JZZ411" s="121"/>
      <c r="KAA411" s="119"/>
      <c r="KAB411" s="120"/>
      <c r="KAC411" s="120"/>
      <c r="KAD411" s="120"/>
      <c r="KAE411" s="120"/>
      <c r="KAF411" s="120"/>
      <c r="KAG411" s="121"/>
      <c r="KAH411" s="119"/>
      <c r="KAI411" s="120"/>
      <c r="KAJ411" s="120"/>
      <c r="KAK411" s="120"/>
      <c r="KAL411" s="120"/>
      <c r="KAM411" s="120"/>
      <c r="KAN411" s="121"/>
      <c r="KAO411" s="119"/>
      <c r="KAP411" s="120"/>
      <c r="KAQ411" s="120"/>
      <c r="KAR411" s="120"/>
      <c r="KAS411" s="120"/>
      <c r="KAT411" s="120"/>
      <c r="KAU411" s="121"/>
      <c r="KAV411" s="119"/>
      <c r="KAW411" s="120"/>
      <c r="KAX411" s="120"/>
      <c r="KAY411" s="120"/>
      <c r="KAZ411" s="120"/>
      <c r="KBA411" s="120"/>
      <c r="KBB411" s="121"/>
      <c r="KBC411" s="119"/>
      <c r="KBD411" s="120"/>
      <c r="KBE411" s="120"/>
      <c r="KBF411" s="120"/>
      <c r="KBG411" s="120"/>
      <c r="KBH411" s="120"/>
      <c r="KBI411" s="121"/>
      <c r="KBJ411" s="119"/>
      <c r="KBK411" s="120"/>
      <c r="KBL411" s="120"/>
      <c r="KBM411" s="120"/>
      <c r="KBN411" s="120"/>
      <c r="KBO411" s="120"/>
      <c r="KBP411" s="121"/>
      <c r="KBQ411" s="119"/>
      <c r="KBR411" s="120"/>
      <c r="KBS411" s="120"/>
      <c r="KBT411" s="120"/>
      <c r="KBU411" s="120"/>
      <c r="KBV411" s="120"/>
      <c r="KBW411" s="121"/>
      <c r="KBX411" s="119"/>
      <c r="KBY411" s="120"/>
      <c r="KBZ411" s="120"/>
      <c r="KCA411" s="120"/>
      <c r="KCB411" s="120"/>
      <c r="KCC411" s="120"/>
      <c r="KCD411" s="121"/>
      <c r="KCE411" s="119"/>
      <c r="KCF411" s="120"/>
      <c r="KCG411" s="120"/>
      <c r="KCH411" s="120"/>
      <c r="KCI411" s="120"/>
      <c r="KCJ411" s="120"/>
      <c r="KCK411" s="121"/>
      <c r="KCL411" s="119"/>
      <c r="KCM411" s="120"/>
      <c r="KCN411" s="120"/>
      <c r="KCO411" s="120"/>
      <c r="KCP411" s="120"/>
      <c r="KCQ411" s="120"/>
      <c r="KCR411" s="121"/>
      <c r="KCS411" s="119"/>
      <c r="KCT411" s="120"/>
      <c r="KCU411" s="120"/>
      <c r="KCV411" s="120"/>
      <c r="KCW411" s="120"/>
      <c r="KCX411" s="120"/>
      <c r="KCY411" s="121"/>
      <c r="KCZ411" s="119"/>
      <c r="KDA411" s="120"/>
      <c r="KDB411" s="120"/>
      <c r="KDC411" s="120"/>
      <c r="KDD411" s="120"/>
      <c r="KDE411" s="120"/>
      <c r="KDF411" s="121"/>
      <c r="KDG411" s="119"/>
      <c r="KDH411" s="120"/>
      <c r="KDI411" s="120"/>
      <c r="KDJ411" s="120"/>
      <c r="KDK411" s="120"/>
      <c r="KDL411" s="120"/>
      <c r="KDM411" s="121"/>
      <c r="KDN411" s="119"/>
      <c r="KDO411" s="120"/>
      <c r="KDP411" s="120"/>
      <c r="KDQ411" s="120"/>
      <c r="KDR411" s="120"/>
      <c r="KDS411" s="120"/>
      <c r="KDT411" s="121"/>
      <c r="KDU411" s="119"/>
      <c r="KDV411" s="120"/>
      <c r="KDW411" s="120"/>
      <c r="KDX411" s="120"/>
      <c r="KDY411" s="120"/>
      <c r="KDZ411" s="120"/>
      <c r="KEA411" s="121"/>
      <c r="KEB411" s="119"/>
      <c r="KEC411" s="120"/>
      <c r="KED411" s="120"/>
      <c r="KEE411" s="120"/>
      <c r="KEF411" s="120"/>
      <c r="KEG411" s="120"/>
      <c r="KEH411" s="121"/>
      <c r="KEI411" s="119"/>
      <c r="KEJ411" s="120"/>
      <c r="KEK411" s="120"/>
      <c r="KEL411" s="120"/>
      <c r="KEM411" s="120"/>
      <c r="KEN411" s="120"/>
      <c r="KEO411" s="121"/>
      <c r="KEP411" s="119"/>
      <c r="KEQ411" s="120"/>
      <c r="KER411" s="120"/>
      <c r="KES411" s="120"/>
      <c r="KET411" s="120"/>
      <c r="KEU411" s="120"/>
      <c r="KEV411" s="121"/>
      <c r="KEW411" s="119"/>
      <c r="KEX411" s="120"/>
      <c r="KEY411" s="120"/>
      <c r="KEZ411" s="120"/>
      <c r="KFA411" s="120"/>
      <c r="KFB411" s="120"/>
      <c r="KFC411" s="121"/>
      <c r="KFD411" s="119"/>
      <c r="KFE411" s="120"/>
      <c r="KFF411" s="120"/>
      <c r="KFG411" s="120"/>
      <c r="KFH411" s="120"/>
      <c r="KFI411" s="120"/>
      <c r="KFJ411" s="121"/>
      <c r="KFK411" s="119"/>
      <c r="KFL411" s="120"/>
      <c r="KFM411" s="120"/>
      <c r="KFN411" s="120"/>
      <c r="KFO411" s="120"/>
      <c r="KFP411" s="120"/>
      <c r="KFQ411" s="121"/>
      <c r="KFR411" s="119"/>
      <c r="KFS411" s="120"/>
      <c r="KFT411" s="120"/>
      <c r="KFU411" s="120"/>
      <c r="KFV411" s="120"/>
      <c r="KFW411" s="120"/>
      <c r="KFX411" s="121"/>
      <c r="KFY411" s="119"/>
      <c r="KFZ411" s="120"/>
      <c r="KGA411" s="120"/>
      <c r="KGB411" s="120"/>
      <c r="KGC411" s="120"/>
      <c r="KGD411" s="120"/>
      <c r="KGE411" s="121"/>
      <c r="KGF411" s="119"/>
      <c r="KGG411" s="120"/>
      <c r="KGH411" s="120"/>
      <c r="KGI411" s="120"/>
      <c r="KGJ411" s="120"/>
      <c r="KGK411" s="120"/>
      <c r="KGL411" s="121"/>
      <c r="KGM411" s="119"/>
      <c r="KGN411" s="120"/>
      <c r="KGO411" s="120"/>
      <c r="KGP411" s="120"/>
      <c r="KGQ411" s="120"/>
      <c r="KGR411" s="120"/>
      <c r="KGS411" s="121"/>
      <c r="KGT411" s="119"/>
      <c r="KGU411" s="120"/>
      <c r="KGV411" s="120"/>
      <c r="KGW411" s="120"/>
      <c r="KGX411" s="120"/>
      <c r="KGY411" s="120"/>
      <c r="KGZ411" s="121"/>
      <c r="KHA411" s="119"/>
      <c r="KHB411" s="120"/>
      <c r="KHC411" s="120"/>
      <c r="KHD411" s="120"/>
      <c r="KHE411" s="120"/>
      <c r="KHF411" s="120"/>
      <c r="KHG411" s="121"/>
      <c r="KHH411" s="119"/>
      <c r="KHI411" s="120"/>
      <c r="KHJ411" s="120"/>
      <c r="KHK411" s="120"/>
      <c r="KHL411" s="120"/>
      <c r="KHM411" s="120"/>
      <c r="KHN411" s="121"/>
      <c r="KHO411" s="119"/>
      <c r="KHP411" s="120"/>
      <c r="KHQ411" s="120"/>
      <c r="KHR411" s="120"/>
      <c r="KHS411" s="120"/>
      <c r="KHT411" s="120"/>
      <c r="KHU411" s="121"/>
      <c r="KHV411" s="119"/>
      <c r="KHW411" s="120"/>
      <c r="KHX411" s="120"/>
      <c r="KHY411" s="120"/>
      <c r="KHZ411" s="120"/>
      <c r="KIA411" s="120"/>
      <c r="KIB411" s="121"/>
      <c r="KIC411" s="119"/>
      <c r="KID411" s="120"/>
      <c r="KIE411" s="120"/>
      <c r="KIF411" s="120"/>
      <c r="KIG411" s="120"/>
      <c r="KIH411" s="120"/>
      <c r="KII411" s="121"/>
      <c r="KIJ411" s="119"/>
      <c r="KIK411" s="120"/>
      <c r="KIL411" s="120"/>
      <c r="KIM411" s="120"/>
      <c r="KIN411" s="120"/>
      <c r="KIO411" s="120"/>
      <c r="KIP411" s="121"/>
      <c r="KIQ411" s="119"/>
      <c r="KIR411" s="120"/>
      <c r="KIS411" s="120"/>
      <c r="KIT411" s="120"/>
      <c r="KIU411" s="120"/>
      <c r="KIV411" s="120"/>
      <c r="KIW411" s="121"/>
      <c r="KIX411" s="119"/>
      <c r="KIY411" s="120"/>
      <c r="KIZ411" s="120"/>
      <c r="KJA411" s="120"/>
      <c r="KJB411" s="120"/>
      <c r="KJC411" s="120"/>
      <c r="KJD411" s="121"/>
      <c r="KJE411" s="119"/>
      <c r="KJF411" s="120"/>
      <c r="KJG411" s="120"/>
      <c r="KJH411" s="120"/>
      <c r="KJI411" s="120"/>
      <c r="KJJ411" s="120"/>
      <c r="KJK411" s="121"/>
      <c r="KJL411" s="119"/>
      <c r="KJM411" s="120"/>
      <c r="KJN411" s="120"/>
      <c r="KJO411" s="120"/>
      <c r="KJP411" s="120"/>
      <c r="KJQ411" s="120"/>
      <c r="KJR411" s="121"/>
      <c r="KJS411" s="119"/>
      <c r="KJT411" s="120"/>
      <c r="KJU411" s="120"/>
      <c r="KJV411" s="120"/>
      <c r="KJW411" s="120"/>
      <c r="KJX411" s="120"/>
      <c r="KJY411" s="121"/>
      <c r="KJZ411" s="119"/>
      <c r="KKA411" s="120"/>
      <c r="KKB411" s="120"/>
      <c r="KKC411" s="120"/>
      <c r="KKD411" s="120"/>
      <c r="KKE411" s="120"/>
      <c r="KKF411" s="121"/>
      <c r="KKG411" s="119"/>
      <c r="KKH411" s="120"/>
      <c r="KKI411" s="120"/>
      <c r="KKJ411" s="120"/>
      <c r="KKK411" s="120"/>
      <c r="KKL411" s="120"/>
      <c r="KKM411" s="121"/>
      <c r="KKN411" s="119"/>
      <c r="KKO411" s="120"/>
      <c r="KKP411" s="120"/>
      <c r="KKQ411" s="120"/>
      <c r="KKR411" s="120"/>
      <c r="KKS411" s="120"/>
      <c r="KKT411" s="121"/>
      <c r="KKU411" s="119"/>
      <c r="KKV411" s="120"/>
      <c r="KKW411" s="120"/>
      <c r="KKX411" s="120"/>
      <c r="KKY411" s="120"/>
      <c r="KKZ411" s="120"/>
      <c r="KLA411" s="121"/>
      <c r="KLB411" s="119"/>
      <c r="KLC411" s="120"/>
      <c r="KLD411" s="120"/>
      <c r="KLE411" s="120"/>
      <c r="KLF411" s="120"/>
      <c r="KLG411" s="120"/>
      <c r="KLH411" s="121"/>
      <c r="KLI411" s="119"/>
      <c r="KLJ411" s="120"/>
      <c r="KLK411" s="120"/>
      <c r="KLL411" s="120"/>
      <c r="KLM411" s="120"/>
      <c r="KLN411" s="120"/>
      <c r="KLO411" s="121"/>
      <c r="KLP411" s="119"/>
      <c r="KLQ411" s="120"/>
      <c r="KLR411" s="120"/>
      <c r="KLS411" s="120"/>
      <c r="KLT411" s="120"/>
      <c r="KLU411" s="120"/>
      <c r="KLV411" s="121"/>
      <c r="KLW411" s="119"/>
      <c r="KLX411" s="120"/>
      <c r="KLY411" s="120"/>
      <c r="KLZ411" s="120"/>
      <c r="KMA411" s="120"/>
      <c r="KMB411" s="120"/>
      <c r="KMC411" s="121"/>
      <c r="KMD411" s="119"/>
      <c r="KME411" s="120"/>
      <c r="KMF411" s="120"/>
      <c r="KMG411" s="120"/>
      <c r="KMH411" s="120"/>
      <c r="KMI411" s="120"/>
      <c r="KMJ411" s="121"/>
      <c r="KMK411" s="119"/>
      <c r="KML411" s="120"/>
      <c r="KMM411" s="120"/>
      <c r="KMN411" s="120"/>
      <c r="KMO411" s="120"/>
      <c r="KMP411" s="120"/>
      <c r="KMQ411" s="121"/>
      <c r="KMR411" s="119"/>
      <c r="KMS411" s="120"/>
      <c r="KMT411" s="120"/>
      <c r="KMU411" s="120"/>
      <c r="KMV411" s="120"/>
      <c r="KMW411" s="120"/>
      <c r="KMX411" s="121"/>
      <c r="KMY411" s="119"/>
      <c r="KMZ411" s="120"/>
      <c r="KNA411" s="120"/>
      <c r="KNB411" s="120"/>
      <c r="KNC411" s="120"/>
      <c r="KND411" s="120"/>
      <c r="KNE411" s="121"/>
      <c r="KNF411" s="119"/>
      <c r="KNG411" s="120"/>
      <c r="KNH411" s="120"/>
      <c r="KNI411" s="120"/>
      <c r="KNJ411" s="120"/>
      <c r="KNK411" s="120"/>
      <c r="KNL411" s="121"/>
      <c r="KNM411" s="119"/>
      <c r="KNN411" s="120"/>
      <c r="KNO411" s="120"/>
      <c r="KNP411" s="120"/>
      <c r="KNQ411" s="120"/>
      <c r="KNR411" s="120"/>
      <c r="KNS411" s="121"/>
      <c r="KNT411" s="119"/>
      <c r="KNU411" s="120"/>
      <c r="KNV411" s="120"/>
      <c r="KNW411" s="120"/>
      <c r="KNX411" s="120"/>
      <c r="KNY411" s="120"/>
      <c r="KNZ411" s="121"/>
      <c r="KOA411" s="119"/>
      <c r="KOB411" s="120"/>
      <c r="KOC411" s="120"/>
      <c r="KOD411" s="120"/>
      <c r="KOE411" s="120"/>
      <c r="KOF411" s="120"/>
      <c r="KOG411" s="121"/>
      <c r="KOH411" s="119"/>
      <c r="KOI411" s="120"/>
      <c r="KOJ411" s="120"/>
      <c r="KOK411" s="120"/>
      <c r="KOL411" s="120"/>
      <c r="KOM411" s="120"/>
      <c r="KON411" s="121"/>
      <c r="KOO411" s="119"/>
      <c r="KOP411" s="120"/>
      <c r="KOQ411" s="120"/>
      <c r="KOR411" s="120"/>
      <c r="KOS411" s="120"/>
      <c r="KOT411" s="120"/>
      <c r="KOU411" s="121"/>
      <c r="KOV411" s="119"/>
      <c r="KOW411" s="120"/>
      <c r="KOX411" s="120"/>
      <c r="KOY411" s="120"/>
      <c r="KOZ411" s="120"/>
      <c r="KPA411" s="120"/>
      <c r="KPB411" s="121"/>
      <c r="KPC411" s="119"/>
      <c r="KPD411" s="120"/>
      <c r="KPE411" s="120"/>
      <c r="KPF411" s="120"/>
      <c r="KPG411" s="120"/>
      <c r="KPH411" s="120"/>
      <c r="KPI411" s="121"/>
      <c r="KPJ411" s="119"/>
      <c r="KPK411" s="120"/>
      <c r="KPL411" s="120"/>
      <c r="KPM411" s="120"/>
      <c r="KPN411" s="120"/>
      <c r="KPO411" s="120"/>
      <c r="KPP411" s="121"/>
      <c r="KPQ411" s="119"/>
      <c r="KPR411" s="120"/>
      <c r="KPS411" s="120"/>
      <c r="KPT411" s="120"/>
      <c r="KPU411" s="120"/>
      <c r="KPV411" s="120"/>
      <c r="KPW411" s="121"/>
      <c r="KPX411" s="119"/>
      <c r="KPY411" s="120"/>
      <c r="KPZ411" s="120"/>
      <c r="KQA411" s="120"/>
      <c r="KQB411" s="120"/>
      <c r="KQC411" s="120"/>
      <c r="KQD411" s="121"/>
      <c r="KQE411" s="119"/>
      <c r="KQF411" s="120"/>
      <c r="KQG411" s="120"/>
      <c r="KQH411" s="120"/>
      <c r="KQI411" s="120"/>
      <c r="KQJ411" s="120"/>
      <c r="KQK411" s="121"/>
      <c r="KQL411" s="119"/>
      <c r="KQM411" s="120"/>
      <c r="KQN411" s="120"/>
      <c r="KQO411" s="120"/>
      <c r="KQP411" s="120"/>
      <c r="KQQ411" s="120"/>
      <c r="KQR411" s="121"/>
      <c r="KQS411" s="119"/>
      <c r="KQT411" s="120"/>
      <c r="KQU411" s="120"/>
      <c r="KQV411" s="120"/>
      <c r="KQW411" s="120"/>
      <c r="KQX411" s="120"/>
      <c r="KQY411" s="121"/>
      <c r="KQZ411" s="119"/>
      <c r="KRA411" s="120"/>
      <c r="KRB411" s="120"/>
      <c r="KRC411" s="120"/>
      <c r="KRD411" s="120"/>
      <c r="KRE411" s="120"/>
      <c r="KRF411" s="121"/>
      <c r="KRG411" s="119"/>
      <c r="KRH411" s="120"/>
      <c r="KRI411" s="120"/>
      <c r="KRJ411" s="120"/>
      <c r="KRK411" s="120"/>
      <c r="KRL411" s="120"/>
      <c r="KRM411" s="121"/>
      <c r="KRN411" s="119"/>
      <c r="KRO411" s="120"/>
      <c r="KRP411" s="120"/>
      <c r="KRQ411" s="120"/>
      <c r="KRR411" s="120"/>
      <c r="KRS411" s="120"/>
      <c r="KRT411" s="121"/>
      <c r="KRU411" s="119"/>
      <c r="KRV411" s="120"/>
      <c r="KRW411" s="120"/>
      <c r="KRX411" s="120"/>
      <c r="KRY411" s="120"/>
      <c r="KRZ411" s="120"/>
      <c r="KSA411" s="121"/>
      <c r="KSB411" s="119"/>
      <c r="KSC411" s="120"/>
      <c r="KSD411" s="120"/>
      <c r="KSE411" s="120"/>
      <c r="KSF411" s="120"/>
      <c r="KSG411" s="120"/>
      <c r="KSH411" s="121"/>
      <c r="KSI411" s="119"/>
      <c r="KSJ411" s="120"/>
      <c r="KSK411" s="120"/>
      <c r="KSL411" s="120"/>
      <c r="KSM411" s="120"/>
      <c r="KSN411" s="120"/>
      <c r="KSO411" s="121"/>
      <c r="KSP411" s="119"/>
      <c r="KSQ411" s="120"/>
      <c r="KSR411" s="120"/>
      <c r="KSS411" s="120"/>
      <c r="KST411" s="120"/>
      <c r="KSU411" s="120"/>
      <c r="KSV411" s="121"/>
      <c r="KSW411" s="119"/>
      <c r="KSX411" s="120"/>
      <c r="KSY411" s="120"/>
      <c r="KSZ411" s="120"/>
      <c r="KTA411" s="120"/>
      <c r="KTB411" s="120"/>
      <c r="KTC411" s="121"/>
      <c r="KTD411" s="119"/>
      <c r="KTE411" s="120"/>
      <c r="KTF411" s="120"/>
      <c r="KTG411" s="120"/>
      <c r="KTH411" s="120"/>
      <c r="KTI411" s="120"/>
      <c r="KTJ411" s="121"/>
      <c r="KTK411" s="119"/>
      <c r="KTL411" s="120"/>
      <c r="KTM411" s="120"/>
      <c r="KTN411" s="120"/>
      <c r="KTO411" s="120"/>
      <c r="KTP411" s="120"/>
      <c r="KTQ411" s="121"/>
      <c r="KTR411" s="119"/>
      <c r="KTS411" s="120"/>
      <c r="KTT411" s="120"/>
      <c r="KTU411" s="120"/>
      <c r="KTV411" s="120"/>
      <c r="KTW411" s="120"/>
      <c r="KTX411" s="121"/>
      <c r="KTY411" s="119"/>
      <c r="KTZ411" s="120"/>
      <c r="KUA411" s="120"/>
      <c r="KUB411" s="120"/>
      <c r="KUC411" s="120"/>
      <c r="KUD411" s="120"/>
      <c r="KUE411" s="121"/>
      <c r="KUF411" s="119"/>
      <c r="KUG411" s="120"/>
      <c r="KUH411" s="120"/>
      <c r="KUI411" s="120"/>
      <c r="KUJ411" s="120"/>
      <c r="KUK411" s="120"/>
      <c r="KUL411" s="121"/>
      <c r="KUM411" s="119"/>
      <c r="KUN411" s="120"/>
      <c r="KUO411" s="120"/>
      <c r="KUP411" s="120"/>
      <c r="KUQ411" s="120"/>
      <c r="KUR411" s="120"/>
      <c r="KUS411" s="121"/>
      <c r="KUT411" s="119"/>
      <c r="KUU411" s="120"/>
      <c r="KUV411" s="120"/>
      <c r="KUW411" s="120"/>
      <c r="KUX411" s="120"/>
      <c r="KUY411" s="120"/>
      <c r="KUZ411" s="121"/>
      <c r="KVA411" s="119"/>
      <c r="KVB411" s="120"/>
      <c r="KVC411" s="120"/>
      <c r="KVD411" s="120"/>
      <c r="KVE411" s="120"/>
      <c r="KVF411" s="120"/>
      <c r="KVG411" s="121"/>
      <c r="KVH411" s="119"/>
      <c r="KVI411" s="120"/>
      <c r="KVJ411" s="120"/>
      <c r="KVK411" s="120"/>
      <c r="KVL411" s="120"/>
      <c r="KVM411" s="120"/>
      <c r="KVN411" s="121"/>
      <c r="KVO411" s="119"/>
      <c r="KVP411" s="120"/>
      <c r="KVQ411" s="120"/>
      <c r="KVR411" s="120"/>
      <c r="KVS411" s="120"/>
      <c r="KVT411" s="120"/>
      <c r="KVU411" s="121"/>
      <c r="KVV411" s="119"/>
      <c r="KVW411" s="120"/>
      <c r="KVX411" s="120"/>
      <c r="KVY411" s="120"/>
      <c r="KVZ411" s="120"/>
      <c r="KWA411" s="120"/>
      <c r="KWB411" s="121"/>
      <c r="KWC411" s="119"/>
      <c r="KWD411" s="120"/>
      <c r="KWE411" s="120"/>
      <c r="KWF411" s="120"/>
      <c r="KWG411" s="120"/>
      <c r="KWH411" s="120"/>
      <c r="KWI411" s="121"/>
      <c r="KWJ411" s="119"/>
      <c r="KWK411" s="120"/>
      <c r="KWL411" s="120"/>
      <c r="KWM411" s="120"/>
      <c r="KWN411" s="120"/>
      <c r="KWO411" s="120"/>
      <c r="KWP411" s="121"/>
      <c r="KWQ411" s="119"/>
      <c r="KWR411" s="120"/>
      <c r="KWS411" s="120"/>
      <c r="KWT411" s="120"/>
      <c r="KWU411" s="120"/>
      <c r="KWV411" s="120"/>
      <c r="KWW411" s="121"/>
      <c r="KWX411" s="119"/>
      <c r="KWY411" s="120"/>
      <c r="KWZ411" s="120"/>
      <c r="KXA411" s="120"/>
      <c r="KXB411" s="120"/>
      <c r="KXC411" s="120"/>
      <c r="KXD411" s="121"/>
      <c r="KXE411" s="119"/>
      <c r="KXF411" s="120"/>
      <c r="KXG411" s="120"/>
      <c r="KXH411" s="120"/>
      <c r="KXI411" s="120"/>
      <c r="KXJ411" s="120"/>
      <c r="KXK411" s="121"/>
      <c r="KXL411" s="119"/>
      <c r="KXM411" s="120"/>
      <c r="KXN411" s="120"/>
      <c r="KXO411" s="120"/>
      <c r="KXP411" s="120"/>
      <c r="KXQ411" s="120"/>
      <c r="KXR411" s="121"/>
      <c r="KXS411" s="119"/>
      <c r="KXT411" s="120"/>
      <c r="KXU411" s="120"/>
      <c r="KXV411" s="120"/>
      <c r="KXW411" s="120"/>
      <c r="KXX411" s="120"/>
      <c r="KXY411" s="121"/>
      <c r="KXZ411" s="119"/>
      <c r="KYA411" s="120"/>
      <c r="KYB411" s="120"/>
      <c r="KYC411" s="120"/>
      <c r="KYD411" s="120"/>
      <c r="KYE411" s="120"/>
      <c r="KYF411" s="121"/>
      <c r="KYG411" s="119"/>
      <c r="KYH411" s="120"/>
      <c r="KYI411" s="120"/>
      <c r="KYJ411" s="120"/>
      <c r="KYK411" s="120"/>
      <c r="KYL411" s="120"/>
      <c r="KYM411" s="121"/>
      <c r="KYN411" s="119"/>
      <c r="KYO411" s="120"/>
      <c r="KYP411" s="120"/>
      <c r="KYQ411" s="120"/>
      <c r="KYR411" s="120"/>
      <c r="KYS411" s="120"/>
      <c r="KYT411" s="121"/>
      <c r="KYU411" s="119"/>
      <c r="KYV411" s="120"/>
      <c r="KYW411" s="120"/>
      <c r="KYX411" s="120"/>
      <c r="KYY411" s="120"/>
      <c r="KYZ411" s="120"/>
      <c r="KZA411" s="121"/>
      <c r="KZB411" s="119"/>
      <c r="KZC411" s="120"/>
      <c r="KZD411" s="120"/>
      <c r="KZE411" s="120"/>
      <c r="KZF411" s="120"/>
      <c r="KZG411" s="120"/>
      <c r="KZH411" s="121"/>
      <c r="KZI411" s="119"/>
      <c r="KZJ411" s="120"/>
      <c r="KZK411" s="120"/>
      <c r="KZL411" s="120"/>
      <c r="KZM411" s="120"/>
      <c r="KZN411" s="120"/>
      <c r="KZO411" s="121"/>
      <c r="KZP411" s="119"/>
      <c r="KZQ411" s="120"/>
      <c r="KZR411" s="120"/>
      <c r="KZS411" s="120"/>
      <c r="KZT411" s="120"/>
      <c r="KZU411" s="120"/>
      <c r="KZV411" s="121"/>
      <c r="KZW411" s="119"/>
      <c r="KZX411" s="120"/>
      <c r="KZY411" s="120"/>
      <c r="KZZ411" s="120"/>
      <c r="LAA411" s="120"/>
      <c r="LAB411" s="120"/>
      <c r="LAC411" s="121"/>
      <c r="LAD411" s="119"/>
      <c r="LAE411" s="120"/>
      <c r="LAF411" s="120"/>
      <c r="LAG411" s="120"/>
      <c r="LAH411" s="120"/>
      <c r="LAI411" s="120"/>
      <c r="LAJ411" s="121"/>
      <c r="LAK411" s="119"/>
      <c r="LAL411" s="120"/>
      <c r="LAM411" s="120"/>
      <c r="LAN411" s="120"/>
      <c r="LAO411" s="120"/>
      <c r="LAP411" s="120"/>
      <c r="LAQ411" s="121"/>
      <c r="LAR411" s="119"/>
      <c r="LAS411" s="120"/>
      <c r="LAT411" s="120"/>
      <c r="LAU411" s="120"/>
      <c r="LAV411" s="120"/>
      <c r="LAW411" s="120"/>
      <c r="LAX411" s="121"/>
      <c r="LAY411" s="119"/>
      <c r="LAZ411" s="120"/>
      <c r="LBA411" s="120"/>
      <c r="LBB411" s="120"/>
      <c r="LBC411" s="120"/>
      <c r="LBD411" s="120"/>
      <c r="LBE411" s="121"/>
      <c r="LBF411" s="119"/>
      <c r="LBG411" s="120"/>
      <c r="LBH411" s="120"/>
      <c r="LBI411" s="120"/>
      <c r="LBJ411" s="120"/>
      <c r="LBK411" s="120"/>
      <c r="LBL411" s="121"/>
      <c r="LBM411" s="119"/>
      <c r="LBN411" s="120"/>
      <c r="LBO411" s="120"/>
      <c r="LBP411" s="120"/>
      <c r="LBQ411" s="120"/>
      <c r="LBR411" s="120"/>
      <c r="LBS411" s="121"/>
      <c r="LBT411" s="119"/>
      <c r="LBU411" s="120"/>
      <c r="LBV411" s="120"/>
      <c r="LBW411" s="120"/>
      <c r="LBX411" s="120"/>
      <c r="LBY411" s="120"/>
      <c r="LBZ411" s="121"/>
      <c r="LCA411" s="119"/>
      <c r="LCB411" s="120"/>
      <c r="LCC411" s="120"/>
      <c r="LCD411" s="120"/>
      <c r="LCE411" s="120"/>
      <c r="LCF411" s="120"/>
      <c r="LCG411" s="121"/>
      <c r="LCH411" s="119"/>
      <c r="LCI411" s="120"/>
      <c r="LCJ411" s="120"/>
      <c r="LCK411" s="120"/>
      <c r="LCL411" s="120"/>
      <c r="LCM411" s="120"/>
      <c r="LCN411" s="121"/>
      <c r="LCO411" s="119"/>
      <c r="LCP411" s="120"/>
      <c r="LCQ411" s="120"/>
      <c r="LCR411" s="120"/>
      <c r="LCS411" s="120"/>
      <c r="LCT411" s="120"/>
      <c r="LCU411" s="121"/>
      <c r="LCV411" s="119"/>
      <c r="LCW411" s="120"/>
      <c r="LCX411" s="120"/>
      <c r="LCY411" s="120"/>
      <c r="LCZ411" s="120"/>
      <c r="LDA411" s="120"/>
      <c r="LDB411" s="121"/>
      <c r="LDC411" s="119"/>
      <c r="LDD411" s="120"/>
      <c r="LDE411" s="120"/>
      <c r="LDF411" s="120"/>
      <c r="LDG411" s="120"/>
      <c r="LDH411" s="120"/>
      <c r="LDI411" s="121"/>
      <c r="LDJ411" s="119"/>
      <c r="LDK411" s="120"/>
      <c r="LDL411" s="120"/>
      <c r="LDM411" s="120"/>
      <c r="LDN411" s="120"/>
      <c r="LDO411" s="120"/>
      <c r="LDP411" s="121"/>
      <c r="LDQ411" s="119"/>
      <c r="LDR411" s="120"/>
      <c r="LDS411" s="120"/>
      <c r="LDT411" s="120"/>
      <c r="LDU411" s="120"/>
      <c r="LDV411" s="120"/>
      <c r="LDW411" s="121"/>
      <c r="LDX411" s="119"/>
      <c r="LDY411" s="120"/>
      <c r="LDZ411" s="120"/>
      <c r="LEA411" s="120"/>
      <c r="LEB411" s="120"/>
      <c r="LEC411" s="120"/>
      <c r="LED411" s="121"/>
      <c r="LEE411" s="119"/>
      <c r="LEF411" s="120"/>
      <c r="LEG411" s="120"/>
      <c r="LEH411" s="120"/>
      <c r="LEI411" s="120"/>
      <c r="LEJ411" s="120"/>
      <c r="LEK411" s="121"/>
      <c r="LEL411" s="119"/>
      <c r="LEM411" s="120"/>
      <c r="LEN411" s="120"/>
      <c r="LEO411" s="120"/>
      <c r="LEP411" s="120"/>
      <c r="LEQ411" s="120"/>
      <c r="LER411" s="121"/>
      <c r="LES411" s="119"/>
      <c r="LET411" s="120"/>
      <c r="LEU411" s="120"/>
      <c r="LEV411" s="120"/>
      <c r="LEW411" s="120"/>
      <c r="LEX411" s="120"/>
      <c r="LEY411" s="121"/>
      <c r="LEZ411" s="119"/>
      <c r="LFA411" s="120"/>
      <c r="LFB411" s="120"/>
      <c r="LFC411" s="120"/>
      <c r="LFD411" s="120"/>
      <c r="LFE411" s="120"/>
      <c r="LFF411" s="121"/>
      <c r="LFG411" s="119"/>
      <c r="LFH411" s="120"/>
      <c r="LFI411" s="120"/>
      <c r="LFJ411" s="120"/>
      <c r="LFK411" s="120"/>
      <c r="LFL411" s="120"/>
      <c r="LFM411" s="121"/>
      <c r="LFN411" s="119"/>
      <c r="LFO411" s="120"/>
      <c r="LFP411" s="120"/>
      <c r="LFQ411" s="120"/>
      <c r="LFR411" s="120"/>
      <c r="LFS411" s="120"/>
      <c r="LFT411" s="121"/>
      <c r="LFU411" s="119"/>
      <c r="LFV411" s="120"/>
      <c r="LFW411" s="120"/>
      <c r="LFX411" s="120"/>
      <c r="LFY411" s="120"/>
      <c r="LFZ411" s="120"/>
      <c r="LGA411" s="121"/>
      <c r="LGB411" s="119"/>
      <c r="LGC411" s="120"/>
      <c r="LGD411" s="120"/>
      <c r="LGE411" s="120"/>
      <c r="LGF411" s="120"/>
      <c r="LGG411" s="120"/>
      <c r="LGH411" s="121"/>
      <c r="LGI411" s="119"/>
      <c r="LGJ411" s="120"/>
      <c r="LGK411" s="120"/>
      <c r="LGL411" s="120"/>
      <c r="LGM411" s="120"/>
      <c r="LGN411" s="120"/>
      <c r="LGO411" s="121"/>
      <c r="LGP411" s="119"/>
      <c r="LGQ411" s="120"/>
      <c r="LGR411" s="120"/>
      <c r="LGS411" s="120"/>
      <c r="LGT411" s="120"/>
      <c r="LGU411" s="120"/>
      <c r="LGV411" s="121"/>
      <c r="LGW411" s="119"/>
      <c r="LGX411" s="120"/>
      <c r="LGY411" s="120"/>
      <c r="LGZ411" s="120"/>
      <c r="LHA411" s="120"/>
      <c r="LHB411" s="120"/>
      <c r="LHC411" s="121"/>
      <c r="LHD411" s="119"/>
      <c r="LHE411" s="120"/>
      <c r="LHF411" s="120"/>
      <c r="LHG411" s="120"/>
      <c r="LHH411" s="120"/>
      <c r="LHI411" s="120"/>
      <c r="LHJ411" s="121"/>
      <c r="LHK411" s="119"/>
      <c r="LHL411" s="120"/>
      <c r="LHM411" s="120"/>
      <c r="LHN411" s="120"/>
      <c r="LHO411" s="120"/>
      <c r="LHP411" s="120"/>
      <c r="LHQ411" s="121"/>
      <c r="LHR411" s="119"/>
      <c r="LHS411" s="120"/>
      <c r="LHT411" s="120"/>
      <c r="LHU411" s="120"/>
      <c r="LHV411" s="120"/>
      <c r="LHW411" s="120"/>
      <c r="LHX411" s="121"/>
      <c r="LHY411" s="119"/>
      <c r="LHZ411" s="120"/>
      <c r="LIA411" s="120"/>
      <c r="LIB411" s="120"/>
      <c r="LIC411" s="120"/>
      <c r="LID411" s="120"/>
      <c r="LIE411" s="121"/>
      <c r="LIF411" s="119"/>
      <c r="LIG411" s="120"/>
      <c r="LIH411" s="120"/>
      <c r="LII411" s="120"/>
      <c r="LIJ411" s="120"/>
      <c r="LIK411" s="120"/>
      <c r="LIL411" s="121"/>
      <c r="LIM411" s="119"/>
      <c r="LIN411" s="120"/>
      <c r="LIO411" s="120"/>
      <c r="LIP411" s="120"/>
      <c r="LIQ411" s="120"/>
      <c r="LIR411" s="120"/>
      <c r="LIS411" s="121"/>
      <c r="LIT411" s="119"/>
      <c r="LIU411" s="120"/>
      <c r="LIV411" s="120"/>
      <c r="LIW411" s="120"/>
      <c r="LIX411" s="120"/>
      <c r="LIY411" s="120"/>
      <c r="LIZ411" s="121"/>
      <c r="LJA411" s="119"/>
      <c r="LJB411" s="120"/>
      <c r="LJC411" s="120"/>
      <c r="LJD411" s="120"/>
      <c r="LJE411" s="120"/>
      <c r="LJF411" s="120"/>
      <c r="LJG411" s="121"/>
      <c r="LJH411" s="119"/>
      <c r="LJI411" s="120"/>
      <c r="LJJ411" s="120"/>
      <c r="LJK411" s="120"/>
      <c r="LJL411" s="120"/>
      <c r="LJM411" s="120"/>
      <c r="LJN411" s="121"/>
      <c r="LJO411" s="119"/>
      <c r="LJP411" s="120"/>
      <c r="LJQ411" s="120"/>
      <c r="LJR411" s="120"/>
      <c r="LJS411" s="120"/>
      <c r="LJT411" s="120"/>
      <c r="LJU411" s="121"/>
      <c r="LJV411" s="119"/>
      <c r="LJW411" s="120"/>
      <c r="LJX411" s="120"/>
      <c r="LJY411" s="120"/>
      <c r="LJZ411" s="120"/>
      <c r="LKA411" s="120"/>
      <c r="LKB411" s="121"/>
      <c r="LKC411" s="119"/>
      <c r="LKD411" s="120"/>
      <c r="LKE411" s="120"/>
      <c r="LKF411" s="120"/>
      <c r="LKG411" s="120"/>
      <c r="LKH411" s="120"/>
      <c r="LKI411" s="121"/>
      <c r="LKJ411" s="119"/>
      <c r="LKK411" s="120"/>
      <c r="LKL411" s="120"/>
      <c r="LKM411" s="120"/>
      <c r="LKN411" s="120"/>
      <c r="LKO411" s="120"/>
      <c r="LKP411" s="121"/>
      <c r="LKQ411" s="119"/>
      <c r="LKR411" s="120"/>
      <c r="LKS411" s="120"/>
      <c r="LKT411" s="120"/>
      <c r="LKU411" s="120"/>
      <c r="LKV411" s="120"/>
      <c r="LKW411" s="121"/>
      <c r="LKX411" s="119"/>
      <c r="LKY411" s="120"/>
      <c r="LKZ411" s="120"/>
      <c r="LLA411" s="120"/>
      <c r="LLB411" s="120"/>
      <c r="LLC411" s="120"/>
      <c r="LLD411" s="121"/>
      <c r="LLE411" s="119"/>
      <c r="LLF411" s="120"/>
      <c r="LLG411" s="120"/>
      <c r="LLH411" s="120"/>
      <c r="LLI411" s="120"/>
      <c r="LLJ411" s="120"/>
      <c r="LLK411" s="121"/>
      <c r="LLL411" s="119"/>
      <c r="LLM411" s="120"/>
      <c r="LLN411" s="120"/>
      <c r="LLO411" s="120"/>
      <c r="LLP411" s="120"/>
      <c r="LLQ411" s="120"/>
      <c r="LLR411" s="121"/>
      <c r="LLS411" s="119"/>
      <c r="LLT411" s="120"/>
      <c r="LLU411" s="120"/>
      <c r="LLV411" s="120"/>
      <c r="LLW411" s="120"/>
      <c r="LLX411" s="120"/>
      <c r="LLY411" s="121"/>
      <c r="LLZ411" s="119"/>
      <c r="LMA411" s="120"/>
      <c r="LMB411" s="120"/>
      <c r="LMC411" s="120"/>
      <c r="LMD411" s="120"/>
      <c r="LME411" s="120"/>
      <c r="LMF411" s="121"/>
      <c r="LMG411" s="119"/>
      <c r="LMH411" s="120"/>
      <c r="LMI411" s="120"/>
      <c r="LMJ411" s="120"/>
      <c r="LMK411" s="120"/>
      <c r="LML411" s="120"/>
      <c r="LMM411" s="121"/>
      <c r="LMN411" s="119"/>
      <c r="LMO411" s="120"/>
      <c r="LMP411" s="120"/>
      <c r="LMQ411" s="120"/>
      <c r="LMR411" s="120"/>
      <c r="LMS411" s="120"/>
      <c r="LMT411" s="121"/>
      <c r="LMU411" s="119"/>
      <c r="LMV411" s="120"/>
      <c r="LMW411" s="120"/>
      <c r="LMX411" s="120"/>
      <c r="LMY411" s="120"/>
      <c r="LMZ411" s="120"/>
      <c r="LNA411" s="121"/>
      <c r="LNB411" s="119"/>
      <c r="LNC411" s="120"/>
      <c r="LND411" s="120"/>
      <c r="LNE411" s="120"/>
      <c r="LNF411" s="120"/>
      <c r="LNG411" s="120"/>
      <c r="LNH411" s="121"/>
      <c r="LNI411" s="119"/>
      <c r="LNJ411" s="120"/>
      <c r="LNK411" s="120"/>
      <c r="LNL411" s="120"/>
      <c r="LNM411" s="120"/>
      <c r="LNN411" s="120"/>
      <c r="LNO411" s="121"/>
      <c r="LNP411" s="119"/>
      <c r="LNQ411" s="120"/>
      <c r="LNR411" s="120"/>
      <c r="LNS411" s="120"/>
      <c r="LNT411" s="120"/>
      <c r="LNU411" s="120"/>
      <c r="LNV411" s="121"/>
      <c r="LNW411" s="119"/>
      <c r="LNX411" s="120"/>
      <c r="LNY411" s="120"/>
      <c r="LNZ411" s="120"/>
      <c r="LOA411" s="120"/>
      <c r="LOB411" s="120"/>
      <c r="LOC411" s="121"/>
      <c r="LOD411" s="119"/>
      <c r="LOE411" s="120"/>
      <c r="LOF411" s="120"/>
      <c r="LOG411" s="120"/>
      <c r="LOH411" s="120"/>
      <c r="LOI411" s="120"/>
      <c r="LOJ411" s="121"/>
      <c r="LOK411" s="119"/>
      <c r="LOL411" s="120"/>
      <c r="LOM411" s="120"/>
      <c r="LON411" s="120"/>
      <c r="LOO411" s="120"/>
      <c r="LOP411" s="120"/>
      <c r="LOQ411" s="121"/>
      <c r="LOR411" s="119"/>
      <c r="LOS411" s="120"/>
      <c r="LOT411" s="120"/>
      <c r="LOU411" s="120"/>
      <c r="LOV411" s="120"/>
      <c r="LOW411" s="120"/>
      <c r="LOX411" s="121"/>
      <c r="LOY411" s="119"/>
      <c r="LOZ411" s="120"/>
      <c r="LPA411" s="120"/>
      <c r="LPB411" s="120"/>
      <c r="LPC411" s="120"/>
      <c r="LPD411" s="120"/>
      <c r="LPE411" s="121"/>
      <c r="LPF411" s="119"/>
      <c r="LPG411" s="120"/>
      <c r="LPH411" s="120"/>
      <c r="LPI411" s="120"/>
      <c r="LPJ411" s="120"/>
      <c r="LPK411" s="120"/>
      <c r="LPL411" s="121"/>
      <c r="LPM411" s="119"/>
      <c r="LPN411" s="120"/>
      <c r="LPO411" s="120"/>
      <c r="LPP411" s="120"/>
      <c r="LPQ411" s="120"/>
      <c r="LPR411" s="120"/>
      <c r="LPS411" s="121"/>
      <c r="LPT411" s="119"/>
      <c r="LPU411" s="120"/>
      <c r="LPV411" s="120"/>
      <c r="LPW411" s="120"/>
      <c r="LPX411" s="120"/>
      <c r="LPY411" s="120"/>
      <c r="LPZ411" s="121"/>
      <c r="LQA411" s="119"/>
      <c r="LQB411" s="120"/>
      <c r="LQC411" s="120"/>
      <c r="LQD411" s="120"/>
      <c r="LQE411" s="120"/>
      <c r="LQF411" s="120"/>
      <c r="LQG411" s="121"/>
      <c r="LQH411" s="119"/>
      <c r="LQI411" s="120"/>
      <c r="LQJ411" s="120"/>
      <c r="LQK411" s="120"/>
      <c r="LQL411" s="120"/>
      <c r="LQM411" s="120"/>
      <c r="LQN411" s="121"/>
      <c r="LQO411" s="119"/>
      <c r="LQP411" s="120"/>
      <c r="LQQ411" s="120"/>
      <c r="LQR411" s="120"/>
      <c r="LQS411" s="120"/>
      <c r="LQT411" s="120"/>
      <c r="LQU411" s="121"/>
      <c r="LQV411" s="119"/>
      <c r="LQW411" s="120"/>
      <c r="LQX411" s="120"/>
      <c r="LQY411" s="120"/>
      <c r="LQZ411" s="120"/>
      <c r="LRA411" s="120"/>
      <c r="LRB411" s="121"/>
      <c r="LRC411" s="119"/>
      <c r="LRD411" s="120"/>
      <c r="LRE411" s="120"/>
      <c r="LRF411" s="120"/>
      <c r="LRG411" s="120"/>
      <c r="LRH411" s="120"/>
      <c r="LRI411" s="121"/>
      <c r="LRJ411" s="119"/>
      <c r="LRK411" s="120"/>
      <c r="LRL411" s="120"/>
      <c r="LRM411" s="120"/>
      <c r="LRN411" s="120"/>
      <c r="LRO411" s="120"/>
      <c r="LRP411" s="121"/>
      <c r="LRQ411" s="119"/>
      <c r="LRR411" s="120"/>
      <c r="LRS411" s="120"/>
      <c r="LRT411" s="120"/>
      <c r="LRU411" s="120"/>
      <c r="LRV411" s="120"/>
      <c r="LRW411" s="121"/>
      <c r="LRX411" s="119"/>
      <c r="LRY411" s="120"/>
      <c r="LRZ411" s="120"/>
      <c r="LSA411" s="120"/>
      <c r="LSB411" s="120"/>
      <c r="LSC411" s="120"/>
      <c r="LSD411" s="121"/>
      <c r="LSE411" s="119"/>
      <c r="LSF411" s="120"/>
      <c r="LSG411" s="120"/>
      <c r="LSH411" s="120"/>
      <c r="LSI411" s="120"/>
      <c r="LSJ411" s="120"/>
      <c r="LSK411" s="121"/>
      <c r="LSL411" s="119"/>
      <c r="LSM411" s="120"/>
      <c r="LSN411" s="120"/>
      <c r="LSO411" s="120"/>
      <c r="LSP411" s="120"/>
      <c r="LSQ411" s="120"/>
      <c r="LSR411" s="121"/>
      <c r="LSS411" s="119"/>
      <c r="LST411" s="120"/>
      <c r="LSU411" s="120"/>
      <c r="LSV411" s="120"/>
      <c r="LSW411" s="120"/>
      <c r="LSX411" s="120"/>
      <c r="LSY411" s="121"/>
      <c r="LSZ411" s="119"/>
      <c r="LTA411" s="120"/>
      <c r="LTB411" s="120"/>
      <c r="LTC411" s="120"/>
      <c r="LTD411" s="120"/>
      <c r="LTE411" s="120"/>
      <c r="LTF411" s="121"/>
      <c r="LTG411" s="119"/>
      <c r="LTH411" s="120"/>
      <c r="LTI411" s="120"/>
      <c r="LTJ411" s="120"/>
      <c r="LTK411" s="120"/>
      <c r="LTL411" s="120"/>
      <c r="LTM411" s="121"/>
      <c r="LTN411" s="119"/>
      <c r="LTO411" s="120"/>
      <c r="LTP411" s="120"/>
      <c r="LTQ411" s="120"/>
      <c r="LTR411" s="120"/>
      <c r="LTS411" s="120"/>
      <c r="LTT411" s="121"/>
      <c r="LTU411" s="119"/>
      <c r="LTV411" s="120"/>
      <c r="LTW411" s="120"/>
      <c r="LTX411" s="120"/>
      <c r="LTY411" s="120"/>
      <c r="LTZ411" s="120"/>
      <c r="LUA411" s="121"/>
      <c r="LUB411" s="119"/>
      <c r="LUC411" s="120"/>
      <c r="LUD411" s="120"/>
      <c r="LUE411" s="120"/>
      <c r="LUF411" s="120"/>
      <c r="LUG411" s="120"/>
      <c r="LUH411" s="121"/>
      <c r="LUI411" s="119"/>
      <c r="LUJ411" s="120"/>
      <c r="LUK411" s="120"/>
      <c r="LUL411" s="120"/>
      <c r="LUM411" s="120"/>
      <c r="LUN411" s="120"/>
      <c r="LUO411" s="121"/>
      <c r="LUP411" s="119"/>
      <c r="LUQ411" s="120"/>
      <c r="LUR411" s="120"/>
      <c r="LUS411" s="120"/>
      <c r="LUT411" s="120"/>
      <c r="LUU411" s="120"/>
      <c r="LUV411" s="121"/>
      <c r="LUW411" s="119"/>
      <c r="LUX411" s="120"/>
      <c r="LUY411" s="120"/>
      <c r="LUZ411" s="120"/>
      <c r="LVA411" s="120"/>
      <c r="LVB411" s="120"/>
      <c r="LVC411" s="121"/>
      <c r="LVD411" s="119"/>
      <c r="LVE411" s="120"/>
      <c r="LVF411" s="120"/>
      <c r="LVG411" s="120"/>
      <c r="LVH411" s="120"/>
      <c r="LVI411" s="120"/>
      <c r="LVJ411" s="121"/>
      <c r="LVK411" s="119"/>
      <c r="LVL411" s="120"/>
      <c r="LVM411" s="120"/>
      <c r="LVN411" s="120"/>
      <c r="LVO411" s="120"/>
      <c r="LVP411" s="120"/>
      <c r="LVQ411" s="121"/>
      <c r="LVR411" s="119"/>
      <c r="LVS411" s="120"/>
      <c r="LVT411" s="120"/>
      <c r="LVU411" s="120"/>
      <c r="LVV411" s="120"/>
      <c r="LVW411" s="120"/>
      <c r="LVX411" s="121"/>
      <c r="LVY411" s="119"/>
      <c r="LVZ411" s="120"/>
      <c r="LWA411" s="120"/>
      <c r="LWB411" s="120"/>
      <c r="LWC411" s="120"/>
      <c r="LWD411" s="120"/>
      <c r="LWE411" s="121"/>
      <c r="LWF411" s="119"/>
      <c r="LWG411" s="120"/>
      <c r="LWH411" s="120"/>
      <c r="LWI411" s="120"/>
      <c r="LWJ411" s="120"/>
      <c r="LWK411" s="120"/>
      <c r="LWL411" s="121"/>
      <c r="LWM411" s="119"/>
      <c r="LWN411" s="120"/>
      <c r="LWO411" s="120"/>
      <c r="LWP411" s="120"/>
      <c r="LWQ411" s="120"/>
      <c r="LWR411" s="120"/>
      <c r="LWS411" s="121"/>
      <c r="LWT411" s="119"/>
      <c r="LWU411" s="120"/>
      <c r="LWV411" s="120"/>
      <c r="LWW411" s="120"/>
      <c r="LWX411" s="120"/>
      <c r="LWY411" s="120"/>
      <c r="LWZ411" s="121"/>
      <c r="LXA411" s="119"/>
      <c r="LXB411" s="120"/>
      <c r="LXC411" s="120"/>
      <c r="LXD411" s="120"/>
      <c r="LXE411" s="120"/>
      <c r="LXF411" s="120"/>
      <c r="LXG411" s="121"/>
      <c r="LXH411" s="119"/>
      <c r="LXI411" s="120"/>
      <c r="LXJ411" s="120"/>
      <c r="LXK411" s="120"/>
      <c r="LXL411" s="120"/>
      <c r="LXM411" s="120"/>
      <c r="LXN411" s="121"/>
      <c r="LXO411" s="119"/>
      <c r="LXP411" s="120"/>
      <c r="LXQ411" s="120"/>
      <c r="LXR411" s="120"/>
      <c r="LXS411" s="120"/>
      <c r="LXT411" s="120"/>
      <c r="LXU411" s="121"/>
      <c r="LXV411" s="119"/>
      <c r="LXW411" s="120"/>
      <c r="LXX411" s="120"/>
      <c r="LXY411" s="120"/>
      <c r="LXZ411" s="120"/>
      <c r="LYA411" s="120"/>
      <c r="LYB411" s="121"/>
      <c r="LYC411" s="119"/>
      <c r="LYD411" s="120"/>
      <c r="LYE411" s="120"/>
      <c r="LYF411" s="120"/>
      <c r="LYG411" s="120"/>
      <c r="LYH411" s="120"/>
      <c r="LYI411" s="121"/>
      <c r="LYJ411" s="119"/>
      <c r="LYK411" s="120"/>
      <c r="LYL411" s="120"/>
      <c r="LYM411" s="120"/>
      <c r="LYN411" s="120"/>
      <c r="LYO411" s="120"/>
      <c r="LYP411" s="121"/>
      <c r="LYQ411" s="119"/>
      <c r="LYR411" s="120"/>
      <c r="LYS411" s="120"/>
      <c r="LYT411" s="120"/>
      <c r="LYU411" s="120"/>
      <c r="LYV411" s="120"/>
      <c r="LYW411" s="121"/>
      <c r="LYX411" s="119"/>
      <c r="LYY411" s="120"/>
      <c r="LYZ411" s="120"/>
      <c r="LZA411" s="120"/>
      <c r="LZB411" s="120"/>
      <c r="LZC411" s="120"/>
      <c r="LZD411" s="121"/>
      <c r="LZE411" s="119"/>
      <c r="LZF411" s="120"/>
      <c r="LZG411" s="120"/>
      <c r="LZH411" s="120"/>
      <c r="LZI411" s="120"/>
      <c r="LZJ411" s="120"/>
      <c r="LZK411" s="121"/>
      <c r="LZL411" s="119"/>
      <c r="LZM411" s="120"/>
      <c r="LZN411" s="120"/>
      <c r="LZO411" s="120"/>
      <c r="LZP411" s="120"/>
      <c r="LZQ411" s="120"/>
      <c r="LZR411" s="121"/>
      <c r="LZS411" s="119"/>
      <c r="LZT411" s="120"/>
      <c r="LZU411" s="120"/>
      <c r="LZV411" s="120"/>
      <c r="LZW411" s="120"/>
      <c r="LZX411" s="120"/>
      <c r="LZY411" s="121"/>
      <c r="LZZ411" s="119"/>
      <c r="MAA411" s="120"/>
      <c r="MAB411" s="120"/>
      <c r="MAC411" s="120"/>
      <c r="MAD411" s="120"/>
      <c r="MAE411" s="120"/>
      <c r="MAF411" s="121"/>
      <c r="MAG411" s="119"/>
      <c r="MAH411" s="120"/>
      <c r="MAI411" s="120"/>
      <c r="MAJ411" s="120"/>
      <c r="MAK411" s="120"/>
      <c r="MAL411" s="120"/>
      <c r="MAM411" s="121"/>
      <c r="MAN411" s="119"/>
      <c r="MAO411" s="120"/>
      <c r="MAP411" s="120"/>
      <c r="MAQ411" s="120"/>
      <c r="MAR411" s="120"/>
      <c r="MAS411" s="120"/>
      <c r="MAT411" s="121"/>
      <c r="MAU411" s="119"/>
      <c r="MAV411" s="120"/>
      <c r="MAW411" s="120"/>
      <c r="MAX411" s="120"/>
      <c r="MAY411" s="120"/>
      <c r="MAZ411" s="120"/>
      <c r="MBA411" s="121"/>
      <c r="MBB411" s="119"/>
      <c r="MBC411" s="120"/>
      <c r="MBD411" s="120"/>
      <c r="MBE411" s="120"/>
      <c r="MBF411" s="120"/>
      <c r="MBG411" s="120"/>
      <c r="MBH411" s="121"/>
      <c r="MBI411" s="119"/>
      <c r="MBJ411" s="120"/>
      <c r="MBK411" s="120"/>
      <c r="MBL411" s="120"/>
      <c r="MBM411" s="120"/>
      <c r="MBN411" s="120"/>
      <c r="MBO411" s="121"/>
      <c r="MBP411" s="119"/>
      <c r="MBQ411" s="120"/>
      <c r="MBR411" s="120"/>
      <c r="MBS411" s="120"/>
      <c r="MBT411" s="120"/>
      <c r="MBU411" s="120"/>
      <c r="MBV411" s="121"/>
      <c r="MBW411" s="119"/>
      <c r="MBX411" s="120"/>
      <c r="MBY411" s="120"/>
      <c r="MBZ411" s="120"/>
      <c r="MCA411" s="120"/>
      <c r="MCB411" s="120"/>
      <c r="MCC411" s="121"/>
      <c r="MCD411" s="119"/>
      <c r="MCE411" s="120"/>
      <c r="MCF411" s="120"/>
      <c r="MCG411" s="120"/>
      <c r="MCH411" s="120"/>
      <c r="MCI411" s="120"/>
      <c r="MCJ411" s="121"/>
      <c r="MCK411" s="119"/>
      <c r="MCL411" s="120"/>
      <c r="MCM411" s="120"/>
      <c r="MCN411" s="120"/>
      <c r="MCO411" s="120"/>
      <c r="MCP411" s="120"/>
      <c r="MCQ411" s="121"/>
      <c r="MCR411" s="119"/>
      <c r="MCS411" s="120"/>
      <c r="MCT411" s="120"/>
      <c r="MCU411" s="120"/>
      <c r="MCV411" s="120"/>
      <c r="MCW411" s="120"/>
      <c r="MCX411" s="121"/>
      <c r="MCY411" s="119"/>
      <c r="MCZ411" s="120"/>
      <c r="MDA411" s="120"/>
      <c r="MDB411" s="120"/>
      <c r="MDC411" s="120"/>
      <c r="MDD411" s="120"/>
      <c r="MDE411" s="121"/>
      <c r="MDF411" s="119"/>
      <c r="MDG411" s="120"/>
      <c r="MDH411" s="120"/>
      <c r="MDI411" s="120"/>
      <c r="MDJ411" s="120"/>
      <c r="MDK411" s="120"/>
      <c r="MDL411" s="121"/>
      <c r="MDM411" s="119"/>
      <c r="MDN411" s="120"/>
      <c r="MDO411" s="120"/>
      <c r="MDP411" s="120"/>
      <c r="MDQ411" s="120"/>
      <c r="MDR411" s="120"/>
      <c r="MDS411" s="121"/>
      <c r="MDT411" s="119"/>
      <c r="MDU411" s="120"/>
      <c r="MDV411" s="120"/>
      <c r="MDW411" s="120"/>
      <c r="MDX411" s="120"/>
      <c r="MDY411" s="120"/>
      <c r="MDZ411" s="121"/>
      <c r="MEA411" s="119"/>
      <c r="MEB411" s="120"/>
      <c r="MEC411" s="120"/>
      <c r="MED411" s="120"/>
      <c r="MEE411" s="120"/>
      <c r="MEF411" s="120"/>
      <c r="MEG411" s="121"/>
      <c r="MEH411" s="119"/>
      <c r="MEI411" s="120"/>
      <c r="MEJ411" s="120"/>
      <c r="MEK411" s="120"/>
      <c r="MEL411" s="120"/>
      <c r="MEM411" s="120"/>
      <c r="MEN411" s="121"/>
      <c r="MEO411" s="119"/>
      <c r="MEP411" s="120"/>
      <c r="MEQ411" s="120"/>
      <c r="MER411" s="120"/>
      <c r="MES411" s="120"/>
      <c r="MET411" s="120"/>
      <c r="MEU411" s="121"/>
      <c r="MEV411" s="119"/>
      <c r="MEW411" s="120"/>
      <c r="MEX411" s="120"/>
      <c r="MEY411" s="120"/>
      <c r="MEZ411" s="120"/>
      <c r="MFA411" s="120"/>
      <c r="MFB411" s="121"/>
      <c r="MFC411" s="119"/>
      <c r="MFD411" s="120"/>
      <c r="MFE411" s="120"/>
      <c r="MFF411" s="120"/>
      <c r="MFG411" s="120"/>
      <c r="MFH411" s="120"/>
      <c r="MFI411" s="121"/>
      <c r="MFJ411" s="119"/>
      <c r="MFK411" s="120"/>
      <c r="MFL411" s="120"/>
      <c r="MFM411" s="120"/>
      <c r="MFN411" s="120"/>
      <c r="MFO411" s="120"/>
      <c r="MFP411" s="121"/>
      <c r="MFQ411" s="119"/>
      <c r="MFR411" s="120"/>
      <c r="MFS411" s="120"/>
      <c r="MFT411" s="120"/>
      <c r="MFU411" s="120"/>
      <c r="MFV411" s="120"/>
      <c r="MFW411" s="121"/>
      <c r="MFX411" s="119"/>
      <c r="MFY411" s="120"/>
      <c r="MFZ411" s="120"/>
      <c r="MGA411" s="120"/>
      <c r="MGB411" s="120"/>
      <c r="MGC411" s="120"/>
      <c r="MGD411" s="121"/>
      <c r="MGE411" s="119"/>
      <c r="MGF411" s="120"/>
      <c r="MGG411" s="120"/>
      <c r="MGH411" s="120"/>
      <c r="MGI411" s="120"/>
      <c r="MGJ411" s="120"/>
      <c r="MGK411" s="121"/>
      <c r="MGL411" s="119"/>
      <c r="MGM411" s="120"/>
      <c r="MGN411" s="120"/>
      <c r="MGO411" s="120"/>
      <c r="MGP411" s="120"/>
      <c r="MGQ411" s="120"/>
      <c r="MGR411" s="121"/>
      <c r="MGS411" s="119"/>
      <c r="MGT411" s="120"/>
      <c r="MGU411" s="120"/>
      <c r="MGV411" s="120"/>
      <c r="MGW411" s="120"/>
      <c r="MGX411" s="120"/>
      <c r="MGY411" s="121"/>
      <c r="MGZ411" s="119"/>
      <c r="MHA411" s="120"/>
      <c r="MHB411" s="120"/>
      <c r="MHC411" s="120"/>
      <c r="MHD411" s="120"/>
      <c r="MHE411" s="120"/>
      <c r="MHF411" s="121"/>
      <c r="MHG411" s="119"/>
      <c r="MHH411" s="120"/>
      <c r="MHI411" s="120"/>
      <c r="MHJ411" s="120"/>
      <c r="MHK411" s="120"/>
      <c r="MHL411" s="120"/>
      <c r="MHM411" s="121"/>
      <c r="MHN411" s="119"/>
      <c r="MHO411" s="120"/>
      <c r="MHP411" s="120"/>
      <c r="MHQ411" s="120"/>
      <c r="MHR411" s="120"/>
      <c r="MHS411" s="120"/>
      <c r="MHT411" s="121"/>
      <c r="MHU411" s="119"/>
      <c r="MHV411" s="120"/>
      <c r="MHW411" s="120"/>
      <c r="MHX411" s="120"/>
      <c r="MHY411" s="120"/>
      <c r="MHZ411" s="120"/>
      <c r="MIA411" s="121"/>
      <c r="MIB411" s="119"/>
      <c r="MIC411" s="120"/>
      <c r="MID411" s="120"/>
      <c r="MIE411" s="120"/>
      <c r="MIF411" s="120"/>
      <c r="MIG411" s="120"/>
      <c r="MIH411" s="121"/>
      <c r="MII411" s="119"/>
      <c r="MIJ411" s="120"/>
      <c r="MIK411" s="120"/>
      <c r="MIL411" s="120"/>
      <c r="MIM411" s="120"/>
      <c r="MIN411" s="120"/>
      <c r="MIO411" s="121"/>
      <c r="MIP411" s="119"/>
      <c r="MIQ411" s="120"/>
      <c r="MIR411" s="120"/>
      <c r="MIS411" s="120"/>
      <c r="MIT411" s="120"/>
      <c r="MIU411" s="120"/>
      <c r="MIV411" s="121"/>
      <c r="MIW411" s="119"/>
      <c r="MIX411" s="120"/>
      <c r="MIY411" s="120"/>
      <c r="MIZ411" s="120"/>
      <c r="MJA411" s="120"/>
      <c r="MJB411" s="120"/>
      <c r="MJC411" s="121"/>
      <c r="MJD411" s="119"/>
      <c r="MJE411" s="120"/>
      <c r="MJF411" s="120"/>
      <c r="MJG411" s="120"/>
      <c r="MJH411" s="120"/>
      <c r="MJI411" s="120"/>
      <c r="MJJ411" s="121"/>
      <c r="MJK411" s="119"/>
      <c r="MJL411" s="120"/>
      <c r="MJM411" s="120"/>
      <c r="MJN411" s="120"/>
      <c r="MJO411" s="120"/>
      <c r="MJP411" s="120"/>
      <c r="MJQ411" s="121"/>
      <c r="MJR411" s="119"/>
      <c r="MJS411" s="120"/>
      <c r="MJT411" s="120"/>
      <c r="MJU411" s="120"/>
      <c r="MJV411" s="120"/>
      <c r="MJW411" s="120"/>
      <c r="MJX411" s="121"/>
      <c r="MJY411" s="119"/>
      <c r="MJZ411" s="120"/>
      <c r="MKA411" s="120"/>
      <c r="MKB411" s="120"/>
      <c r="MKC411" s="120"/>
      <c r="MKD411" s="120"/>
      <c r="MKE411" s="121"/>
      <c r="MKF411" s="119"/>
      <c r="MKG411" s="120"/>
      <c r="MKH411" s="120"/>
      <c r="MKI411" s="120"/>
      <c r="MKJ411" s="120"/>
      <c r="MKK411" s="120"/>
      <c r="MKL411" s="121"/>
      <c r="MKM411" s="119"/>
      <c r="MKN411" s="120"/>
      <c r="MKO411" s="120"/>
      <c r="MKP411" s="120"/>
      <c r="MKQ411" s="120"/>
      <c r="MKR411" s="120"/>
      <c r="MKS411" s="121"/>
      <c r="MKT411" s="119"/>
      <c r="MKU411" s="120"/>
      <c r="MKV411" s="120"/>
      <c r="MKW411" s="120"/>
      <c r="MKX411" s="120"/>
      <c r="MKY411" s="120"/>
      <c r="MKZ411" s="121"/>
      <c r="MLA411" s="119"/>
      <c r="MLB411" s="120"/>
      <c r="MLC411" s="120"/>
      <c r="MLD411" s="120"/>
      <c r="MLE411" s="120"/>
      <c r="MLF411" s="120"/>
      <c r="MLG411" s="121"/>
      <c r="MLH411" s="119"/>
      <c r="MLI411" s="120"/>
      <c r="MLJ411" s="120"/>
      <c r="MLK411" s="120"/>
      <c r="MLL411" s="120"/>
      <c r="MLM411" s="120"/>
      <c r="MLN411" s="121"/>
      <c r="MLO411" s="119"/>
      <c r="MLP411" s="120"/>
      <c r="MLQ411" s="120"/>
      <c r="MLR411" s="120"/>
      <c r="MLS411" s="120"/>
      <c r="MLT411" s="120"/>
      <c r="MLU411" s="121"/>
      <c r="MLV411" s="119"/>
      <c r="MLW411" s="120"/>
      <c r="MLX411" s="120"/>
      <c r="MLY411" s="120"/>
      <c r="MLZ411" s="120"/>
      <c r="MMA411" s="120"/>
      <c r="MMB411" s="121"/>
      <c r="MMC411" s="119"/>
      <c r="MMD411" s="120"/>
      <c r="MME411" s="120"/>
      <c r="MMF411" s="120"/>
      <c r="MMG411" s="120"/>
      <c r="MMH411" s="120"/>
      <c r="MMI411" s="121"/>
      <c r="MMJ411" s="119"/>
      <c r="MMK411" s="120"/>
      <c r="MML411" s="120"/>
      <c r="MMM411" s="120"/>
      <c r="MMN411" s="120"/>
      <c r="MMO411" s="120"/>
      <c r="MMP411" s="121"/>
      <c r="MMQ411" s="119"/>
      <c r="MMR411" s="120"/>
      <c r="MMS411" s="120"/>
      <c r="MMT411" s="120"/>
      <c r="MMU411" s="120"/>
      <c r="MMV411" s="120"/>
      <c r="MMW411" s="121"/>
      <c r="MMX411" s="119"/>
      <c r="MMY411" s="120"/>
      <c r="MMZ411" s="120"/>
      <c r="MNA411" s="120"/>
      <c r="MNB411" s="120"/>
      <c r="MNC411" s="120"/>
      <c r="MND411" s="121"/>
      <c r="MNE411" s="119"/>
      <c r="MNF411" s="120"/>
      <c r="MNG411" s="120"/>
      <c r="MNH411" s="120"/>
      <c r="MNI411" s="120"/>
      <c r="MNJ411" s="120"/>
      <c r="MNK411" s="121"/>
      <c r="MNL411" s="119"/>
      <c r="MNM411" s="120"/>
      <c r="MNN411" s="120"/>
      <c r="MNO411" s="120"/>
      <c r="MNP411" s="120"/>
      <c r="MNQ411" s="120"/>
      <c r="MNR411" s="121"/>
      <c r="MNS411" s="119"/>
      <c r="MNT411" s="120"/>
      <c r="MNU411" s="120"/>
      <c r="MNV411" s="120"/>
      <c r="MNW411" s="120"/>
      <c r="MNX411" s="120"/>
      <c r="MNY411" s="121"/>
      <c r="MNZ411" s="119"/>
      <c r="MOA411" s="120"/>
      <c r="MOB411" s="120"/>
      <c r="MOC411" s="120"/>
      <c r="MOD411" s="120"/>
      <c r="MOE411" s="120"/>
      <c r="MOF411" s="121"/>
      <c r="MOG411" s="119"/>
      <c r="MOH411" s="120"/>
      <c r="MOI411" s="120"/>
      <c r="MOJ411" s="120"/>
      <c r="MOK411" s="120"/>
      <c r="MOL411" s="120"/>
      <c r="MOM411" s="121"/>
      <c r="MON411" s="119"/>
      <c r="MOO411" s="120"/>
      <c r="MOP411" s="120"/>
      <c r="MOQ411" s="120"/>
      <c r="MOR411" s="120"/>
      <c r="MOS411" s="120"/>
      <c r="MOT411" s="121"/>
      <c r="MOU411" s="119"/>
      <c r="MOV411" s="120"/>
      <c r="MOW411" s="120"/>
      <c r="MOX411" s="120"/>
      <c r="MOY411" s="120"/>
      <c r="MOZ411" s="120"/>
      <c r="MPA411" s="121"/>
      <c r="MPB411" s="119"/>
      <c r="MPC411" s="120"/>
      <c r="MPD411" s="120"/>
      <c r="MPE411" s="120"/>
      <c r="MPF411" s="120"/>
      <c r="MPG411" s="120"/>
      <c r="MPH411" s="121"/>
      <c r="MPI411" s="119"/>
      <c r="MPJ411" s="120"/>
      <c r="MPK411" s="120"/>
      <c r="MPL411" s="120"/>
      <c r="MPM411" s="120"/>
      <c r="MPN411" s="120"/>
      <c r="MPO411" s="121"/>
      <c r="MPP411" s="119"/>
      <c r="MPQ411" s="120"/>
      <c r="MPR411" s="120"/>
      <c r="MPS411" s="120"/>
      <c r="MPT411" s="120"/>
      <c r="MPU411" s="120"/>
      <c r="MPV411" s="121"/>
      <c r="MPW411" s="119"/>
      <c r="MPX411" s="120"/>
      <c r="MPY411" s="120"/>
      <c r="MPZ411" s="120"/>
      <c r="MQA411" s="120"/>
      <c r="MQB411" s="120"/>
      <c r="MQC411" s="121"/>
      <c r="MQD411" s="119"/>
      <c r="MQE411" s="120"/>
      <c r="MQF411" s="120"/>
      <c r="MQG411" s="120"/>
      <c r="MQH411" s="120"/>
      <c r="MQI411" s="120"/>
      <c r="MQJ411" s="121"/>
      <c r="MQK411" s="119"/>
      <c r="MQL411" s="120"/>
      <c r="MQM411" s="120"/>
      <c r="MQN411" s="120"/>
      <c r="MQO411" s="120"/>
      <c r="MQP411" s="120"/>
      <c r="MQQ411" s="121"/>
      <c r="MQR411" s="119"/>
      <c r="MQS411" s="120"/>
      <c r="MQT411" s="120"/>
      <c r="MQU411" s="120"/>
      <c r="MQV411" s="120"/>
      <c r="MQW411" s="120"/>
      <c r="MQX411" s="121"/>
      <c r="MQY411" s="119"/>
      <c r="MQZ411" s="120"/>
      <c r="MRA411" s="120"/>
      <c r="MRB411" s="120"/>
      <c r="MRC411" s="120"/>
      <c r="MRD411" s="120"/>
      <c r="MRE411" s="121"/>
      <c r="MRF411" s="119"/>
      <c r="MRG411" s="120"/>
      <c r="MRH411" s="120"/>
      <c r="MRI411" s="120"/>
      <c r="MRJ411" s="120"/>
      <c r="MRK411" s="120"/>
      <c r="MRL411" s="121"/>
      <c r="MRM411" s="119"/>
      <c r="MRN411" s="120"/>
      <c r="MRO411" s="120"/>
      <c r="MRP411" s="120"/>
      <c r="MRQ411" s="120"/>
      <c r="MRR411" s="120"/>
      <c r="MRS411" s="121"/>
      <c r="MRT411" s="119"/>
      <c r="MRU411" s="120"/>
      <c r="MRV411" s="120"/>
      <c r="MRW411" s="120"/>
      <c r="MRX411" s="120"/>
      <c r="MRY411" s="120"/>
      <c r="MRZ411" s="121"/>
      <c r="MSA411" s="119"/>
      <c r="MSB411" s="120"/>
      <c r="MSC411" s="120"/>
      <c r="MSD411" s="120"/>
      <c r="MSE411" s="120"/>
      <c r="MSF411" s="120"/>
      <c r="MSG411" s="121"/>
      <c r="MSH411" s="119"/>
      <c r="MSI411" s="120"/>
      <c r="MSJ411" s="120"/>
      <c r="MSK411" s="120"/>
      <c r="MSL411" s="120"/>
      <c r="MSM411" s="120"/>
      <c r="MSN411" s="121"/>
      <c r="MSO411" s="119"/>
      <c r="MSP411" s="120"/>
      <c r="MSQ411" s="120"/>
      <c r="MSR411" s="120"/>
      <c r="MSS411" s="120"/>
      <c r="MST411" s="120"/>
      <c r="MSU411" s="121"/>
      <c r="MSV411" s="119"/>
      <c r="MSW411" s="120"/>
      <c r="MSX411" s="120"/>
      <c r="MSY411" s="120"/>
      <c r="MSZ411" s="120"/>
      <c r="MTA411" s="120"/>
      <c r="MTB411" s="121"/>
      <c r="MTC411" s="119"/>
      <c r="MTD411" s="120"/>
      <c r="MTE411" s="120"/>
      <c r="MTF411" s="120"/>
      <c r="MTG411" s="120"/>
      <c r="MTH411" s="120"/>
      <c r="MTI411" s="121"/>
      <c r="MTJ411" s="119"/>
      <c r="MTK411" s="120"/>
      <c r="MTL411" s="120"/>
      <c r="MTM411" s="120"/>
      <c r="MTN411" s="120"/>
      <c r="MTO411" s="120"/>
      <c r="MTP411" s="121"/>
      <c r="MTQ411" s="119"/>
      <c r="MTR411" s="120"/>
      <c r="MTS411" s="120"/>
      <c r="MTT411" s="120"/>
      <c r="MTU411" s="120"/>
      <c r="MTV411" s="120"/>
      <c r="MTW411" s="121"/>
      <c r="MTX411" s="119"/>
      <c r="MTY411" s="120"/>
      <c r="MTZ411" s="120"/>
      <c r="MUA411" s="120"/>
      <c r="MUB411" s="120"/>
      <c r="MUC411" s="120"/>
      <c r="MUD411" s="121"/>
      <c r="MUE411" s="119"/>
      <c r="MUF411" s="120"/>
      <c r="MUG411" s="120"/>
      <c r="MUH411" s="120"/>
      <c r="MUI411" s="120"/>
      <c r="MUJ411" s="120"/>
      <c r="MUK411" s="121"/>
      <c r="MUL411" s="119"/>
      <c r="MUM411" s="120"/>
      <c r="MUN411" s="120"/>
      <c r="MUO411" s="120"/>
      <c r="MUP411" s="120"/>
      <c r="MUQ411" s="120"/>
      <c r="MUR411" s="121"/>
      <c r="MUS411" s="119"/>
      <c r="MUT411" s="120"/>
      <c r="MUU411" s="120"/>
      <c r="MUV411" s="120"/>
      <c r="MUW411" s="120"/>
      <c r="MUX411" s="120"/>
      <c r="MUY411" s="121"/>
      <c r="MUZ411" s="119"/>
      <c r="MVA411" s="120"/>
      <c r="MVB411" s="120"/>
      <c r="MVC411" s="120"/>
      <c r="MVD411" s="120"/>
      <c r="MVE411" s="120"/>
      <c r="MVF411" s="121"/>
      <c r="MVG411" s="119"/>
      <c r="MVH411" s="120"/>
      <c r="MVI411" s="120"/>
      <c r="MVJ411" s="120"/>
      <c r="MVK411" s="120"/>
      <c r="MVL411" s="120"/>
      <c r="MVM411" s="121"/>
      <c r="MVN411" s="119"/>
      <c r="MVO411" s="120"/>
      <c r="MVP411" s="120"/>
      <c r="MVQ411" s="120"/>
      <c r="MVR411" s="120"/>
      <c r="MVS411" s="120"/>
      <c r="MVT411" s="121"/>
      <c r="MVU411" s="119"/>
      <c r="MVV411" s="120"/>
      <c r="MVW411" s="120"/>
      <c r="MVX411" s="120"/>
      <c r="MVY411" s="120"/>
      <c r="MVZ411" s="120"/>
      <c r="MWA411" s="121"/>
      <c r="MWB411" s="119"/>
      <c r="MWC411" s="120"/>
      <c r="MWD411" s="120"/>
      <c r="MWE411" s="120"/>
      <c r="MWF411" s="120"/>
      <c r="MWG411" s="120"/>
      <c r="MWH411" s="121"/>
      <c r="MWI411" s="119"/>
      <c r="MWJ411" s="120"/>
      <c r="MWK411" s="120"/>
      <c r="MWL411" s="120"/>
      <c r="MWM411" s="120"/>
      <c r="MWN411" s="120"/>
      <c r="MWO411" s="121"/>
      <c r="MWP411" s="119"/>
      <c r="MWQ411" s="120"/>
      <c r="MWR411" s="120"/>
      <c r="MWS411" s="120"/>
      <c r="MWT411" s="120"/>
      <c r="MWU411" s="120"/>
      <c r="MWV411" s="121"/>
      <c r="MWW411" s="119"/>
      <c r="MWX411" s="120"/>
      <c r="MWY411" s="120"/>
      <c r="MWZ411" s="120"/>
      <c r="MXA411" s="120"/>
      <c r="MXB411" s="120"/>
      <c r="MXC411" s="121"/>
      <c r="MXD411" s="119"/>
      <c r="MXE411" s="120"/>
      <c r="MXF411" s="120"/>
      <c r="MXG411" s="120"/>
      <c r="MXH411" s="120"/>
      <c r="MXI411" s="120"/>
      <c r="MXJ411" s="121"/>
      <c r="MXK411" s="119"/>
      <c r="MXL411" s="120"/>
      <c r="MXM411" s="120"/>
      <c r="MXN411" s="120"/>
      <c r="MXO411" s="120"/>
      <c r="MXP411" s="120"/>
      <c r="MXQ411" s="121"/>
      <c r="MXR411" s="119"/>
      <c r="MXS411" s="120"/>
      <c r="MXT411" s="120"/>
      <c r="MXU411" s="120"/>
      <c r="MXV411" s="120"/>
      <c r="MXW411" s="120"/>
      <c r="MXX411" s="121"/>
      <c r="MXY411" s="119"/>
      <c r="MXZ411" s="120"/>
      <c r="MYA411" s="120"/>
      <c r="MYB411" s="120"/>
      <c r="MYC411" s="120"/>
      <c r="MYD411" s="120"/>
      <c r="MYE411" s="121"/>
      <c r="MYF411" s="119"/>
      <c r="MYG411" s="120"/>
      <c r="MYH411" s="120"/>
      <c r="MYI411" s="120"/>
      <c r="MYJ411" s="120"/>
      <c r="MYK411" s="120"/>
      <c r="MYL411" s="121"/>
      <c r="MYM411" s="119"/>
      <c r="MYN411" s="120"/>
      <c r="MYO411" s="120"/>
      <c r="MYP411" s="120"/>
      <c r="MYQ411" s="120"/>
      <c r="MYR411" s="120"/>
      <c r="MYS411" s="121"/>
      <c r="MYT411" s="119"/>
      <c r="MYU411" s="120"/>
      <c r="MYV411" s="120"/>
      <c r="MYW411" s="120"/>
      <c r="MYX411" s="120"/>
      <c r="MYY411" s="120"/>
      <c r="MYZ411" s="121"/>
      <c r="MZA411" s="119"/>
      <c r="MZB411" s="120"/>
      <c r="MZC411" s="120"/>
      <c r="MZD411" s="120"/>
      <c r="MZE411" s="120"/>
      <c r="MZF411" s="120"/>
      <c r="MZG411" s="121"/>
      <c r="MZH411" s="119"/>
      <c r="MZI411" s="120"/>
      <c r="MZJ411" s="120"/>
      <c r="MZK411" s="120"/>
      <c r="MZL411" s="120"/>
      <c r="MZM411" s="120"/>
      <c r="MZN411" s="121"/>
      <c r="MZO411" s="119"/>
      <c r="MZP411" s="120"/>
      <c r="MZQ411" s="120"/>
      <c r="MZR411" s="120"/>
      <c r="MZS411" s="120"/>
      <c r="MZT411" s="120"/>
      <c r="MZU411" s="121"/>
      <c r="MZV411" s="119"/>
      <c r="MZW411" s="120"/>
      <c r="MZX411" s="120"/>
      <c r="MZY411" s="120"/>
      <c r="MZZ411" s="120"/>
      <c r="NAA411" s="120"/>
      <c r="NAB411" s="121"/>
      <c r="NAC411" s="119"/>
      <c r="NAD411" s="120"/>
      <c r="NAE411" s="120"/>
      <c r="NAF411" s="120"/>
      <c r="NAG411" s="120"/>
      <c r="NAH411" s="120"/>
      <c r="NAI411" s="121"/>
      <c r="NAJ411" s="119"/>
      <c r="NAK411" s="120"/>
      <c r="NAL411" s="120"/>
      <c r="NAM411" s="120"/>
      <c r="NAN411" s="120"/>
      <c r="NAO411" s="120"/>
      <c r="NAP411" s="121"/>
      <c r="NAQ411" s="119"/>
      <c r="NAR411" s="120"/>
      <c r="NAS411" s="120"/>
      <c r="NAT411" s="120"/>
      <c r="NAU411" s="120"/>
      <c r="NAV411" s="120"/>
      <c r="NAW411" s="121"/>
      <c r="NAX411" s="119"/>
      <c r="NAY411" s="120"/>
      <c r="NAZ411" s="120"/>
      <c r="NBA411" s="120"/>
      <c r="NBB411" s="120"/>
      <c r="NBC411" s="120"/>
      <c r="NBD411" s="121"/>
      <c r="NBE411" s="119"/>
      <c r="NBF411" s="120"/>
      <c r="NBG411" s="120"/>
      <c r="NBH411" s="120"/>
      <c r="NBI411" s="120"/>
      <c r="NBJ411" s="120"/>
      <c r="NBK411" s="121"/>
      <c r="NBL411" s="119"/>
      <c r="NBM411" s="120"/>
      <c r="NBN411" s="120"/>
      <c r="NBO411" s="120"/>
      <c r="NBP411" s="120"/>
      <c r="NBQ411" s="120"/>
      <c r="NBR411" s="121"/>
      <c r="NBS411" s="119"/>
      <c r="NBT411" s="120"/>
      <c r="NBU411" s="120"/>
      <c r="NBV411" s="120"/>
      <c r="NBW411" s="120"/>
      <c r="NBX411" s="120"/>
      <c r="NBY411" s="121"/>
      <c r="NBZ411" s="119"/>
      <c r="NCA411" s="120"/>
      <c r="NCB411" s="120"/>
      <c r="NCC411" s="120"/>
      <c r="NCD411" s="120"/>
      <c r="NCE411" s="120"/>
      <c r="NCF411" s="121"/>
      <c r="NCG411" s="119"/>
      <c r="NCH411" s="120"/>
      <c r="NCI411" s="120"/>
      <c r="NCJ411" s="120"/>
      <c r="NCK411" s="120"/>
      <c r="NCL411" s="120"/>
      <c r="NCM411" s="121"/>
      <c r="NCN411" s="119"/>
      <c r="NCO411" s="120"/>
      <c r="NCP411" s="120"/>
      <c r="NCQ411" s="120"/>
      <c r="NCR411" s="120"/>
      <c r="NCS411" s="120"/>
      <c r="NCT411" s="121"/>
      <c r="NCU411" s="119"/>
      <c r="NCV411" s="120"/>
      <c r="NCW411" s="120"/>
      <c r="NCX411" s="120"/>
      <c r="NCY411" s="120"/>
      <c r="NCZ411" s="120"/>
      <c r="NDA411" s="121"/>
      <c r="NDB411" s="119"/>
      <c r="NDC411" s="120"/>
      <c r="NDD411" s="120"/>
      <c r="NDE411" s="120"/>
      <c r="NDF411" s="120"/>
      <c r="NDG411" s="120"/>
      <c r="NDH411" s="121"/>
      <c r="NDI411" s="119"/>
      <c r="NDJ411" s="120"/>
      <c r="NDK411" s="120"/>
      <c r="NDL411" s="120"/>
      <c r="NDM411" s="120"/>
      <c r="NDN411" s="120"/>
      <c r="NDO411" s="121"/>
      <c r="NDP411" s="119"/>
      <c r="NDQ411" s="120"/>
      <c r="NDR411" s="120"/>
      <c r="NDS411" s="120"/>
      <c r="NDT411" s="120"/>
      <c r="NDU411" s="120"/>
      <c r="NDV411" s="121"/>
      <c r="NDW411" s="119"/>
      <c r="NDX411" s="120"/>
      <c r="NDY411" s="120"/>
      <c r="NDZ411" s="120"/>
      <c r="NEA411" s="120"/>
      <c r="NEB411" s="120"/>
      <c r="NEC411" s="121"/>
      <c r="NED411" s="119"/>
      <c r="NEE411" s="120"/>
      <c r="NEF411" s="120"/>
      <c r="NEG411" s="120"/>
      <c r="NEH411" s="120"/>
      <c r="NEI411" s="120"/>
      <c r="NEJ411" s="121"/>
      <c r="NEK411" s="119"/>
      <c r="NEL411" s="120"/>
      <c r="NEM411" s="120"/>
      <c r="NEN411" s="120"/>
      <c r="NEO411" s="120"/>
      <c r="NEP411" s="120"/>
      <c r="NEQ411" s="121"/>
      <c r="NER411" s="119"/>
      <c r="NES411" s="120"/>
      <c r="NET411" s="120"/>
      <c r="NEU411" s="120"/>
      <c r="NEV411" s="120"/>
      <c r="NEW411" s="120"/>
      <c r="NEX411" s="121"/>
      <c r="NEY411" s="119"/>
      <c r="NEZ411" s="120"/>
      <c r="NFA411" s="120"/>
      <c r="NFB411" s="120"/>
      <c r="NFC411" s="120"/>
      <c r="NFD411" s="120"/>
      <c r="NFE411" s="121"/>
      <c r="NFF411" s="119"/>
      <c r="NFG411" s="120"/>
      <c r="NFH411" s="120"/>
      <c r="NFI411" s="120"/>
      <c r="NFJ411" s="120"/>
      <c r="NFK411" s="120"/>
      <c r="NFL411" s="121"/>
      <c r="NFM411" s="119"/>
      <c r="NFN411" s="120"/>
      <c r="NFO411" s="120"/>
      <c r="NFP411" s="120"/>
      <c r="NFQ411" s="120"/>
      <c r="NFR411" s="120"/>
      <c r="NFS411" s="121"/>
      <c r="NFT411" s="119"/>
      <c r="NFU411" s="120"/>
      <c r="NFV411" s="120"/>
      <c r="NFW411" s="120"/>
      <c r="NFX411" s="120"/>
      <c r="NFY411" s="120"/>
      <c r="NFZ411" s="121"/>
      <c r="NGA411" s="119"/>
      <c r="NGB411" s="120"/>
      <c r="NGC411" s="120"/>
      <c r="NGD411" s="120"/>
      <c r="NGE411" s="120"/>
      <c r="NGF411" s="120"/>
      <c r="NGG411" s="121"/>
      <c r="NGH411" s="119"/>
      <c r="NGI411" s="120"/>
      <c r="NGJ411" s="120"/>
      <c r="NGK411" s="120"/>
      <c r="NGL411" s="120"/>
      <c r="NGM411" s="120"/>
      <c r="NGN411" s="121"/>
      <c r="NGO411" s="119"/>
      <c r="NGP411" s="120"/>
      <c r="NGQ411" s="120"/>
      <c r="NGR411" s="120"/>
      <c r="NGS411" s="120"/>
      <c r="NGT411" s="120"/>
      <c r="NGU411" s="121"/>
      <c r="NGV411" s="119"/>
      <c r="NGW411" s="120"/>
      <c r="NGX411" s="120"/>
      <c r="NGY411" s="120"/>
      <c r="NGZ411" s="120"/>
      <c r="NHA411" s="120"/>
      <c r="NHB411" s="121"/>
      <c r="NHC411" s="119"/>
      <c r="NHD411" s="120"/>
      <c r="NHE411" s="120"/>
      <c r="NHF411" s="120"/>
      <c r="NHG411" s="120"/>
      <c r="NHH411" s="120"/>
      <c r="NHI411" s="121"/>
      <c r="NHJ411" s="119"/>
      <c r="NHK411" s="120"/>
      <c r="NHL411" s="120"/>
      <c r="NHM411" s="120"/>
      <c r="NHN411" s="120"/>
      <c r="NHO411" s="120"/>
      <c r="NHP411" s="121"/>
      <c r="NHQ411" s="119"/>
      <c r="NHR411" s="120"/>
      <c r="NHS411" s="120"/>
      <c r="NHT411" s="120"/>
      <c r="NHU411" s="120"/>
      <c r="NHV411" s="120"/>
      <c r="NHW411" s="121"/>
      <c r="NHX411" s="119"/>
      <c r="NHY411" s="120"/>
      <c r="NHZ411" s="120"/>
      <c r="NIA411" s="120"/>
      <c r="NIB411" s="120"/>
      <c r="NIC411" s="120"/>
      <c r="NID411" s="121"/>
      <c r="NIE411" s="119"/>
      <c r="NIF411" s="120"/>
      <c r="NIG411" s="120"/>
      <c r="NIH411" s="120"/>
      <c r="NII411" s="120"/>
      <c r="NIJ411" s="120"/>
      <c r="NIK411" s="121"/>
      <c r="NIL411" s="119"/>
      <c r="NIM411" s="120"/>
      <c r="NIN411" s="120"/>
      <c r="NIO411" s="120"/>
      <c r="NIP411" s="120"/>
      <c r="NIQ411" s="120"/>
      <c r="NIR411" s="121"/>
      <c r="NIS411" s="119"/>
      <c r="NIT411" s="120"/>
      <c r="NIU411" s="120"/>
      <c r="NIV411" s="120"/>
      <c r="NIW411" s="120"/>
      <c r="NIX411" s="120"/>
      <c r="NIY411" s="121"/>
      <c r="NIZ411" s="119"/>
      <c r="NJA411" s="120"/>
      <c r="NJB411" s="120"/>
      <c r="NJC411" s="120"/>
      <c r="NJD411" s="120"/>
      <c r="NJE411" s="120"/>
      <c r="NJF411" s="121"/>
      <c r="NJG411" s="119"/>
      <c r="NJH411" s="120"/>
      <c r="NJI411" s="120"/>
      <c r="NJJ411" s="120"/>
      <c r="NJK411" s="120"/>
      <c r="NJL411" s="120"/>
      <c r="NJM411" s="121"/>
      <c r="NJN411" s="119"/>
      <c r="NJO411" s="120"/>
      <c r="NJP411" s="120"/>
      <c r="NJQ411" s="120"/>
      <c r="NJR411" s="120"/>
      <c r="NJS411" s="120"/>
      <c r="NJT411" s="121"/>
      <c r="NJU411" s="119"/>
      <c r="NJV411" s="120"/>
      <c r="NJW411" s="120"/>
      <c r="NJX411" s="120"/>
      <c r="NJY411" s="120"/>
      <c r="NJZ411" s="120"/>
      <c r="NKA411" s="121"/>
      <c r="NKB411" s="119"/>
      <c r="NKC411" s="120"/>
      <c r="NKD411" s="120"/>
      <c r="NKE411" s="120"/>
      <c r="NKF411" s="120"/>
      <c r="NKG411" s="120"/>
      <c r="NKH411" s="121"/>
      <c r="NKI411" s="119"/>
      <c r="NKJ411" s="120"/>
      <c r="NKK411" s="120"/>
      <c r="NKL411" s="120"/>
      <c r="NKM411" s="120"/>
      <c r="NKN411" s="120"/>
      <c r="NKO411" s="121"/>
      <c r="NKP411" s="119"/>
      <c r="NKQ411" s="120"/>
      <c r="NKR411" s="120"/>
      <c r="NKS411" s="120"/>
      <c r="NKT411" s="120"/>
      <c r="NKU411" s="120"/>
      <c r="NKV411" s="121"/>
      <c r="NKW411" s="119"/>
      <c r="NKX411" s="120"/>
      <c r="NKY411" s="120"/>
      <c r="NKZ411" s="120"/>
      <c r="NLA411" s="120"/>
      <c r="NLB411" s="120"/>
      <c r="NLC411" s="121"/>
      <c r="NLD411" s="119"/>
      <c r="NLE411" s="120"/>
      <c r="NLF411" s="120"/>
      <c r="NLG411" s="120"/>
      <c r="NLH411" s="120"/>
      <c r="NLI411" s="120"/>
      <c r="NLJ411" s="121"/>
      <c r="NLK411" s="119"/>
      <c r="NLL411" s="120"/>
      <c r="NLM411" s="120"/>
      <c r="NLN411" s="120"/>
      <c r="NLO411" s="120"/>
      <c r="NLP411" s="120"/>
      <c r="NLQ411" s="121"/>
      <c r="NLR411" s="119"/>
      <c r="NLS411" s="120"/>
      <c r="NLT411" s="120"/>
      <c r="NLU411" s="120"/>
      <c r="NLV411" s="120"/>
      <c r="NLW411" s="120"/>
      <c r="NLX411" s="121"/>
      <c r="NLY411" s="119"/>
      <c r="NLZ411" s="120"/>
      <c r="NMA411" s="120"/>
      <c r="NMB411" s="120"/>
      <c r="NMC411" s="120"/>
      <c r="NMD411" s="120"/>
      <c r="NME411" s="121"/>
      <c r="NMF411" s="119"/>
      <c r="NMG411" s="120"/>
      <c r="NMH411" s="120"/>
      <c r="NMI411" s="120"/>
      <c r="NMJ411" s="120"/>
      <c r="NMK411" s="120"/>
      <c r="NML411" s="121"/>
      <c r="NMM411" s="119"/>
      <c r="NMN411" s="120"/>
      <c r="NMO411" s="120"/>
      <c r="NMP411" s="120"/>
      <c r="NMQ411" s="120"/>
      <c r="NMR411" s="120"/>
      <c r="NMS411" s="121"/>
      <c r="NMT411" s="119"/>
      <c r="NMU411" s="120"/>
      <c r="NMV411" s="120"/>
      <c r="NMW411" s="120"/>
      <c r="NMX411" s="120"/>
      <c r="NMY411" s="120"/>
      <c r="NMZ411" s="121"/>
      <c r="NNA411" s="119"/>
      <c r="NNB411" s="120"/>
      <c r="NNC411" s="120"/>
      <c r="NND411" s="120"/>
      <c r="NNE411" s="120"/>
      <c r="NNF411" s="120"/>
      <c r="NNG411" s="121"/>
      <c r="NNH411" s="119"/>
      <c r="NNI411" s="120"/>
      <c r="NNJ411" s="120"/>
      <c r="NNK411" s="120"/>
      <c r="NNL411" s="120"/>
      <c r="NNM411" s="120"/>
      <c r="NNN411" s="121"/>
      <c r="NNO411" s="119"/>
      <c r="NNP411" s="120"/>
      <c r="NNQ411" s="120"/>
      <c r="NNR411" s="120"/>
      <c r="NNS411" s="120"/>
      <c r="NNT411" s="120"/>
      <c r="NNU411" s="121"/>
      <c r="NNV411" s="119"/>
      <c r="NNW411" s="120"/>
      <c r="NNX411" s="120"/>
      <c r="NNY411" s="120"/>
      <c r="NNZ411" s="120"/>
      <c r="NOA411" s="120"/>
      <c r="NOB411" s="121"/>
      <c r="NOC411" s="119"/>
      <c r="NOD411" s="120"/>
      <c r="NOE411" s="120"/>
      <c r="NOF411" s="120"/>
      <c r="NOG411" s="120"/>
      <c r="NOH411" s="120"/>
      <c r="NOI411" s="121"/>
      <c r="NOJ411" s="119"/>
      <c r="NOK411" s="120"/>
      <c r="NOL411" s="120"/>
      <c r="NOM411" s="120"/>
      <c r="NON411" s="120"/>
      <c r="NOO411" s="120"/>
      <c r="NOP411" s="121"/>
      <c r="NOQ411" s="119"/>
      <c r="NOR411" s="120"/>
      <c r="NOS411" s="120"/>
      <c r="NOT411" s="120"/>
      <c r="NOU411" s="120"/>
      <c r="NOV411" s="120"/>
      <c r="NOW411" s="121"/>
      <c r="NOX411" s="119"/>
      <c r="NOY411" s="120"/>
      <c r="NOZ411" s="120"/>
      <c r="NPA411" s="120"/>
      <c r="NPB411" s="120"/>
      <c r="NPC411" s="120"/>
      <c r="NPD411" s="121"/>
      <c r="NPE411" s="119"/>
      <c r="NPF411" s="120"/>
      <c r="NPG411" s="120"/>
      <c r="NPH411" s="120"/>
      <c r="NPI411" s="120"/>
      <c r="NPJ411" s="120"/>
      <c r="NPK411" s="121"/>
      <c r="NPL411" s="119"/>
      <c r="NPM411" s="120"/>
      <c r="NPN411" s="120"/>
      <c r="NPO411" s="120"/>
      <c r="NPP411" s="120"/>
      <c r="NPQ411" s="120"/>
      <c r="NPR411" s="121"/>
      <c r="NPS411" s="119"/>
      <c r="NPT411" s="120"/>
      <c r="NPU411" s="120"/>
      <c r="NPV411" s="120"/>
      <c r="NPW411" s="120"/>
      <c r="NPX411" s="120"/>
      <c r="NPY411" s="121"/>
      <c r="NPZ411" s="119"/>
      <c r="NQA411" s="120"/>
      <c r="NQB411" s="120"/>
      <c r="NQC411" s="120"/>
      <c r="NQD411" s="120"/>
      <c r="NQE411" s="120"/>
      <c r="NQF411" s="121"/>
      <c r="NQG411" s="119"/>
      <c r="NQH411" s="120"/>
      <c r="NQI411" s="120"/>
      <c r="NQJ411" s="120"/>
      <c r="NQK411" s="120"/>
      <c r="NQL411" s="120"/>
      <c r="NQM411" s="121"/>
      <c r="NQN411" s="119"/>
      <c r="NQO411" s="120"/>
      <c r="NQP411" s="120"/>
      <c r="NQQ411" s="120"/>
      <c r="NQR411" s="120"/>
      <c r="NQS411" s="120"/>
      <c r="NQT411" s="121"/>
      <c r="NQU411" s="119"/>
      <c r="NQV411" s="120"/>
      <c r="NQW411" s="120"/>
      <c r="NQX411" s="120"/>
      <c r="NQY411" s="120"/>
      <c r="NQZ411" s="120"/>
      <c r="NRA411" s="121"/>
      <c r="NRB411" s="119"/>
      <c r="NRC411" s="120"/>
      <c r="NRD411" s="120"/>
      <c r="NRE411" s="120"/>
      <c r="NRF411" s="120"/>
      <c r="NRG411" s="120"/>
      <c r="NRH411" s="121"/>
      <c r="NRI411" s="119"/>
      <c r="NRJ411" s="120"/>
      <c r="NRK411" s="120"/>
      <c r="NRL411" s="120"/>
      <c r="NRM411" s="120"/>
      <c r="NRN411" s="120"/>
      <c r="NRO411" s="121"/>
      <c r="NRP411" s="119"/>
      <c r="NRQ411" s="120"/>
      <c r="NRR411" s="120"/>
      <c r="NRS411" s="120"/>
      <c r="NRT411" s="120"/>
      <c r="NRU411" s="120"/>
      <c r="NRV411" s="121"/>
      <c r="NRW411" s="119"/>
      <c r="NRX411" s="120"/>
      <c r="NRY411" s="120"/>
      <c r="NRZ411" s="120"/>
      <c r="NSA411" s="120"/>
      <c r="NSB411" s="120"/>
      <c r="NSC411" s="121"/>
      <c r="NSD411" s="119"/>
      <c r="NSE411" s="120"/>
      <c r="NSF411" s="120"/>
      <c r="NSG411" s="120"/>
      <c r="NSH411" s="120"/>
      <c r="NSI411" s="120"/>
      <c r="NSJ411" s="121"/>
      <c r="NSK411" s="119"/>
      <c r="NSL411" s="120"/>
      <c r="NSM411" s="120"/>
      <c r="NSN411" s="120"/>
      <c r="NSO411" s="120"/>
      <c r="NSP411" s="120"/>
      <c r="NSQ411" s="121"/>
      <c r="NSR411" s="119"/>
      <c r="NSS411" s="120"/>
      <c r="NST411" s="120"/>
      <c r="NSU411" s="120"/>
      <c r="NSV411" s="120"/>
      <c r="NSW411" s="120"/>
      <c r="NSX411" s="121"/>
      <c r="NSY411" s="119"/>
      <c r="NSZ411" s="120"/>
      <c r="NTA411" s="120"/>
      <c r="NTB411" s="120"/>
      <c r="NTC411" s="120"/>
      <c r="NTD411" s="120"/>
      <c r="NTE411" s="121"/>
      <c r="NTF411" s="119"/>
      <c r="NTG411" s="120"/>
      <c r="NTH411" s="120"/>
      <c r="NTI411" s="120"/>
      <c r="NTJ411" s="120"/>
      <c r="NTK411" s="120"/>
      <c r="NTL411" s="121"/>
      <c r="NTM411" s="119"/>
      <c r="NTN411" s="120"/>
      <c r="NTO411" s="120"/>
      <c r="NTP411" s="120"/>
      <c r="NTQ411" s="120"/>
      <c r="NTR411" s="120"/>
      <c r="NTS411" s="121"/>
      <c r="NTT411" s="119"/>
      <c r="NTU411" s="120"/>
      <c r="NTV411" s="120"/>
      <c r="NTW411" s="120"/>
      <c r="NTX411" s="120"/>
      <c r="NTY411" s="120"/>
      <c r="NTZ411" s="121"/>
      <c r="NUA411" s="119"/>
      <c r="NUB411" s="120"/>
      <c r="NUC411" s="120"/>
      <c r="NUD411" s="120"/>
      <c r="NUE411" s="120"/>
      <c r="NUF411" s="120"/>
      <c r="NUG411" s="121"/>
      <c r="NUH411" s="119"/>
      <c r="NUI411" s="120"/>
      <c r="NUJ411" s="120"/>
      <c r="NUK411" s="120"/>
      <c r="NUL411" s="120"/>
      <c r="NUM411" s="120"/>
      <c r="NUN411" s="121"/>
      <c r="NUO411" s="119"/>
      <c r="NUP411" s="120"/>
      <c r="NUQ411" s="120"/>
      <c r="NUR411" s="120"/>
      <c r="NUS411" s="120"/>
      <c r="NUT411" s="120"/>
      <c r="NUU411" s="121"/>
      <c r="NUV411" s="119"/>
      <c r="NUW411" s="120"/>
      <c r="NUX411" s="120"/>
      <c r="NUY411" s="120"/>
      <c r="NUZ411" s="120"/>
      <c r="NVA411" s="120"/>
      <c r="NVB411" s="121"/>
      <c r="NVC411" s="119"/>
      <c r="NVD411" s="120"/>
      <c r="NVE411" s="120"/>
      <c r="NVF411" s="120"/>
      <c r="NVG411" s="120"/>
      <c r="NVH411" s="120"/>
      <c r="NVI411" s="121"/>
      <c r="NVJ411" s="119"/>
      <c r="NVK411" s="120"/>
      <c r="NVL411" s="120"/>
      <c r="NVM411" s="120"/>
      <c r="NVN411" s="120"/>
      <c r="NVO411" s="120"/>
      <c r="NVP411" s="121"/>
      <c r="NVQ411" s="119"/>
      <c r="NVR411" s="120"/>
      <c r="NVS411" s="120"/>
      <c r="NVT411" s="120"/>
      <c r="NVU411" s="120"/>
      <c r="NVV411" s="120"/>
      <c r="NVW411" s="121"/>
      <c r="NVX411" s="119"/>
      <c r="NVY411" s="120"/>
      <c r="NVZ411" s="120"/>
      <c r="NWA411" s="120"/>
      <c r="NWB411" s="120"/>
      <c r="NWC411" s="120"/>
      <c r="NWD411" s="121"/>
      <c r="NWE411" s="119"/>
      <c r="NWF411" s="120"/>
      <c r="NWG411" s="120"/>
      <c r="NWH411" s="120"/>
      <c r="NWI411" s="120"/>
      <c r="NWJ411" s="120"/>
      <c r="NWK411" s="121"/>
      <c r="NWL411" s="119"/>
      <c r="NWM411" s="120"/>
      <c r="NWN411" s="120"/>
      <c r="NWO411" s="120"/>
      <c r="NWP411" s="120"/>
      <c r="NWQ411" s="120"/>
      <c r="NWR411" s="121"/>
      <c r="NWS411" s="119"/>
      <c r="NWT411" s="120"/>
      <c r="NWU411" s="120"/>
      <c r="NWV411" s="120"/>
      <c r="NWW411" s="120"/>
      <c r="NWX411" s="120"/>
      <c r="NWY411" s="121"/>
      <c r="NWZ411" s="119"/>
      <c r="NXA411" s="120"/>
      <c r="NXB411" s="120"/>
      <c r="NXC411" s="120"/>
      <c r="NXD411" s="120"/>
      <c r="NXE411" s="120"/>
      <c r="NXF411" s="121"/>
      <c r="NXG411" s="119"/>
      <c r="NXH411" s="120"/>
      <c r="NXI411" s="120"/>
      <c r="NXJ411" s="120"/>
      <c r="NXK411" s="120"/>
      <c r="NXL411" s="120"/>
      <c r="NXM411" s="121"/>
      <c r="NXN411" s="119"/>
      <c r="NXO411" s="120"/>
      <c r="NXP411" s="120"/>
      <c r="NXQ411" s="120"/>
      <c r="NXR411" s="120"/>
      <c r="NXS411" s="120"/>
      <c r="NXT411" s="121"/>
      <c r="NXU411" s="119"/>
      <c r="NXV411" s="120"/>
      <c r="NXW411" s="120"/>
      <c r="NXX411" s="120"/>
      <c r="NXY411" s="120"/>
      <c r="NXZ411" s="120"/>
      <c r="NYA411" s="121"/>
      <c r="NYB411" s="119"/>
      <c r="NYC411" s="120"/>
      <c r="NYD411" s="120"/>
      <c r="NYE411" s="120"/>
      <c r="NYF411" s="120"/>
      <c r="NYG411" s="120"/>
      <c r="NYH411" s="121"/>
      <c r="NYI411" s="119"/>
      <c r="NYJ411" s="120"/>
      <c r="NYK411" s="120"/>
      <c r="NYL411" s="120"/>
      <c r="NYM411" s="120"/>
      <c r="NYN411" s="120"/>
      <c r="NYO411" s="121"/>
      <c r="NYP411" s="119"/>
      <c r="NYQ411" s="120"/>
      <c r="NYR411" s="120"/>
      <c r="NYS411" s="120"/>
      <c r="NYT411" s="120"/>
      <c r="NYU411" s="120"/>
      <c r="NYV411" s="121"/>
      <c r="NYW411" s="119"/>
      <c r="NYX411" s="120"/>
      <c r="NYY411" s="120"/>
      <c r="NYZ411" s="120"/>
      <c r="NZA411" s="120"/>
      <c r="NZB411" s="120"/>
      <c r="NZC411" s="121"/>
      <c r="NZD411" s="119"/>
      <c r="NZE411" s="120"/>
      <c r="NZF411" s="120"/>
      <c r="NZG411" s="120"/>
      <c r="NZH411" s="120"/>
      <c r="NZI411" s="120"/>
      <c r="NZJ411" s="121"/>
      <c r="NZK411" s="119"/>
      <c r="NZL411" s="120"/>
      <c r="NZM411" s="120"/>
      <c r="NZN411" s="120"/>
      <c r="NZO411" s="120"/>
      <c r="NZP411" s="120"/>
      <c r="NZQ411" s="121"/>
      <c r="NZR411" s="119"/>
      <c r="NZS411" s="120"/>
      <c r="NZT411" s="120"/>
      <c r="NZU411" s="120"/>
      <c r="NZV411" s="120"/>
      <c r="NZW411" s="120"/>
      <c r="NZX411" s="121"/>
      <c r="NZY411" s="119"/>
      <c r="NZZ411" s="120"/>
      <c r="OAA411" s="120"/>
      <c r="OAB411" s="120"/>
      <c r="OAC411" s="120"/>
      <c r="OAD411" s="120"/>
      <c r="OAE411" s="121"/>
      <c r="OAF411" s="119"/>
      <c r="OAG411" s="120"/>
      <c r="OAH411" s="120"/>
      <c r="OAI411" s="120"/>
      <c r="OAJ411" s="120"/>
      <c r="OAK411" s="120"/>
      <c r="OAL411" s="121"/>
      <c r="OAM411" s="119"/>
      <c r="OAN411" s="120"/>
      <c r="OAO411" s="120"/>
      <c r="OAP411" s="120"/>
      <c r="OAQ411" s="120"/>
      <c r="OAR411" s="120"/>
      <c r="OAS411" s="121"/>
      <c r="OAT411" s="119"/>
      <c r="OAU411" s="120"/>
      <c r="OAV411" s="120"/>
      <c r="OAW411" s="120"/>
      <c r="OAX411" s="120"/>
      <c r="OAY411" s="120"/>
      <c r="OAZ411" s="121"/>
      <c r="OBA411" s="119"/>
      <c r="OBB411" s="120"/>
      <c r="OBC411" s="120"/>
      <c r="OBD411" s="120"/>
      <c r="OBE411" s="120"/>
      <c r="OBF411" s="120"/>
      <c r="OBG411" s="121"/>
      <c r="OBH411" s="119"/>
      <c r="OBI411" s="120"/>
      <c r="OBJ411" s="120"/>
      <c r="OBK411" s="120"/>
      <c r="OBL411" s="120"/>
      <c r="OBM411" s="120"/>
      <c r="OBN411" s="121"/>
      <c r="OBO411" s="119"/>
      <c r="OBP411" s="120"/>
      <c r="OBQ411" s="120"/>
      <c r="OBR411" s="120"/>
      <c r="OBS411" s="120"/>
      <c r="OBT411" s="120"/>
      <c r="OBU411" s="121"/>
      <c r="OBV411" s="119"/>
      <c r="OBW411" s="120"/>
      <c r="OBX411" s="120"/>
      <c r="OBY411" s="120"/>
      <c r="OBZ411" s="120"/>
      <c r="OCA411" s="120"/>
      <c r="OCB411" s="121"/>
      <c r="OCC411" s="119"/>
      <c r="OCD411" s="120"/>
      <c r="OCE411" s="120"/>
      <c r="OCF411" s="120"/>
      <c r="OCG411" s="120"/>
      <c r="OCH411" s="120"/>
      <c r="OCI411" s="121"/>
      <c r="OCJ411" s="119"/>
      <c r="OCK411" s="120"/>
      <c r="OCL411" s="120"/>
      <c r="OCM411" s="120"/>
      <c r="OCN411" s="120"/>
      <c r="OCO411" s="120"/>
      <c r="OCP411" s="121"/>
      <c r="OCQ411" s="119"/>
      <c r="OCR411" s="120"/>
      <c r="OCS411" s="120"/>
      <c r="OCT411" s="120"/>
      <c r="OCU411" s="120"/>
      <c r="OCV411" s="120"/>
      <c r="OCW411" s="121"/>
      <c r="OCX411" s="119"/>
      <c r="OCY411" s="120"/>
      <c r="OCZ411" s="120"/>
      <c r="ODA411" s="120"/>
      <c r="ODB411" s="120"/>
      <c r="ODC411" s="120"/>
      <c r="ODD411" s="121"/>
      <c r="ODE411" s="119"/>
      <c r="ODF411" s="120"/>
      <c r="ODG411" s="120"/>
      <c r="ODH411" s="120"/>
      <c r="ODI411" s="120"/>
      <c r="ODJ411" s="120"/>
      <c r="ODK411" s="121"/>
      <c r="ODL411" s="119"/>
      <c r="ODM411" s="120"/>
      <c r="ODN411" s="120"/>
      <c r="ODO411" s="120"/>
      <c r="ODP411" s="120"/>
      <c r="ODQ411" s="120"/>
      <c r="ODR411" s="121"/>
      <c r="ODS411" s="119"/>
      <c r="ODT411" s="120"/>
      <c r="ODU411" s="120"/>
      <c r="ODV411" s="120"/>
      <c r="ODW411" s="120"/>
      <c r="ODX411" s="120"/>
      <c r="ODY411" s="121"/>
      <c r="ODZ411" s="119"/>
      <c r="OEA411" s="120"/>
      <c r="OEB411" s="120"/>
      <c r="OEC411" s="120"/>
      <c r="OED411" s="120"/>
      <c r="OEE411" s="120"/>
      <c r="OEF411" s="121"/>
      <c r="OEG411" s="119"/>
      <c r="OEH411" s="120"/>
      <c r="OEI411" s="120"/>
      <c r="OEJ411" s="120"/>
      <c r="OEK411" s="120"/>
      <c r="OEL411" s="120"/>
      <c r="OEM411" s="121"/>
      <c r="OEN411" s="119"/>
      <c r="OEO411" s="120"/>
      <c r="OEP411" s="120"/>
      <c r="OEQ411" s="120"/>
      <c r="OER411" s="120"/>
      <c r="OES411" s="120"/>
      <c r="OET411" s="121"/>
      <c r="OEU411" s="119"/>
      <c r="OEV411" s="120"/>
      <c r="OEW411" s="120"/>
      <c r="OEX411" s="120"/>
      <c r="OEY411" s="120"/>
      <c r="OEZ411" s="120"/>
      <c r="OFA411" s="121"/>
      <c r="OFB411" s="119"/>
      <c r="OFC411" s="120"/>
      <c r="OFD411" s="120"/>
      <c r="OFE411" s="120"/>
      <c r="OFF411" s="120"/>
      <c r="OFG411" s="120"/>
      <c r="OFH411" s="121"/>
      <c r="OFI411" s="119"/>
      <c r="OFJ411" s="120"/>
      <c r="OFK411" s="120"/>
      <c r="OFL411" s="120"/>
      <c r="OFM411" s="120"/>
      <c r="OFN411" s="120"/>
      <c r="OFO411" s="121"/>
      <c r="OFP411" s="119"/>
      <c r="OFQ411" s="120"/>
      <c r="OFR411" s="120"/>
      <c r="OFS411" s="120"/>
      <c r="OFT411" s="120"/>
      <c r="OFU411" s="120"/>
      <c r="OFV411" s="121"/>
      <c r="OFW411" s="119"/>
      <c r="OFX411" s="120"/>
      <c r="OFY411" s="120"/>
      <c r="OFZ411" s="120"/>
      <c r="OGA411" s="120"/>
      <c r="OGB411" s="120"/>
      <c r="OGC411" s="121"/>
      <c r="OGD411" s="119"/>
      <c r="OGE411" s="120"/>
      <c r="OGF411" s="120"/>
      <c r="OGG411" s="120"/>
      <c r="OGH411" s="120"/>
      <c r="OGI411" s="120"/>
      <c r="OGJ411" s="121"/>
      <c r="OGK411" s="119"/>
      <c r="OGL411" s="120"/>
      <c r="OGM411" s="120"/>
      <c r="OGN411" s="120"/>
      <c r="OGO411" s="120"/>
      <c r="OGP411" s="120"/>
      <c r="OGQ411" s="121"/>
      <c r="OGR411" s="119"/>
      <c r="OGS411" s="120"/>
      <c r="OGT411" s="120"/>
      <c r="OGU411" s="120"/>
      <c r="OGV411" s="120"/>
      <c r="OGW411" s="120"/>
      <c r="OGX411" s="121"/>
      <c r="OGY411" s="119"/>
      <c r="OGZ411" s="120"/>
      <c r="OHA411" s="120"/>
      <c r="OHB411" s="120"/>
      <c r="OHC411" s="120"/>
      <c r="OHD411" s="120"/>
      <c r="OHE411" s="121"/>
      <c r="OHF411" s="119"/>
      <c r="OHG411" s="120"/>
      <c r="OHH411" s="120"/>
      <c r="OHI411" s="120"/>
      <c r="OHJ411" s="120"/>
      <c r="OHK411" s="120"/>
      <c r="OHL411" s="121"/>
      <c r="OHM411" s="119"/>
      <c r="OHN411" s="120"/>
      <c r="OHO411" s="120"/>
      <c r="OHP411" s="120"/>
      <c r="OHQ411" s="120"/>
      <c r="OHR411" s="120"/>
      <c r="OHS411" s="121"/>
      <c r="OHT411" s="119"/>
      <c r="OHU411" s="120"/>
      <c r="OHV411" s="120"/>
      <c r="OHW411" s="120"/>
      <c r="OHX411" s="120"/>
      <c r="OHY411" s="120"/>
      <c r="OHZ411" s="121"/>
      <c r="OIA411" s="119"/>
      <c r="OIB411" s="120"/>
      <c r="OIC411" s="120"/>
      <c r="OID411" s="120"/>
      <c r="OIE411" s="120"/>
      <c r="OIF411" s="120"/>
      <c r="OIG411" s="121"/>
      <c r="OIH411" s="119"/>
      <c r="OII411" s="120"/>
      <c r="OIJ411" s="120"/>
      <c r="OIK411" s="120"/>
      <c r="OIL411" s="120"/>
      <c r="OIM411" s="120"/>
      <c r="OIN411" s="121"/>
      <c r="OIO411" s="119"/>
      <c r="OIP411" s="120"/>
      <c r="OIQ411" s="120"/>
      <c r="OIR411" s="120"/>
      <c r="OIS411" s="120"/>
      <c r="OIT411" s="120"/>
      <c r="OIU411" s="121"/>
      <c r="OIV411" s="119"/>
      <c r="OIW411" s="120"/>
      <c r="OIX411" s="120"/>
      <c r="OIY411" s="120"/>
      <c r="OIZ411" s="120"/>
      <c r="OJA411" s="120"/>
      <c r="OJB411" s="121"/>
      <c r="OJC411" s="119"/>
      <c r="OJD411" s="120"/>
      <c r="OJE411" s="120"/>
      <c r="OJF411" s="120"/>
      <c r="OJG411" s="120"/>
      <c r="OJH411" s="120"/>
      <c r="OJI411" s="121"/>
      <c r="OJJ411" s="119"/>
      <c r="OJK411" s="120"/>
      <c r="OJL411" s="120"/>
      <c r="OJM411" s="120"/>
      <c r="OJN411" s="120"/>
      <c r="OJO411" s="120"/>
      <c r="OJP411" s="121"/>
      <c r="OJQ411" s="119"/>
      <c r="OJR411" s="120"/>
      <c r="OJS411" s="120"/>
      <c r="OJT411" s="120"/>
      <c r="OJU411" s="120"/>
      <c r="OJV411" s="120"/>
      <c r="OJW411" s="121"/>
      <c r="OJX411" s="119"/>
      <c r="OJY411" s="120"/>
      <c r="OJZ411" s="120"/>
      <c r="OKA411" s="120"/>
      <c r="OKB411" s="120"/>
      <c r="OKC411" s="120"/>
      <c r="OKD411" s="121"/>
      <c r="OKE411" s="119"/>
      <c r="OKF411" s="120"/>
      <c r="OKG411" s="120"/>
      <c r="OKH411" s="120"/>
      <c r="OKI411" s="120"/>
      <c r="OKJ411" s="120"/>
      <c r="OKK411" s="121"/>
      <c r="OKL411" s="119"/>
      <c r="OKM411" s="120"/>
      <c r="OKN411" s="120"/>
      <c r="OKO411" s="120"/>
      <c r="OKP411" s="120"/>
      <c r="OKQ411" s="120"/>
      <c r="OKR411" s="121"/>
      <c r="OKS411" s="119"/>
      <c r="OKT411" s="120"/>
      <c r="OKU411" s="120"/>
      <c r="OKV411" s="120"/>
      <c r="OKW411" s="120"/>
      <c r="OKX411" s="120"/>
      <c r="OKY411" s="121"/>
      <c r="OKZ411" s="119"/>
      <c r="OLA411" s="120"/>
      <c r="OLB411" s="120"/>
      <c r="OLC411" s="120"/>
      <c r="OLD411" s="120"/>
      <c r="OLE411" s="120"/>
      <c r="OLF411" s="121"/>
      <c r="OLG411" s="119"/>
      <c r="OLH411" s="120"/>
      <c r="OLI411" s="120"/>
      <c r="OLJ411" s="120"/>
      <c r="OLK411" s="120"/>
      <c r="OLL411" s="120"/>
      <c r="OLM411" s="121"/>
      <c r="OLN411" s="119"/>
      <c r="OLO411" s="120"/>
      <c r="OLP411" s="120"/>
      <c r="OLQ411" s="120"/>
      <c r="OLR411" s="120"/>
      <c r="OLS411" s="120"/>
      <c r="OLT411" s="121"/>
      <c r="OLU411" s="119"/>
      <c r="OLV411" s="120"/>
      <c r="OLW411" s="120"/>
      <c r="OLX411" s="120"/>
      <c r="OLY411" s="120"/>
      <c r="OLZ411" s="120"/>
      <c r="OMA411" s="121"/>
      <c r="OMB411" s="119"/>
      <c r="OMC411" s="120"/>
      <c r="OMD411" s="120"/>
      <c r="OME411" s="120"/>
      <c r="OMF411" s="120"/>
      <c r="OMG411" s="120"/>
      <c r="OMH411" s="121"/>
      <c r="OMI411" s="119"/>
      <c r="OMJ411" s="120"/>
      <c r="OMK411" s="120"/>
      <c r="OML411" s="120"/>
      <c r="OMM411" s="120"/>
      <c r="OMN411" s="120"/>
      <c r="OMO411" s="121"/>
      <c r="OMP411" s="119"/>
      <c r="OMQ411" s="120"/>
      <c r="OMR411" s="120"/>
      <c r="OMS411" s="120"/>
      <c r="OMT411" s="120"/>
      <c r="OMU411" s="120"/>
      <c r="OMV411" s="121"/>
      <c r="OMW411" s="119"/>
      <c r="OMX411" s="120"/>
      <c r="OMY411" s="120"/>
      <c r="OMZ411" s="120"/>
      <c r="ONA411" s="120"/>
      <c r="ONB411" s="120"/>
      <c r="ONC411" s="121"/>
      <c r="OND411" s="119"/>
      <c r="ONE411" s="120"/>
      <c r="ONF411" s="120"/>
      <c r="ONG411" s="120"/>
      <c r="ONH411" s="120"/>
      <c r="ONI411" s="120"/>
      <c r="ONJ411" s="121"/>
      <c r="ONK411" s="119"/>
      <c r="ONL411" s="120"/>
      <c r="ONM411" s="120"/>
      <c r="ONN411" s="120"/>
      <c r="ONO411" s="120"/>
      <c r="ONP411" s="120"/>
      <c r="ONQ411" s="121"/>
      <c r="ONR411" s="119"/>
      <c r="ONS411" s="120"/>
      <c r="ONT411" s="120"/>
      <c r="ONU411" s="120"/>
      <c r="ONV411" s="120"/>
      <c r="ONW411" s="120"/>
      <c r="ONX411" s="121"/>
      <c r="ONY411" s="119"/>
      <c r="ONZ411" s="120"/>
      <c r="OOA411" s="120"/>
      <c r="OOB411" s="120"/>
      <c r="OOC411" s="120"/>
      <c r="OOD411" s="120"/>
      <c r="OOE411" s="121"/>
      <c r="OOF411" s="119"/>
      <c r="OOG411" s="120"/>
      <c r="OOH411" s="120"/>
      <c r="OOI411" s="120"/>
      <c r="OOJ411" s="120"/>
      <c r="OOK411" s="120"/>
      <c r="OOL411" s="121"/>
      <c r="OOM411" s="119"/>
      <c r="OON411" s="120"/>
      <c r="OOO411" s="120"/>
      <c r="OOP411" s="120"/>
      <c r="OOQ411" s="120"/>
      <c r="OOR411" s="120"/>
      <c r="OOS411" s="121"/>
      <c r="OOT411" s="119"/>
      <c r="OOU411" s="120"/>
      <c r="OOV411" s="120"/>
      <c r="OOW411" s="120"/>
      <c r="OOX411" s="120"/>
      <c r="OOY411" s="120"/>
      <c r="OOZ411" s="121"/>
      <c r="OPA411" s="119"/>
      <c r="OPB411" s="120"/>
      <c r="OPC411" s="120"/>
      <c r="OPD411" s="120"/>
      <c r="OPE411" s="120"/>
      <c r="OPF411" s="120"/>
      <c r="OPG411" s="121"/>
      <c r="OPH411" s="119"/>
      <c r="OPI411" s="120"/>
      <c r="OPJ411" s="120"/>
      <c r="OPK411" s="120"/>
      <c r="OPL411" s="120"/>
      <c r="OPM411" s="120"/>
      <c r="OPN411" s="121"/>
      <c r="OPO411" s="119"/>
      <c r="OPP411" s="120"/>
      <c r="OPQ411" s="120"/>
      <c r="OPR411" s="120"/>
      <c r="OPS411" s="120"/>
      <c r="OPT411" s="120"/>
      <c r="OPU411" s="121"/>
      <c r="OPV411" s="119"/>
      <c r="OPW411" s="120"/>
      <c r="OPX411" s="120"/>
      <c r="OPY411" s="120"/>
      <c r="OPZ411" s="120"/>
      <c r="OQA411" s="120"/>
      <c r="OQB411" s="121"/>
      <c r="OQC411" s="119"/>
      <c r="OQD411" s="120"/>
      <c r="OQE411" s="120"/>
      <c r="OQF411" s="120"/>
      <c r="OQG411" s="120"/>
      <c r="OQH411" s="120"/>
      <c r="OQI411" s="121"/>
      <c r="OQJ411" s="119"/>
      <c r="OQK411" s="120"/>
      <c r="OQL411" s="120"/>
      <c r="OQM411" s="120"/>
      <c r="OQN411" s="120"/>
      <c r="OQO411" s="120"/>
      <c r="OQP411" s="121"/>
      <c r="OQQ411" s="119"/>
      <c r="OQR411" s="120"/>
      <c r="OQS411" s="120"/>
      <c r="OQT411" s="120"/>
      <c r="OQU411" s="120"/>
      <c r="OQV411" s="120"/>
      <c r="OQW411" s="121"/>
      <c r="OQX411" s="119"/>
      <c r="OQY411" s="120"/>
      <c r="OQZ411" s="120"/>
      <c r="ORA411" s="120"/>
      <c r="ORB411" s="120"/>
      <c r="ORC411" s="120"/>
      <c r="ORD411" s="121"/>
      <c r="ORE411" s="119"/>
      <c r="ORF411" s="120"/>
      <c r="ORG411" s="120"/>
      <c r="ORH411" s="120"/>
      <c r="ORI411" s="120"/>
      <c r="ORJ411" s="120"/>
      <c r="ORK411" s="121"/>
      <c r="ORL411" s="119"/>
      <c r="ORM411" s="120"/>
      <c r="ORN411" s="120"/>
      <c r="ORO411" s="120"/>
      <c r="ORP411" s="120"/>
      <c r="ORQ411" s="120"/>
      <c r="ORR411" s="121"/>
      <c r="ORS411" s="119"/>
      <c r="ORT411" s="120"/>
      <c r="ORU411" s="120"/>
      <c r="ORV411" s="120"/>
      <c r="ORW411" s="120"/>
      <c r="ORX411" s="120"/>
      <c r="ORY411" s="121"/>
      <c r="ORZ411" s="119"/>
      <c r="OSA411" s="120"/>
      <c r="OSB411" s="120"/>
      <c r="OSC411" s="120"/>
      <c r="OSD411" s="120"/>
      <c r="OSE411" s="120"/>
      <c r="OSF411" s="121"/>
      <c r="OSG411" s="119"/>
      <c r="OSH411" s="120"/>
      <c r="OSI411" s="120"/>
      <c r="OSJ411" s="120"/>
      <c r="OSK411" s="120"/>
      <c r="OSL411" s="120"/>
      <c r="OSM411" s="121"/>
      <c r="OSN411" s="119"/>
      <c r="OSO411" s="120"/>
      <c r="OSP411" s="120"/>
      <c r="OSQ411" s="120"/>
      <c r="OSR411" s="120"/>
      <c r="OSS411" s="120"/>
      <c r="OST411" s="121"/>
      <c r="OSU411" s="119"/>
      <c r="OSV411" s="120"/>
      <c r="OSW411" s="120"/>
      <c r="OSX411" s="120"/>
      <c r="OSY411" s="120"/>
      <c r="OSZ411" s="120"/>
      <c r="OTA411" s="121"/>
      <c r="OTB411" s="119"/>
      <c r="OTC411" s="120"/>
      <c r="OTD411" s="120"/>
      <c r="OTE411" s="120"/>
      <c r="OTF411" s="120"/>
      <c r="OTG411" s="120"/>
      <c r="OTH411" s="121"/>
      <c r="OTI411" s="119"/>
      <c r="OTJ411" s="120"/>
      <c r="OTK411" s="120"/>
      <c r="OTL411" s="120"/>
      <c r="OTM411" s="120"/>
      <c r="OTN411" s="120"/>
      <c r="OTO411" s="121"/>
      <c r="OTP411" s="119"/>
      <c r="OTQ411" s="120"/>
      <c r="OTR411" s="120"/>
      <c r="OTS411" s="120"/>
      <c r="OTT411" s="120"/>
      <c r="OTU411" s="120"/>
      <c r="OTV411" s="121"/>
      <c r="OTW411" s="119"/>
      <c r="OTX411" s="120"/>
      <c r="OTY411" s="120"/>
      <c r="OTZ411" s="120"/>
      <c r="OUA411" s="120"/>
      <c r="OUB411" s="120"/>
      <c r="OUC411" s="121"/>
      <c r="OUD411" s="119"/>
      <c r="OUE411" s="120"/>
      <c r="OUF411" s="120"/>
      <c r="OUG411" s="120"/>
      <c r="OUH411" s="120"/>
      <c r="OUI411" s="120"/>
      <c r="OUJ411" s="121"/>
      <c r="OUK411" s="119"/>
      <c r="OUL411" s="120"/>
      <c r="OUM411" s="120"/>
      <c r="OUN411" s="120"/>
      <c r="OUO411" s="120"/>
      <c r="OUP411" s="120"/>
      <c r="OUQ411" s="121"/>
      <c r="OUR411" s="119"/>
      <c r="OUS411" s="120"/>
      <c r="OUT411" s="120"/>
      <c r="OUU411" s="120"/>
      <c r="OUV411" s="120"/>
      <c r="OUW411" s="120"/>
      <c r="OUX411" s="121"/>
      <c r="OUY411" s="119"/>
      <c r="OUZ411" s="120"/>
      <c r="OVA411" s="120"/>
      <c r="OVB411" s="120"/>
      <c r="OVC411" s="120"/>
      <c r="OVD411" s="120"/>
      <c r="OVE411" s="121"/>
      <c r="OVF411" s="119"/>
      <c r="OVG411" s="120"/>
      <c r="OVH411" s="120"/>
      <c r="OVI411" s="120"/>
      <c r="OVJ411" s="120"/>
      <c r="OVK411" s="120"/>
      <c r="OVL411" s="121"/>
      <c r="OVM411" s="119"/>
      <c r="OVN411" s="120"/>
      <c r="OVO411" s="120"/>
      <c r="OVP411" s="120"/>
      <c r="OVQ411" s="120"/>
      <c r="OVR411" s="120"/>
      <c r="OVS411" s="121"/>
      <c r="OVT411" s="119"/>
      <c r="OVU411" s="120"/>
      <c r="OVV411" s="120"/>
      <c r="OVW411" s="120"/>
      <c r="OVX411" s="120"/>
      <c r="OVY411" s="120"/>
      <c r="OVZ411" s="121"/>
      <c r="OWA411" s="119"/>
      <c r="OWB411" s="120"/>
      <c r="OWC411" s="120"/>
      <c r="OWD411" s="120"/>
      <c r="OWE411" s="120"/>
      <c r="OWF411" s="120"/>
      <c r="OWG411" s="121"/>
      <c r="OWH411" s="119"/>
      <c r="OWI411" s="120"/>
      <c r="OWJ411" s="120"/>
      <c r="OWK411" s="120"/>
      <c r="OWL411" s="120"/>
      <c r="OWM411" s="120"/>
      <c r="OWN411" s="121"/>
      <c r="OWO411" s="119"/>
      <c r="OWP411" s="120"/>
      <c r="OWQ411" s="120"/>
      <c r="OWR411" s="120"/>
      <c r="OWS411" s="120"/>
      <c r="OWT411" s="120"/>
      <c r="OWU411" s="121"/>
      <c r="OWV411" s="119"/>
      <c r="OWW411" s="120"/>
      <c r="OWX411" s="120"/>
      <c r="OWY411" s="120"/>
      <c r="OWZ411" s="120"/>
      <c r="OXA411" s="120"/>
      <c r="OXB411" s="121"/>
      <c r="OXC411" s="119"/>
      <c r="OXD411" s="120"/>
      <c r="OXE411" s="120"/>
      <c r="OXF411" s="120"/>
      <c r="OXG411" s="120"/>
      <c r="OXH411" s="120"/>
      <c r="OXI411" s="121"/>
      <c r="OXJ411" s="119"/>
      <c r="OXK411" s="120"/>
      <c r="OXL411" s="120"/>
      <c r="OXM411" s="120"/>
      <c r="OXN411" s="120"/>
      <c r="OXO411" s="120"/>
      <c r="OXP411" s="121"/>
      <c r="OXQ411" s="119"/>
      <c r="OXR411" s="120"/>
      <c r="OXS411" s="120"/>
      <c r="OXT411" s="120"/>
      <c r="OXU411" s="120"/>
      <c r="OXV411" s="120"/>
      <c r="OXW411" s="121"/>
      <c r="OXX411" s="119"/>
      <c r="OXY411" s="120"/>
      <c r="OXZ411" s="120"/>
      <c r="OYA411" s="120"/>
      <c r="OYB411" s="120"/>
      <c r="OYC411" s="120"/>
      <c r="OYD411" s="121"/>
      <c r="OYE411" s="119"/>
      <c r="OYF411" s="120"/>
      <c r="OYG411" s="120"/>
      <c r="OYH411" s="120"/>
      <c r="OYI411" s="120"/>
      <c r="OYJ411" s="120"/>
      <c r="OYK411" s="121"/>
      <c r="OYL411" s="119"/>
      <c r="OYM411" s="120"/>
      <c r="OYN411" s="120"/>
      <c r="OYO411" s="120"/>
      <c r="OYP411" s="120"/>
      <c r="OYQ411" s="120"/>
      <c r="OYR411" s="121"/>
      <c r="OYS411" s="119"/>
      <c r="OYT411" s="120"/>
      <c r="OYU411" s="120"/>
      <c r="OYV411" s="120"/>
      <c r="OYW411" s="120"/>
      <c r="OYX411" s="120"/>
      <c r="OYY411" s="121"/>
      <c r="OYZ411" s="119"/>
      <c r="OZA411" s="120"/>
      <c r="OZB411" s="120"/>
      <c r="OZC411" s="120"/>
      <c r="OZD411" s="120"/>
      <c r="OZE411" s="120"/>
      <c r="OZF411" s="121"/>
      <c r="OZG411" s="119"/>
      <c r="OZH411" s="120"/>
      <c r="OZI411" s="120"/>
      <c r="OZJ411" s="120"/>
      <c r="OZK411" s="120"/>
      <c r="OZL411" s="120"/>
      <c r="OZM411" s="121"/>
      <c r="OZN411" s="119"/>
      <c r="OZO411" s="120"/>
      <c r="OZP411" s="120"/>
      <c r="OZQ411" s="120"/>
      <c r="OZR411" s="120"/>
      <c r="OZS411" s="120"/>
      <c r="OZT411" s="121"/>
      <c r="OZU411" s="119"/>
      <c r="OZV411" s="120"/>
      <c r="OZW411" s="120"/>
      <c r="OZX411" s="120"/>
      <c r="OZY411" s="120"/>
      <c r="OZZ411" s="120"/>
      <c r="PAA411" s="121"/>
      <c r="PAB411" s="119"/>
      <c r="PAC411" s="120"/>
      <c r="PAD411" s="120"/>
      <c r="PAE411" s="120"/>
      <c r="PAF411" s="120"/>
      <c r="PAG411" s="120"/>
      <c r="PAH411" s="121"/>
      <c r="PAI411" s="119"/>
      <c r="PAJ411" s="120"/>
      <c r="PAK411" s="120"/>
      <c r="PAL411" s="120"/>
      <c r="PAM411" s="120"/>
      <c r="PAN411" s="120"/>
      <c r="PAO411" s="121"/>
      <c r="PAP411" s="119"/>
      <c r="PAQ411" s="120"/>
      <c r="PAR411" s="120"/>
      <c r="PAS411" s="120"/>
      <c r="PAT411" s="120"/>
      <c r="PAU411" s="120"/>
      <c r="PAV411" s="121"/>
      <c r="PAW411" s="119"/>
      <c r="PAX411" s="120"/>
      <c r="PAY411" s="120"/>
      <c r="PAZ411" s="120"/>
      <c r="PBA411" s="120"/>
      <c r="PBB411" s="120"/>
      <c r="PBC411" s="121"/>
      <c r="PBD411" s="119"/>
      <c r="PBE411" s="120"/>
      <c r="PBF411" s="120"/>
      <c r="PBG411" s="120"/>
      <c r="PBH411" s="120"/>
      <c r="PBI411" s="120"/>
      <c r="PBJ411" s="121"/>
      <c r="PBK411" s="119"/>
      <c r="PBL411" s="120"/>
      <c r="PBM411" s="120"/>
      <c r="PBN411" s="120"/>
      <c r="PBO411" s="120"/>
      <c r="PBP411" s="120"/>
      <c r="PBQ411" s="121"/>
      <c r="PBR411" s="119"/>
      <c r="PBS411" s="120"/>
      <c r="PBT411" s="120"/>
      <c r="PBU411" s="120"/>
      <c r="PBV411" s="120"/>
      <c r="PBW411" s="120"/>
      <c r="PBX411" s="121"/>
      <c r="PBY411" s="119"/>
      <c r="PBZ411" s="120"/>
      <c r="PCA411" s="120"/>
      <c r="PCB411" s="120"/>
      <c r="PCC411" s="120"/>
      <c r="PCD411" s="120"/>
      <c r="PCE411" s="121"/>
      <c r="PCF411" s="119"/>
      <c r="PCG411" s="120"/>
      <c r="PCH411" s="120"/>
      <c r="PCI411" s="120"/>
      <c r="PCJ411" s="120"/>
      <c r="PCK411" s="120"/>
      <c r="PCL411" s="121"/>
      <c r="PCM411" s="119"/>
      <c r="PCN411" s="120"/>
      <c r="PCO411" s="120"/>
      <c r="PCP411" s="120"/>
      <c r="PCQ411" s="120"/>
      <c r="PCR411" s="120"/>
      <c r="PCS411" s="121"/>
      <c r="PCT411" s="119"/>
      <c r="PCU411" s="120"/>
      <c r="PCV411" s="120"/>
      <c r="PCW411" s="120"/>
      <c r="PCX411" s="120"/>
      <c r="PCY411" s="120"/>
      <c r="PCZ411" s="121"/>
      <c r="PDA411" s="119"/>
      <c r="PDB411" s="120"/>
      <c r="PDC411" s="120"/>
      <c r="PDD411" s="120"/>
      <c r="PDE411" s="120"/>
      <c r="PDF411" s="120"/>
      <c r="PDG411" s="121"/>
      <c r="PDH411" s="119"/>
      <c r="PDI411" s="120"/>
      <c r="PDJ411" s="120"/>
      <c r="PDK411" s="120"/>
      <c r="PDL411" s="120"/>
      <c r="PDM411" s="120"/>
      <c r="PDN411" s="121"/>
      <c r="PDO411" s="119"/>
      <c r="PDP411" s="120"/>
      <c r="PDQ411" s="120"/>
      <c r="PDR411" s="120"/>
      <c r="PDS411" s="120"/>
      <c r="PDT411" s="120"/>
      <c r="PDU411" s="121"/>
      <c r="PDV411" s="119"/>
      <c r="PDW411" s="120"/>
      <c r="PDX411" s="120"/>
      <c r="PDY411" s="120"/>
      <c r="PDZ411" s="120"/>
      <c r="PEA411" s="120"/>
      <c r="PEB411" s="121"/>
      <c r="PEC411" s="119"/>
      <c r="PED411" s="120"/>
      <c r="PEE411" s="120"/>
      <c r="PEF411" s="120"/>
      <c r="PEG411" s="120"/>
      <c r="PEH411" s="120"/>
      <c r="PEI411" s="121"/>
      <c r="PEJ411" s="119"/>
      <c r="PEK411" s="120"/>
      <c r="PEL411" s="120"/>
      <c r="PEM411" s="120"/>
      <c r="PEN411" s="120"/>
      <c r="PEO411" s="120"/>
      <c r="PEP411" s="121"/>
      <c r="PEQ411" s="119"/>
      <c r="PER411" s="120"/>
      <c r="PES411" s="120"/>
      <c r="PET411" s="120"/>
      <c r="PEU411" s="120"/>
      <c r="PEV411" s="120"/>
      <c r="PEW411" s="121"/>
      <c r="PEX411" s="119"/>
      <c r="PEY411" s="120"/>
      <c r="PEZ411" s="120"/>
      <c r="PFA411" s="120"/>
      <c r="PFB411" s="120"/>
      <c r="PFC411" s="120"/>
      <c r="PFD411" s="121"/>
      <c r="PFE411" s="119"/>
      <c r="PFF411" s="120"/>
      <c r="PFG411" s="120"/>
      <c r="PFH411" s="120"/>
      <c r="PFI411" s="120"/>
      <c r="PFJ411" s="120"/>
      <c r="PFK411" s="121"/>
      <c r="PFL411" s="119"/>
      <c r="PFM411" s="120"/>
      <c r="PFN411" s="120"/>
      <c r="PFO411" s="120"/>
      <c r="PFP411" s="120"/>
      <c r="PFQ411" s="120"/>
      <c r="PFR411" s="121"/>
      <c r="PFS411" s="119"/>
      <c r="PFT411" s="120"/>
      <c r="PFU411" s="120"/>
      <c r="PFV411" s="120"/>
      <c r="PFW411" s="120"/>
      <c r="PFX411" s="120"/>
      <c r="PFY411" s="121"/>
      <c r="PFZ411" s="119"/>
      <c r="PGA411" s="120"/>
      <c r="PGB411" s="120"/>
      <c r="PGC411" s="120"/>
      <c r="PGD411" s="120"/>
      <c r="PGE411" s="120"/>
      <c r="PGF411" s="121"/>
      <c r="PGG411" s="119"/>
      <c r="PGH411" s="120"/>
      <c r="PGI411" s="120"/>
      <c r="PGJ411" s="120"/>
      <c r="PGK411" s="120"/>
      <c r="PGL411" s="120"/>
      <c r="PGM411" s="121"/>
      <c r="PGN411" s="119"/>
      <c r="PGO411" s="120"/>
      <c r="PGP411" s="120"/>
      <c r="PGQ411" s="120"/>
      <c r="PGR411" s="120"/>
      <c r="PGS411" s="120"/>
      <c r="PGT411" s="121"/>
      <c r="PGU411" s="119"/>
      <c r="PGV411" s="120"/>
      <c r="PGW411" s="120"/>
      <c r="PGX411" s="120"/>
      <c r="PGY411" s="120"/>
      <c r="PGZ411" s="120"/>
      <c r="PHA411" s="121"/>
      <c r="PHB411" s="119"/>
      <c r="PHC411" s="120"/>
      <c r="PHD411" s="120"/>
      <c r="PHE411" s="120"/>
      <c r="PHF411" s="120"/>
      <c r="PHG411" s="120"/>
      <c r="PHH411" s="121"/>
      <c r="PHI411" s="119"/>
      <c r="PHJ411" s="120"/>
      <c r="PHK411" s="120"/>
      <c r="PHL411" s="120"/>
      <c r="PHM411" s="120"/>
      <c r="PHN411" s="120"/>
      <c r="PHO411" s="121"/>
      <c r="PHP411" s="119"/>
      <c r="PHQ411" s="120"/>
      <c r="PHR411" s="120"/>
      <c r="PHS411" s="120"/>
      <c r="PHT411" s="120"/>
      <c r="PHU411" s="120"/>
      <c r="PHV411" s="121"/>
      <c r="PHW411" s="119"/>
      <c r="PHX411" s="120"/>
      <c r="PHY411" s="120"/>
      <c r="PHZ411" s="120"/>
      <c r="PIA411" s="120"/>
      <c r="PIB411" s="120"/>
      <c r="PIC411" s="121"/>
      <c r="PID411" s="119"/>
      <c r="PIE411" s="120"/>
      <c r="PIF411" s="120"/>
      <c r="PIG411" s="120"/>
      <c r="PIH411" s="120"/>
      <c r="PII411" s="120"/>
      <c r="PIJ411" s="121"/>
      <c r="PIK411" s="119"/>
      <c r="PIL411" s="120"/>
      <c r="PIM411" s="120"/>
      <c r="PIN411" s="120"/>
      <c r="PIO411" s="120"/>
      <c r="PIP411" s="120"/>
      <c r="PIQ411" s="121"/>
      <c r="PIR411" s="119"/>
      <c r="PIS411" s="120"/>
      <c r="PIT411" s="120"/>
      <c r="PIU411" s="120"/>
      <c r="PIV411" s="120"/>
      <c r="PIW411" s="120"/>
      <c r="PIX411" s="121"/>
      <c r="PIY411" s="119"/>
      <c r="PIZ411" s="120"/>
      <c r="PJA411" s="120"/>
      <c r="PJB411" s="120"/>
      <c r="PJC411" s="120"/>
      <c r="PJD411" s="120"/>
      <c r="PJE411" s="121"/>
      <c r="PJF411" s="119"/>
      <c r="PJG411" s="120"/>
      <c r="PJH411" s="120"/>
      <c r="PJI411" s="120"/>
      <c r="PJJ411" s="120"/>
      <c r="PJK411" s="120"/>
      <c r="PJL411" s="121"/>
      <c r="PJM411" s="119"/>
      <c r="PJN411" s="120"/>
      <c r="PJO411" s="120"/>
      <c r="PJP411" s="120"/>
      <c r="PJQ411" s="120"/>
      <c r="PJR411" s="120"/>
      <c r="PJS411" s="121"/>
      <c r="PJT411" s="119"/>
      <c r="PJU411" s="120"/>
      <c r="PJV411" s="120"/>
      <c r="PJW411" s="120"/>
      <c r="PJX411" s="120"/>
      <c r="PJY411" s="120"/>
      <c r="PJZ411" s="121"/>
      <c r="PKA411" s="119"/>
      <c r="PKB411" s="120"/>
      <c r="PKC411" s="120"/>
      <c r="PKD411" s="120"/>
      <c r="PKE411" s="120"/>
      <c r="PKF411" s="120"/>
      <c r="PKG411" s="121"/>
      <c r="PKH411" s="119"/>
      <c r="PKI411" s="120"/>
      <c r="PKJ411" s="120"/>
      <c r="PKK411" s="120"/>
      <c r="PKL411" s="120"/>
      <c r="PKM411" s="120"/>
      <c r="PKN411" s="121"/>
      <c r="PKO411" s="119"/>
      <c r="PKP411" s="120"/>
      <c r="PKQ411" s="120"/>
      <c r="PKR411" s="120"/>
      <c r="PKS411" s="120"/>
      <c r="PKT411" s="120"/>
      <c r="PKU411" s="121"/>
      <c r="PKV411" s="119"/>
      <c r="PKW411" s="120"/>
      <c r="PKX411" s="120"/>
      <c r="PKY411" s="120"/>
      <c r="PKZ411" s="120"/>
      <c r="PLA411" s="120"/>
      <c r="PLB411" s="121"/>
      <c r="PLC411" s="119"/>
      <c r="PLD411" s="120"/>
      <c r="PLE411" s="120"/>
      <c r="PLF411" s="120"/>
      <c r="PLG411" s="120"/>
      <c r="PLH411" s="120"/>
      <c r="PLI411" s="121"/>
      <c r="PLJ411" s="119"/>
      <c r="PLK411" s="120"/>
      <c r="PLL411" s="120"/>
      <c r="PLM411" s="120"/>
      <c r="PLN411" s="120"/>
      <c r="PLO411" s="120"/>
      <c r="PLP411" s="121"/>
      <c r="PLQ411" s="119"/>
      <c r="PLR411" s="120"/>
      <c r="PLS411" s="120"/>
      <c r="PLT411" s="120"/>
      <c r="PLU411" s="120"/>
      <c r="PLV411" s="120"/>
      <c r="PLW411" s="121"/>
      <c r="PLX411" s="119"/>
      <c r="PLY411" s="120"/>
      <c r="PLZ411" s="120"/>
      <c r="PMA411" s="120"/>
      <c r="PMB411" s="120"/>
      <c r="PMC411" s="120"/>
      <c r="PMD411" s="121"/>
      <c r="PME411" s="119"/>
      <c r="PMF411" s="120"/>
      <c r="PMG411" s="120"/>
      <c r="PMH411" s="120"/>
      <c r="PMI411" s="120"/>
      <c r="PMJ411" s="120"/>
      <c r="PMK411" s="121"/>
      <c r="PML411" s="119"/>
      <c r="PMM411" s="120"/>
      <c r="PMN411" s="120"/>
      <c r="PMO411" s="120"/>
      <c r="PMP411" s="120"/>
      <c r="PMQ411" s="120"/>
      <c r="PMR411" s="121"/>
      <c r="PMS411" s="119"/>
      <c r="PMT411" s="120"/>
      <c r="PMU411" s="120"/>
      <c r="PMV411" s="120"/>
      <c r="PMW411" s="120"/>
      <c r="PMX411" s="120"/>
      <c r="PMY411" s="121"/>
      <c r="PMZ411" s="119"/>
      <c r="PNA411" s="120"/>
      <c r="PNB411" s="120"/>
      <c r="PNC411" s="120"/>
      <c r="PND411" s="120"/>
      <c r="PNE411" s="120"/>
      <c r="PNF411" s="121"/>
      <c r="PNG411" s="119"/>
      <c r="PNH411" s="120"/>
      <c r="PNI411" s="120"/>
      <c r="PNJ411" s="120"/>
      <c r="PNK411" s="120"/>
      <c r="PNL411" s="120"/>
      <c r="PNM411" s="121"/>
      <c r="PNN411" s="119"/>
      <c r="PNO411" s="120"/>
      <c r="PNP411" s="120"/>
      <c r="PNQ411" s="120"/>
      <c r="PNR411" s="120"/>
      <c r="PNS411" s="120"/>
      <c r="PNT411" s="121"/>
      <c r="PNU411" s="119"/>
      <c r="PNV411" s="120"/>
      <c r="PNW411" s="120"/>
      <c r="PNX411" s="120"/>
      <c r="PNY411" s="120"/>
      <c r="PNZ411" s="120"/>
      <c r="POA411" s="121"/>
      <c r="POB411" s="119"/>
      <c r="POC411" s="120"/>
      <c r="POD411" s="120"/>
      <c r="POE411" s="120"/>
      <c r="POF411" s="120"/>
      <c r="POG411" s="120"/>
      <c r="POH411" s="121"/>
      <c r="POI411" s="119"/>
      <c r="POJ411" s="120"/>
      <c r="POK411" s="120"/>
      <c r="POL411" s="120"/>
      <c r="POM411" s="120"/>
      <c r="PON411" s="120"/>
      <c r="POO411" s="121"/>
      <c r="POP411" s="119"/>
      <c r="POQ411" s="120"/>
      <c r="POR411" s="120"/>
      <c r="POS411" s="120"/>
      <c r="POT411" s="120"/>
      <c r="POU411" s="120"/>
      <c r="POV411" s="121"/>
      <c r="POW411" s="119"/>
      <c r="POX411" s="120"/>
      <c r="POY411" s="120"/>
      <c r="POZ411" s="120"/>
      <c r="PPA411" s="120"/>
      <c r="PPB411" s="120"/>
      <c r="PPC411" s="121"/>
      <c r="PPD411" s="119"/>
      <c r="PPE411" s="120"/>
      <c r="PPF411" s="120"/>
      <c r="PPG411" s="120"/>
      <c r="PPH411" s="120"/>
      <c r="PPI411" s="120"/>
      <c r="PPJ411" s="121"/>
      <c r="PPK411" s="119"/>
      <c r="PPL411" s="120"/>
      <c r="PPM411" s="120"/>
      <c r="PPN411" s="120"/>
      <c r="PPO411" s="120"/>
      <c r="PPP411" s="120"/>
      <c r="PPQ411" s="121"/>
      <c r="PPR411" s="119"/>
      <c r="PPS411" s="120"/>
      <c r="PPT411" s="120"/>
      <c r="PPU411" s="120"/>
      <c r="PPV411" s="120"/>
      <c r="PPW411" s="120"/>
      <c r="PPX411" s="121"/>
      <c r="PPY411" s="119"/>
      <c r="PPZ411" s="120"/>
      <c r="PQA411" s="120"/>
      <c r="PQB411" s="120"/>
      <c r="PQC411" s="120"/>
      <c r="PQD411" s="120"/>
      <c r="PQE411" s="121"/>
      <c r="PQF411" s="119"/>
      <c r="PQG411" s="120"/>
      <c r="PQH411" s="120"/>
      <c r="PQI411" s="120"/>
      <c r="PQJ411" s="120"/>
      <c r="PQK411" s="120"/>
      <c r="PQL411" s="121"/>
      <c r="PQM411" s="119"/>
      <c r="PQN411" s="120"/>
      <c r="PQO411" s="120"/>
      <c r="PQP411" s="120"/>
      <c r="PQQ411" s="120"/>
      <c r="PQR411" s="120"/>
      <c r="PQS411" s="121"/>
      <c r="PQT411" s="119"/>
      <c r="PQU411" s="120"/>
      <c r="PQV411" s="120"/>
      <c r="PQW411" s="120"/>
      <c r="PQX411" s="120"/>
      <c r="PQY411" s="120"/>
      <c r="PQZ411" s="121"/>
      <c r="PRA411" s="119"/>
      <c r="PRB411" s="120"/>
      <c r="PRC411" s="120"/>
      <c r="PRD411" s="120"/>
      <c r="PRE411" s="120"/>
      <c r="PRF411" s="120"/>
      <c r="PRG411" s="121"/>
      <c r="PRH411" s="119"/>
      <c r="PRI411" s="120"/>
      <c r="PRJ411" s="120"/>
      <c r="PRK411" s="120"/>
      <c r="PRL411" s="120"/>
      <c r="PRM411" s="120"/>
      <c r="PRN411" s="121"/>
      <c r="PRO411" s="119"/>
      <c r="PRP411" s="120"/>
      <c r="PRQ411" s="120"/>
      <c r="PRR411" s="120"/>
      <c r="PRS411" s="120"/>
      <c r="PRT411" s="120"/>
      <c r="PRU411" s="121"/>
      <c r="PRV411" s="119"/>
      <c r="PRW411" s="120"/>
      <c r="PRX411" s="120"/>
      <c r="PRY411" s="120"/>
      <c r="PRZ411" s="120"/>
      <c r="PSA411" s="120"/>
      <c r="PSB411" s="121"/>
      <c r="PSC411" s="119"/>
      <c r="PSD411" s="120"/>
      <c r="PSE411" s="120"/>
      <c r="PSF411" s="120"/>
      <c r="PSG411" s="120"/>
      <c r="PSH411" s="120"/>
      <c r="PSI411" s="121"/>
      <c r="PSJ411" s="119"/>
      <c r="PSK411" s="120"/>
      <c r="PSL411" s="120"/>
      <c r="PSM411" s="120"/>
      <c r="PSN411" s="120"/>
      <c r="PSO411" s="120"/>
      <c r="PSP411" s="121"/>
      <c r="PSQ411" s="119"/>
      <c r="PSR411" s="120"/>
      <c r="PSS411" s="120"/>
      <c r="PST411" s="120"/>
      <c r="PSU411" s="120"/>
      <c r="PSV411" s="120"/>
      <c r="PSW411" s="121"/>
      <c r="PSX411" s="119"/>
      <c r="PSY411" s="120"/>
      <c r="PSZ411" s="120"/>
      <c r="PTA411" s="120"/>
      <c r="PTB411" s="120"/>
      <c r="PTC411" s="120"/>
      <c r="PTD411" s="121"/>
      <c r="PTE411" s="119"/>
      <c r="PTF411" s="120"/>
      <c r="PTG411" s="120"/>
      <c r="PTH411" s="120"/>
      <c r="PTI411" s="120"/>
      <c r="PTJ411" s="120"/>
      <c r="PTK411" s="121"/>
      <c r="PTL411" s="119"/>
      <c r="PTM411" s="120"/>
      <c r="PTN411" s="120"/>
      <c r="PTO411" s="120"/>
      <c r="PTP411" s="120"/>
      <c r="PTQ411" s="120"/>
      <c r="PTR411" s="121"/>
      <c r="PTS411" s="119"/>
      <c r="PTT411" s="120"/>
      <c r="PTU411" s="120"/>
      <c r="PTV411" s="120"/>
      <c r="PTW411" s="120"/>
      <c r="PTX411" s="120"/>
      <c r="PTY411" s="121"/>
      <c r="PTZ411" s="119"/>
      <c r="PUA411" s="120"/>
      <c r="PUB411" s="120"/>
      <c r="PUC411" s="120"/>
      <c r="PUD411" s="120"/>
      <c r="PUE411" s="120"/>
      <c r="PUF411" s="121"/>
      <c r="PUG411" s="119"/>
      <c r="PUH411" s="120"/>
      <c r="PUI411" s="120"/>
      <c r="PUJ411" s="120"/>
      <c r="PUK411" s="120"/>
      <c r="PUL411" s="120"/>
      <c r="PUM411" s="121"/>
      <c r="PUN411" s="119"/>
      <c r="PUO411" s="120"/>
      <c r="PUP411" s="120"/>
      <c r="PUQ411" s="120"/>
      <c r="PUR411" s="120"/>
      <c r="PUS411" s="120"/>
      <c r="PUT411" s="121"/>
      <c r="PUU411" s="119"/>
      <c r="PUV411" s="120"/>
      <c r="PUW411" s="120"/>
      <c r="PUX411" s="120"/>
      <c r="PUY411" s="120"/>
      <c r="PUZ411" s="120"/>
      <c r="PVA411" s="121"/>
      <c r="PVB411" s="119"/>
      <c r="PVC411" s="120"/>
      <c r="PVD411" s="120"/>
      <c r="PVE411" s="120"/>
      <c r="PVF411" s="120"/>
      <c r="PVG411" s="120"/>
      <c r="PVH411" s="121"/>
      <c r="PVI411" s="119"/>
      <c r="PVJ411" s="120"/>
      <c r="PVK411" s="120"/>
      <c r="PVL411" s="120"/>
      <c r="PVM411" s="120"/>
      <c r="PVN411" s="120"/>
      <c r="PVO411" s="121"/>
      <c r="PVP411" s="119"/>
      <c r="PVQ411" s="120"/>
      <c r="PVR411" s="120"/>
      <c r="PVS411" s="120"/>
      <c r="PVT411" s="120"/>
      <c r="PVU411" s="120"/>
      <c r="PVV411" s="121"/>
      <c r="PVW411" s="119"/>
      <c r="PVX411" s="120"/>
      <c r="PVY411" s="120"/>
      <c r="PVZ411" s="120"/>
      <c r="PWA411" s="120"/>
      <c r="PWB411" s="120"/>
      <c r="PWC411" s="121"/>
      <c r="PWD411" s="119"/>
      <c r="PWE411" s="120"/>
      <c r="PWF411" s="120"/>
      <c r="PWG411" s="120"/>
      <c r="PWH411" s="120"/>
      <c r="PWI411" s="120"/>
      <c r="PWJ411" s="121"/>
      <c r="PWK411" s="119"/>
      <c r="PWL411" s="120"/>
      <c r="PWM411" s="120"/>
      <c r="PWN411" s="120"/>
      <c r="PWO411" s="120"/>
      <c r="PWP411" s="120"/>
      <c r="PWQ411" s="121"/>
      <c r="PWR411" s="119"/>
      <c r="PWS411" s="120"/>
      <c r="PWT411" s="120"/>
      <c r="PWU411" s="120"/>
      <c r="PWV411" s="120"/>
      <c r="PWW411" s="120"/>
      <c r="PWX411" s="121"/>
      <c r="PWY411" s="119"/>
      <c r="PWZ411" s="120"/>
      <c r="PXA411" s="120"/>
      <c r="PXB411" s="120"/>
      <c r="PXC411" s="120"/>
      <c r="PXD411" s="120"/>
      <c r="PXE411" s="121"/>
      <c r="PXF411" s="119"/>
      <c r="PXG411" s="120"/>
      <c r="PXH411" s="120"/>
      <c r="PXI411" s="120"/>
      <c r="PXJ411" s="120"/>
      <c r="PXK411" s="120"/>
      <c r="PXL411" s="121"/>
      <c r="PXM411" s="119"/>
      <c r="PXN411" s="120"/>
      <c r="PXO411" s="120"/>
      <c r="PXP411" s="120"/>
      <c r="PXQ411" s="120"/>
      <c r="PXR411" s="120"/>
      <c r="PXS411" s="121"/>
      <c r="PXT411" s="119"/>
      <c r="PXU411" s="120"/>
      <c r="PXV411" s="120"/>
      <c r="PXW411" s="120"/>
      <c r="PXX411" s="120"/>
      <c r="PXY411" s="120"/>
      <c r="PXZ411" s="121"/>
      <c r="PYA411" s="119"/>
      <c r="PYB411" s="120"/>
      <c r="PYC411" s="120"/>
      <c r="PYD411" s="120"/>
      <c r="PYE411" s="120"/>
      <c r="PYF411" s="120"/>
      <c r="PYG411" s="121"/>
      <c r="PYH411" s="119"/>
      <c r="PYI411" s="120"/>
      <c r="PYJ411" s="120"/>
      <c r="PYK411" s="120"/>
      <c r="PYL411" s="120"/>
      <c r="PYM411" s="120"/>
      <c r="PYN411" s="121"/>
      <c r="PYO411" s="119"/>
      <c r="PYP411" s="120"/>
      <c r="PYQ411" s="120"/>
      <c r="PYR411" s="120"/>
      <c r="PYS411" s="120"/>
      <c r="PYT411" s="120"/>
      <c r="PYU411" s="121"/>
      <c r="PYV411" s="119"/>
      <c r="PYW411" s="120"/>
      <c r="PYX411" s="120"/>
      <c r="PYY411" s="120"/>
      <c r="PYZ411" s="120"/>
      <c r="PZA411" s="120"/>
      <c r="PZB411" s="121"/>
      <c r="PZC411" s="119"/>
      <c r="PZD411" s="120"/>
      <c r="PZE411" s="120"/>
      <c r="PZF411" s="120"/>
      <c r="PZG411" s="120"/>
      <c r="PZH411" s="120"/>
      <c r="PZI411" s="121"/>
      <c r="PZJ411" s="119"/>
      <c r="PZK411" s="120"/>
      <c r="PZL411" s="120"/>
      <c r="PZM411" s="120"/>
      <c r="PZN411" s="120"/>
      <c r="PZO411" s="120"/>
      <c r="PZP411" s="121"/>
      <c r="PZQ411" s="119"/>
      <c r="PZR411" s="120"/>
      <c r="PZS411" s="120"/>
      <c r="PZT411" s="120"/>
      <c r="PZU411" s="120"/>
      <c r="PZV411" s="120"/>
      <c r="PZW411" s="121"/>
      <c r="PZX411" s="119"/>
      <c r="PZY411" s="120"/>
      <c r="PZZ411" s="120"/>
      <c r="QAA411" s="120"/>
      <c r="QAB411" s="120"/>
      <c r="QAC411" s="120"/>
      <c r="QAD411" s="121"/>
      <c r="QAE411" s="119"/>
      <c r="QAF411" s="120"/>
      <c r="QAG411" s="120"/>
      <c r="QAH411" s="120"/>
      <c r="QAI411" s="120"/>
      <c r="QAJ411" s="120"/>
      <c r="QAK411" s="121"/>
      <c r="QAL411" s="119"/>
      <c r="QAM411" s="120"/>
      <c r="QAN411" s="120"/>
      <c r="QAO411" s="120"/>
      <c r="QAP411" s="120"/>
      <c r="QAQ411" s="120"/>
      <c r="QAR411" s="121"/>
      <c r="QAS411" s="119"/>
      <c r="QAT411" s="120"/>
      <c r="QAU411" s="120"/>
      <c r="QAV411" s="120"/>
      <c r="QAW411" s="120"/>
      <c r="QAX411" s="120"/>
      <c r="QAY411" s="121"/>
      <c r="QAZ411" s="119"/>
      <c r="QBA411" s="120"/>
      <c r="QBB411" s="120"/>
      <c r="QBC411" s="120"/>
      <c r="QBD411" s="120"/>
      <c r="QBE411" s="120"/>
      <c r="QBF411" s="121"/>
      <c r="QBG411" s="119"/>
      <c r="QBH411" s="120"/>
      <c r="QBI411" s="120"/>
      <c r="QBJ411" s="120"/>
      <c r="QBK411" s="120"/>
      <c r="QBL411" s="120"/>
      <c r="QBM411" s="121"/>
      <c r="QBN411" s="119"/>
      <c r="QBO411" s="120"/>
      <c r="QBP411" s="120"/>
      <c r="QBQ411" s="120"/>
      <c r="QBR411" s="120"/>
      <c r="QBS411" s="120"/>
      <c r="QBT411" s="121"/>
      <c r="QBU411" s="119"/>
      <c r="QBV411" s="120"/>
      <c r="QBW411" s="120"/>
      <c r="QBX411" s="120"/>
      <c r="QBY411" s="120"/>
      <c r="QBZ411" s="120"/>
      <c r="QCA411" s="121"/>
      <c r="QCB411" s="119"/>
      <c r="QCC411" s="120"/>
      <c r="QCD411" s="120"/>
      <c r="QCE411" s="120"/>
      <c r="QCF411" s="120"/>
      <c r="QCG411" s="120"/>
      <c r="QCH411" s="121"/>
      <c r="QCI411" s="119"/>
      <c r="QCJ411" s="120"/>
      <c r="QCK411" s="120"/>
      <c r="QCL411" s="120"/>
      <c r="QCM411" s="120"/>
      <c r="QCN411" s="120"/>
      <c r="QCO411" s="121"/>
      <c r="QCP411" s="119"/>
      <c r="QCQ411" s="120"/>
      <c r="QCR411" s="120"/>
      <c r="QCS411" s="120"/>
      <c r="QCT411" s="120"/>
      <c r="QCU411" s="120"/>
      <c r="QCV411" s="121"/>
      <c r="QCW411" s="119"/>
      <c r="QCX411" s="120"/>
      <c r="QCY411" s="120"/>
      <c r="QCZ411" s="120"/>
      <c r="QDA411" s="120"/>
      <c r="QDB411" s="120"/>
      <c r="QDC411" s="121"/>
      <c r="QDD411" s="119"/>
      <c r="QDE411" s="120"/>
      <c r="QDF411" s="120"/>
      <c r="QDG411" s="120"/>
      <c r="QDH411" s="120"/>
      <c r="QDI411" s="120"/>
      <c r="QDJ411" s="121"/>
      <c r="QDK411" s="119"/>
      <c r="QDL411" s="120"/>
      <c r="QDM411" s="120"/>
      <c r="QDN411" s="120"/>
      <c r="QDO411" s="120"/>
      <c r="QDP411" s="120"/>
      <c r="QDQ411" s="121"/>
      <c r="QDR411" s="119"/>
      <c r="QDS411" s="120"/>
      <c r="QDT411" s="120"/>
      <c r="QDU411" s="120"/>
      <c r="QDV411" s="120"/>
      <c r="QDW411" s="120"/>
      <c r="QDX411" s="121"/>
      <c r="QDY411" s="119"/>
      <c r="QDZ411" s="120"/>
      <c r="QEA411" s="120"/>
      <c r="QEB411" s="120"/>
      <c r="QEC411" s="120"/>
      <c r="QED411" s="120"/>
      <c r="QEE411" s="121"/>
      <c r="QEF411" s="119"/>
      <c r="QEG411" s="120"/>
      <c r="QEH411" s="120"/>
      <c r="QEI411" s="120"/>
      <c r="QEJ411" s="120"/>
      <c r="QEK411" s="120"/>
      <c r="QEL411" s="121"/>
      <c r="QEM411" s="119"/>
      <c r="QEN411" s="120"/>
      <c r="QEO411" s="120"/>
      <c r="QEP411" s="120"/>
      <c r="QEQ411" s="120"/>
      <c r="QER411" s="120"/>
      <c r="QES411" s="121"/>
      <c r="QET411" s="119"/>
      <c r="QEU411" s="120"/>
      <c r="QEV411" s="120"/>
      <c r="QEW411" s="120"/>
      <c r="QEX411" s="120"/>
      <c r="QEY411" s="120"/>
      <c r="QEZ411" s="121"/>
      <c r="QFA411" s="119"/>
      <c r="QFB411" s="120"/>
      <c r="QFC411" s="120"/>
      <c r="QFD411" s="120"/>
      <c r="QFE411" s="120"/>
      <c r="QFF411" s="120"/>
      <c r="QFG411" s="121"/>
      <c r="QFH411" s="119"/>
      <c r="QFI411" s="120"/>
      <c r="QFJ411" s="120"/>
      <c r="QFK411" s="120"/>
      <c r="QFL411" s="120"/>
      <c r="QFM411" s="120"/>
      <c r="QFN411" s="121"/>
      <c r="QFO411" s="119"/>
      <c r="QFP411" s="120"/>
      <c r="QFQ411" s="120"/>
      <c r="QFR411" s="120"/>
      <c r="QFS411" s="120"/>
      <c r="QFT411" s="120"/>
      <c r="QFU411" s="121"/>
      <c r="QFV411" s="119"/>
      <c r="QFW411" s="120"/>
      <c r="QFX411" s="120"/>
      <c r="QFY411" s="120"/>
      <c r="QFZ411" s="120"/>
      <c r="QGA411" s="120"/>
      <c r="QGB411" s="121"/>
      <c r="QGC411" s="119"/>
      <c r="QGD411" s="120"/>
      <c r="QGE411" s="120"/>
      <c r="QGF411" s="120"/>
      <c r="QGG411" s="120"/>
      <c r="QGH411" s="120"/>
      <c r="QGI411" s="121"/>
      <c r="QGJ411" s="119"/>
      <c r="QGK411" s="120"/>
      <c r="QGL411" s="120"/>
      <c r="QGM411" s="120"/>
      <c r="QGN411" s="120"/>
      <c r="QGO411" s="120"/>
      <c r="QGP411" s="121"/>
      <c r="QGQ411" s="119"/>
      <c r="QGR411" s="120"/>
      <c r="QGS411" s="120"/>
      <c r="QGT411" s="120"/>
      <c r="QGU411" s="120"/>
      <c r="QGV411" s="120"/>
      <c r="QGW411" s="121"/>
      <c r="QGX411" s="119"/>
      <c r="QGY411" s="120"/>
      <c r="QGZ411" s="120"/>
      <c r="QHA411" s="120"/>
      <c r="QHB411" s="120"/>
      <c r="QHC411" s="120"/>
      <c r="QHD411" s="121"/>
      <c r="QHE411" s="119"/>
      <c r="QHF411" s="120"/>
      <c r="QHG411" s="120"/>
      <c r="QHH411" s="120"/>
      <c r="QHI411" s="120"/>
      <c r="QHJ411" s="120"/>
      <c r="QHK411" s="121"/>
      <c r="QHL411" s="119"/>
      <c r="QHM411" s="120"/>
      <c r="QHN411" s="120"/>
      <c r="QHO411" s="120"/>
      <c r="QHP411" s="120"/>
      <c r="QHQ411" s="120"/>
      <c r="QHR411" s="121"/>
      <c r="QHS411" s="119"/>
      <c r="QHT411" s="120"/>
      <c r="QHU411" s="120"/>
      <c r="QHV411" s="120"/>
      <c r="QHW411" s="120"/>
      <c r="QHX411" s="120"/>
      <c r="QHY411" s="121"/>
      <c r="QHZ411" s="119"/>
      <c r="QIA411" s="120"/>
      <c r="QIB411" s="120"/>
      <c r="QIC411" s="120"/>
      <c r="QID411" s="120"/>
      <c r="QIE411" s="120"/>
      <c r="QIF411" s="121"/>
      <c r="QIG411" s="119"/>
      <c r="QIH411" s="120"/>
      <c r="QII411" s="120"/>
      <c r="QIJ411" s="120"/>
      <c r="QIK411" s="120"/>
      <c r="QIL411" s="120"/>
      <c r="QIM411" s="121"/>
      <c r="QIN411" s="119"/>
      <c r="QIO411" s="120"/>
      <c r="QIP411" s="120"/>
      <c r="QIQ411" s="120"/>
      <c r="QIR411" s="120"/>
      <c r="QIS411" s="120"/>
      <c r="QIT411" s="121"/>
      <c r="QIU411" s="119"/>
      <c r="QIV411" s="120"/>
      <c r="QIW411" s="120"/>
      <c r="QIX411" s="120"/>
      <c r="QIY411" s="120"/>
      <c r="QIZ411" s="120"/>
      <c r="QJA411" s="121"/>
      <c r="QJB411" s="119"/>
      <c r="QJC411" s="120"/>
      <c r="QJD411" s="120"/>
      <c r="QJE411" s="120"/>
      <c r="QJF411" s="120"/>
      <c r="QJG411" s="120"/>
      <c r="QJH411" s="121"/>
      <c r="QJI411" s="119"/>
      <c r="QJJ411" s="120"/>
      <c r="QJK411" s="120"/>
      <c r="QJL411" s="120"/>
      <c r="QJM411" s="120"/>
      <c r="QJN411" s="120"/>
      <c r="QJO411" s="121"/>
      <c r="QJP411" s="119"/>
      <c r="QJQ411" s="120"/>
      <c r="QJR411" s="120"/>
      <c r="QJS411" s="120"/>
      <c r="QJT411" s="120"/>
      <c r="QJU411" s="120"/>
      <c r="QJV411" s="121"/>
      <c r="QJW411" s="119"/>
      <c r="QJX411" s="120"/>
      <c r="QJY411" s="120"/>
      <c r="QJZ411" s="120"/>
      <c r="QKA411" s="120"/>
      <c r="QKB411" s="120"/>
      <c r="QKC411" s="121"/>
      <c r="QKD411" s="119"/>
      <c r="QKE411" s="120"/>
      <c r="QKF411" s="120"/>
      <c r="QKG411" s="120"/>
      <c r="QKH411" s="120"/>
      <c r="QKI411" s="120"/>
      <c r="QKJ411" s="121"/>
      <c r="QKK411" s="119"/>
      <c r="QKL411" s="120"/>
      <c r="QKM411" s="120"/>
      <c r="QKN411" s="120"/>
      <c r="QKO411" s="120"/>
      <c r="QKP411" s="120"/>
      <c r="QKQ411" s="121"/>
      <c r="QKR411" s="119"/>
      <c r="QKS411" s="120"/>
      <c r="QKT411" s="120"/>
      <c r="QKU411" s="120"/>
      <c r="QKV411" s="120"/>
      <c r="QKW411" s="120"/>
      <c r="QKX411" s="121"/>
      <c r="QKY411" s="119"/>
      <c r="QKZ411" s="120"/>
      <c r="QLA411" s="120"/>
      <c r="QLB411" s="120"/>
      <c r="QLC411" s="120"/>
      <c r="QLD411" s="120"/>
      <c r="QLE411" s="121"/>
      <c r="QLF411" s="119"/>
      <c r="QLG411" s="120"/>
      <c r="QLH411" s="120"/>
      <c r="QLI411" s="120"/>
      <c r="QLJ411" s="120"/>
      <c r="QLK411" s="120"/>
      <c r="QLL411" s="121"/>
      <c r="QLM411" s="119"/>
      <c r="QLN411" s="120"/>
      <c r="QLO411" s="120"/>
      <c r="QLP411" s="120"/>
      <c r="QLQ411" s="120"/>
      <c r="QLR411" s="120"/>
      <c r="QLS411" s="121"/>
      <c r="QLT411" s="119"/>
      <c r="QLU411" s="120"/>
      <c r="QLV411" s="120"/>
      <c r="QLW411" s="120"/>
      <c r="QLX411" s="120"/>
      <c r="QLY411" s="120"/>
      <c r="QLZ411" s="121"/>
      <c r="QMA411" s="119"/>
      <c r="QMB411" s="120"/>
      <c r="QMC411" s="120"/>
      <c r="QMD411" s="120"/>
      <c r="QME411" s="120"/>
      <c r="QMF411" s="120"/>
      <c r="QMG411" s="121"/>
      <c r="QMH411" s="119"/>
      <c r="QMI411" s="120"/>
      <c r="QMJ411" s="120"/>
      <c r="QMK411" s="120"/>
      <c r="QML411" s="120"/>
      <c r="QMM411" s="120"/>
      <c r="QMN411" s="121"/>
      <c r="QMO411" s="119"/>
      <c r="QMP411" s="120"/>
      <c r="QMQ411" s="120"/>
      <c r="QMR411" s="120"/>
      <c r="QMS411" s="120"/>
      <c r="QMT411" s="120"/>
      <c r="QMU411" s="121"/>
      <c r="QMV411" s="119"/>
      <c r="QMW411" s="120"/>
      <c r="QMX411" s="120"/>
      <c r="QMY411" s="120"/>
      <c r="QMZ411" s="120"/>
      <c r="QNA411" s="120"/>
      <c r="QNB411" s="121"/>
      <c r="QNC411" s="119"/>
      <c r="QND411" s="120"/>
      <c r="QNE411" s="120"/>
      <c r="QNF411" s="120"/>
      <c r="QNG411" s="120"/>
      <c r="QNH411" s="120"/>
      <c r="QNI411" s="121"/>
      <c r="QNJ411" s="119"/>
      <c r="QNK411" s="120"/>
      <c r="QNL411" s="120"/>
      <c r="QNM411" s="120"/>
      <c r="QNN411" s="120"/>
      <c r="QNO411" s="120"/>
      <c r="QNP411" s="121"/>
      <c r="QNQ411" s="119"/>
      <c r="QNR411" s="120"/>
      <c r="QNS411" s="120"/>
      <c r="QNT411" s="120"/>
      <c r="QNU411" s="120"/>
      <c r="QNV411" s="120"/>
      <c r="QNW411" s="121"/>
      <c r="QNX411" s="119"/>
      <c r="QNY411" s="120"/>
      <c r="QNZ411" s="120"/>
      <c r="QOA411" s="120"/>
      <c r="QOB411" s="120"/>
      <c r="QOC411" s="120"/>
      <c r="QOD411" s="121"/>
      <c r="QOE411" s="119"/>
      <c r="QOF411" s="120"/>
      <c r="QOG411" s="120"/>
      <c r="QOH411" s="120"/>
      <c r="QOI411" s="120"/>
      <c r="QOJ411" s="120"/>
      <c r="QOK411" s="121"/>
      <c r="QOL411" s="119"/>
      <c r="QOM411" s="120"/>
      <c r="QON411" s="120"/>
      <c r="QOO411" s="120"/>
      <c r="QOP411" s="120"/>
      <c r="QOQ411" s="120"/>
      <c r="QOR411" s="121"/>
      <c r="QOS411" s="119"/>
      <c r="QOT411" s="120"/>
      <c r="QOU411" s="120"/>
      <c r="QOV411" s="120"/>
      <c r="QOW411" s="120"/>
      <c r="QOX411" s="120"/>
      <c r="QOY411" s="121"/>
      <c r="QOZ411" s="119"/>
      <c r="QPA411" s="120"/>
      <c r="QPB411" s="120"/>
      <c r="QPC411" s="120"/>
      <c r="QPD411" s="120"/>
      <c r="QPE411" s="120"/>
      <c r="QPF411" s="121"/>
      <c r="QPG411" s="119"/>
      <c r="QPH411" s="120"/>
      <c r="QPI411" s="120"/>
      <c r="QPJ411" s="120"/>
      <c r="QPK411" s="120"/>
      <c r="QPL411" s="120"/>
      <c r="QPM411" s="121"/>
      <c r="QPN411" s="119"/>
      <c r="QPO411" s="120"/>
      <c r="QPP411" s="120"/>
      <c r="QPQ411" s="120"/>
      <c r="QPR411" s="120"/>
      <c r="QPS411" s="120"/>
      <c r="QPT411" s="121"/>
      <c r="QPU411" s="119"/>
      <c r="QPV411" s="120"/>
      <c r="QPW411" s="120"/>
      <c r="QPX411" s="120"/>
      <c r="QPY411" s="120"/>
      <c r="QPZ411" s="120"/>
      <c r="QQA411" s="121"/>
      <c r="QQB411" s="119"/>
      <c r="QQC411" s="120"/>
      <c r="QQD411" s="120"/>
      <c r="QQE411" s="120"/>
      <c r="QQF411" s="120"/>
      <c r="QQG411" s="120"/>
      <c r="QQH411" s="121"/>
      <c r="QQI411" s="119"/>
      <c r="QQJ411" s="120"/>
      <c r="QQK411" s="120"/>
      <c r="QQL411" s="120"/>
      <c r="QQM411" s="120"/>
      <c r="QQN411" s="120"/>
      <c r="QQO411" s="121"/>
      <c r="QQP411" s="119"/>
      <c r="QQQ411" s="120"/>
      <c r="QQR411" s="120"/>
      <c r="QQS411" s="120"/>
      <c r="QQT411" s="120"/>
      <c r="QQU411" s="120"/>
      <c r="QQV411" s="121"/>
      <c r="QQW411" s="119"/>
      <c r="QQX411" s="120"/>
      <c r="QQY411" s="120"/>
      <c r="QQZ411" s="120"/>
      <c r="QRA411" s="120"/>
      <c r="QRB411" s="120"/>
      <c r="QRC411" s="121"/>
      <c r="QRD411" s="119"/>
      <c r="QRE411" s="120"/>
      <c r="QRF411" s="120"/>
      <c r="QRG411" s="120"/>
      <c r="QRH411" s="120"/>
      <c r="QRI411" s="120"/>
      <c r="QRJ411" s="121"/>
      <c r="QRK411" s="119"/>
      <c r="QRL411" s="120"/>
      <c r="QRM411" s="120"/>
      <c r="QRN411" s="120"/>
      <c r="QRO411" s="120"/>
      <c r="QRP411" s="120"/>
      <c r="QRQ411" s="121"/>
      <c r="QRR411" s="119"/>
      <c r="QRS411" s="120"/>
      <c r="QRT411" s="120"/>
      <c r="QRU411" s="120"/>
      <c r="QRV411" s="120"/>
      <c r="QRW411" s="120"/>
      <c r="QRX411" s="121"/>
      <c r="QRY411" s="119"/>
      <c r="QRZ411" s="120"/>
      <c r="QSA411" s="120"/>
      <c r="QSB411" s="120"/>
      <c r="QSC411" s="120"/>
      <c r="QSD411" s="120"/>
      <c r="QSE411" s="121"/>
      <c r="QSF411" s="119"/>
      <c r="QSG411" s="120"/>
      <c r="QSH411" s="120"/>
      <c r="QSI411" s="120"/>
      <c r="QSJ411" s="120"/>
      <c r="QSK411" s="120"/>
      <c r="QSL411" s="121"/>
      <c r="QSM411" s="119"/>
      <c r="QSN411" s="120"/>
      <c r="QSO411" s="120"/>
      <c r="QSP411" s="120"/>
      <c r="QSQ411" s="120"/>
      <c r="QSR411" s="120"/>
      <c r="QSS411" s="121"/>
      <c r="QST411" s="119"/>
      <c r="QSU411" s="120"/>
      <c r="QSV411" s="120"/>
      <c r="QSW411" s="120"/>
      <c r="QSX411" s="120"/>
      <c r="QSY411" s="120"/>
      <c r="QSZ411" s="121"/>
      <c r="QTA411" s="119"/>
      <c r="QTB411" s="120"/>
      <c r="QTC411" s="120"/>
      <c r="QTD411" s="120"/>
      <c r="QTE411" s="120"/>
      <c r="QTF411" s="120"/>
      <c r="QTG411" s="121"/>
      <c r="QTH411" s="119"/>
      <c r="QTI411" s="120"/>
      <c r="QTJ411" s="120"/>
      <c r="QTK411" s="120"/>
      <c r="QTL411" s="120"/>
      <c r="QTM411" s="120"/>
      <c r="QTN411" s="121"/>
      <c r="QTO411" s="119"/>
      <c r="QTP411" s="120"/>
      <c r="QTQ411" s="120"/>
      <c r="QTR411" s="120"/>
      <c r="QTS411" s="120"/>
      <c r="QTT411" s="120"/>
      <c r="QTU411" s="121"/>
      <c r="QTV411" s="119"/>
      <c r="QTW411" s="120"/>
      <c r="QTX411" s="120"/>
      <c r="QTY411" s="120"/>
      <c r="QTZ411" s="120"/>
      <c r="QUA411" s="120"/>
      <c r="QUB411" s="121"/>
      <c r="QUC411" s="119"/>
      <c r="QUD411" s="120"/>
      <c r="QUE411" s="120"/>
      <c r="QUF411" s="120"/>
      <c r="QUG411" s="120"/>
      <c r="QUH411" s="120"/>
      <c r="QUI411" s="121"/>
      <c r="QUJ411" s="119"/>
      <c r="QUK411" s="120"/>
      <c r="QUL411" s="120"/>
      <c r="QUM411" s="120"/>
      <c r="QUN411" s="120"/>
      <c r="QUO411" s="120"/>
      <c r="QUP411" s="121"/>
      <c r="QUQ411" s="119"/>
      <c r="QUR411" s="120"/>
      <c r="QUS411" s="120"/>
      <c r="QUT411" s="120"/>
      <c r="QUU411" s="120"/>
      <c r="QUV411" s="120"/>
      <c r="QUW411" s="121"/>
      <c r="QUX411" s="119"/>
      <c r="QUY411" s="120"/>
      <c r="QUZ411" s="120"/>
      <c r="QVA411" s="120"/>
      <c r="QVB411" s="120"/>
      <c r="QVC411" s="120"/>
      <c r="QVD411" s="121"/>
      <c r="QVE411" s="119"/>
      <c r="QVF411" s="120"/>
      <c r="QVG411" s="120"/>
      <c r="QVH411" s="120"/>
      <c r="QVI411" s="120"/>
      <c r="QVJ411" s="120"/>
      <c r="QVK411" s="121"/>
      <c r="QVL411" s="119"/>
      <c r="QVM411" s="120"/>
      <c r="QVN411" s="120"/>
      <c r="QVO411" s="120"/>
      <c r="QVP411" s="120"/>
      <c r="QVQ411" s="120"/>
      <c r="QVR411" s="121"/>
      <c r="QVS411" s="119"/>
      <c r="QVT411" s="120"/>
      <c r="QVU411" s="120"/>
      <c r="QVV411" s="120"/>
      <c r="QVW411" s="120"/>
      <c r="QVX411" s="120"/>
      <c r="QVY411" s="121"/>
      <c r="QVZ411" s="119"/>
      <c r="QWA411" s="120"/>
      <c r="QWB411" s="120"/>
      <c r="QWC411" s="120"/>
      <c r="QWD411" s="120"/>
      <c r="QWE411" s="120"/>
      <c r="QWF411" s="121"/>
      <c r="QWG411" s="119"/>
      <c r="QWH411" s="120"/>
      <c r="QWI411" s="120"/>
      <c r="QWJ411" s="120"/>
      <c r="QWK411" s="120"/>
      <c r="QWL411" s="120"/>
      <c r="QWM411" s="121"/>
      <c r="QWN411" s="119"/>
      <c r="QWO411" s="120"/>
      <c r="QWP411" s="120"/>
      <c r="QWQ411" s="120"/>
      <c r="QWR411" s="120"/>
      <c r="QWS411" s="120"/>
      <c r="QWT411" s="121"/>
      <c r="QWU411" s="119"/>
      <c r="QWV411" s="120"/>
      <c r="QWW411" s="120"/>
      <c r="QWX411" s="120"/>
      <c r="QWY411" s="120"/>
      <c r="QWZ411" s="120"/>
      <c r="QXA411" s="121"/>
      <c r="QXB411" s="119"/>
      <c r="QXC411" s="120"/>
      <c r="QXD411" s="120"/>
      <c r="QXE411" s="120"/>
      <c r="QXF411" s="120"/>
      <c r="QXG411" s="120"/>
      <c r="QXH411" s="121"/>
      <c r="QXI411" s="119"/>
      <c r="QXJ411" s="120"/>
      <c r="QXK411" s="120"/>
      <c r="QXL411" s="120"/>
      <c r="QXM411" s="120"/>
      <c r="QXN411" s="120"/>
      <c r="QXO411" s="121"/>
      <c r="QXP411" s="119"/>
      <c r="QXQ411" s="120"/>
      <c r="QXR411" s="120"/>
      <c r="QXS411" s="120"/>
      <c r="QXT411" s="120"/>
      <c r="QXU411" s="120"/>
      <c r="QXV411" s="121"/>
      <c r="QXW411" s="119"/>
      <c r="QXX411" s="120"/>
      <c r="QXY411" s="120"/>
      <c r="QXZ411" s="120"/>
      <c r="QYA411" s="120"/>
      <c r="QYB411" s="120"/>
      <c r="QYC411" s="121"/>
      <c r="QYD411" s="119"/>
      <c r="QYE411" s="120"/>
      <c r="QYF411" s="120"/>
      <c r="QYG411" s="120"/>
      <c r="QYH411" s="120"/>
      <c r="QYI411" s="120"/>
      <c r="QYJ411" s="121"/>
      <c r="QYK411" s="119"/>
      <c r="QYL411" s="120"/>
      <c r="QYM411" s="120"/>
      <c r="QYN411" s="120"/>
      <c r="QYO411" s="120"/>
      <c r="QYP411" s="120"/>
      <c r="QYQ411" s="121"/>
      <c r="QYR411" s="119"/>
      <c r="QYS411" s="120"/>
      <c r="QYT411" s="120"/>
      <c r="QYU411" s="120"/>
      <c r="QYV411" s="120"/>
      <c r="QYW411" s="120"/>
      <c r="QYX411" s="121"/>
      <c r="QYY411" s="119"/>
      <c r="QYZ411" s="120"/>
      <c r="QZA411" s="120"/>
      <c r="QZB411" s="120"/>
      <c r="QZC411" s="120"/>
      <c r="QZD411" s="120"/>
      <c r="QZE411" s="121"/>
      <c r="QZF411" s="119"/>
      <c r="QZG411" s="120"/>
      <c r="QZH411" s="120"/>
      <c r="QZI411" s="120"/>
      <c r="QZJ411" s="120"/>
      <c r="QZK411" s="120"/>
      <c r="QZL411" s="121"/>
      <c r="QZM411" s="119"/>
      <c r="QZN411" s="120"/>
      <c r="QZO411" s="120"/>
      <c r="QZP411" s="120"/>
      <c r="QZQ411" s="120"/>
      <c r="QZR411" s="120"/>
      <c r="QZS411" s="121"/>
      <c r="QZT411" s="119"/>
      <c r="QZU411" s="120"/>
      <c r="QZV411" s="120"/>
      <c r="QZW411" s="120"/>
      <c r="QZX411" s="120"/>
      <c r="QZY411" s="120"/>
      <c r="QZZ411" s="121"/>
      <c r="RAA411" s="119"/>
      <c r="RAB411" s="120"/>
      <c r="RAC411" s="120"/>
      <c r="RAD411" s="120"/>
      <c r="RAE411" s="120"/>
      <c r="RAF411" s="120"/>
      <c r="RAG411" s="121"/>
      <c r="RAH411" s="119"/>
      <c r="RAI411" s="120"/>
      <c r="RAJ411" s="120"/>
      <c r="RAK411" s="120"/>
      <c r="RAL411" s="120"/>
      <c r="RAM411" s="120"/>
      <c r="RAN411" s="121"/>
      <c r="RAO411" s="119"/>
      <c r="RAP411" s="120"/>
      <c r="RAQ411" s="120"/>
      <c r="RAR411" s="120"/>
      <c r="RAS411" s="120"/>
      <c r="RAT411" s="120"/>
      <c r="RAU411" s="121"/>
      <c r="RAV411" s="119"/>
      <c r="RAW411" s="120"/>
      <c r="RAX411" s="120"/>
      <c r="RAY411" s="120"/>
      <c r="RAZ411" s="120"/>
      <c r="RBA411" s="120"/>
      <c r="RBB411" s="121"/>
      <c r="RBC411" s="119"/>
      <c r="RBD411" s="120"/>
      <c r="RBE411" s="120"/>
      <c r="RBF411" s="120"/>
      <c r="RBG411" s="120"/>
      <c r="RBH411" s="120"/>
      <c r="RBI411" s="121"/>
      <c r="RBJ411" s="119"/>
      <c r="RBK411" s="120"/>
      <c r="RBL411" s="120"/>
      <c r="RBM411" s="120"/>
      <c r="RBN411" s="120"/>
      <c r="RBO411" s="120"/>
      <c r="RBP411" s="121"/>
      <c r="RBQ411" s="119"/>
      <c r="RBR411" s="120"/>
      <c r="RBS411" s="120"/>
      <c r="RBT411" s="120"/>
      <c r="RBU411" s="120"/>
      <c r="RBV411" s="120"/>
      <c r="RBW411" s="121"/>
      <c r="RBX411" s="119"/>
      <c r="RBY411" s="120"/>
      <c r="RBZ411" s="120"/>
      <c r="RCA411" s="120"/>
      <c r="RCB411" s="120"/>
      <c r="RCC411" s="120"/>
      <c r="RCD411" s="121"/>
      <c r="RCE411" s="119"/>
      <c r="RCF411" s="120"/>
      <c r="RCG411" s="120"/>
      <c r="RCH411" s="120"/>
      <c r="RCI411" s="120"/>
      <c r="RCJ411" s="120"/>
      <c r="RCK411" s="121"/>
      <c r="RCL411" s="119"/>
      <c r="RCM411" s="120"/>
      <c r="RCN411" s="120"/>
      <c r="RCO411" s="120"/>
      <c r="RCP411" s="120"/>
      <c r="RCQ411" s="120"/>
      <c r="RCR411" s="121"/>
      <c r="RCS411" s="119"/>
      <c r="RCT411" s="120"/>
      <c r="RCU411" s="120"/>
      <c r="RCV411" s="120"/>
      <c r="RCW411" s="120"/>
      <c r="RCX411" s="120"/>
      <c r="RCY411" s="121"/>
      <c r="RCZ411" s="119"/>
      <c r="RDA411" s="120"/>
      <c r="RDB411" s="120"/>
      <c r="RDC411" s="120"/>
      <c r="RDD411" s="120"/>
      <c r="RDE411" s="120"/>
      <c r="RDF411" s="121"/>
      <c r="RDG411" s="119"/>
      <c r="RDH411" s="120"/>
      <c r="RDI411" s="120"/>
      <c r="RDJ411" s="120"/>
      <c r="RDK411" s="120"/>
      <c r="RDL411" s="120"/>
      <c r="RDM411" s="121"/>
      <c r="RDN411" s="119"/>
      <c r="RDO411" s="120"/>
      <c r="RDP411" s="120"/>
      <c r="RDQ411" s="120"/>
      <c r="RDR411" s="120"/>
      <c r="RDS411" s="120"/>
      <c r="RDT411" s="121"/>
      <c r="RDU411" s="119"/>
      <c r="RDV411" s="120"/>
      <c r="RDW411" s="120"/>
      <c r="RDX411" s="120"/>
      <c r="RDY411" s="120"/>
      <c r="RDZ411" s="120"/>
      <c r="REA411" s="121"/>
      <c r="REB411" s="119"/>
      <c r="REC411" s="120"/>
      <c r="RED411" s="120"/>
      <c r="REE411" s="120"/>
      <c r="REF411" s="120"/>
      <c r="REG411" s="120"/>
      <c r="REH411" s="121"/>
      <c r="REI411" s="119"/>
      <c r="REJ411" s="120"/>
      <c r="REK411" s="120"/>
      <c r="REL411" s="120"/>
      <c r="REM411" s="120"/>
      <c r="REN411" s="120"/>
      <c r="REO411" s="121"/>
      <c r="REP411" s="119"/>
      <c r="REQ411" s="120"/>
      <c r="RER411" s="120"/>
      <c r="RES411" s="120"/>
      <c r="RET411" s="120"/>
      <c r="REU411" s="120"/>
      <c r="REV411" s="121"/>
      <c r="REW411" s="119"/>
      <c r="REX411" s="120"/>
      <c r="REY411" s="120"/>
      <c r="REZ411" s="120"/>
      <c r="RFA411" s="120"/>
      <c r="RFB411" s="120"/>
      <c r="RFC411" s="121"/>
      <c r="RFD411" s="119"/>
      <c r="RFE411" s="120"/>
      <c r="RFF411" s="120"/>
      <c r="RFG411" s="120"/>
      <c r="RFH411" s="120"/>
      <c r="RFI411" s="120"/>
      <c r="RFJ411" s="121"/>
      <c r="RFK411" s="119"/>
      <c r="RFL411" s="120"/>
      <c r="RFM411" s="120"/>
      <c r="RFN411" s="120"/>
      <c r="RFO411" s="120"/>
      <c r="RFP411" s="120"/>
      <c r="RFQ411" s="121"/>
      <c r="RFR411" s="119"/>
      <c r="RFS411" s="120"/>
      <c r="RFT411" s="120"/>
      <c r="RFU411" s="120"/>
      <c r="RFV411" s="120"/>
      <c r="RFW411" s="120"/>
      <c r="RFX411" s="121"/>
      <c r="RFY411" s="119"/>
      <c r="RFZ411" s="120"/>
      <c r="RGA411" s="120"/>
      <c r="RGB411" s="120"/>
      <c r="RGC411" s="120"/>
      <c r="RGD411" s="120"/>
      <c r="RGE411" s="121"/>
      <c r="RGF411" s="119"/>
      <c r="RGG411" s="120"/>
      <c r="RGH411" s="120"/>
      <c r="RGI411" s="120"/>
      <c r="RGJ411" s="120"/>
      <c r="RGK411" s="120"/>
      <c r="RGL411" s="121"/>
      <c r="RGM411" s="119"/>
      <c r="RGN411" s="120"/>
      <c r="RGO411" s="120"/>
      <c r="RGP411" s="120"/>
      <c r="RGQ411" s="120"/>
      <c r="RGR411" s="120"/>
      <c r="RGS411" s="121"/>
      <c r="RGT411" s="119"/>
      <c r="RGU411" s="120"/>
      <c r="RGV411" s="120"/>
      <c r="RGW411" s="120"/>
      <c r="RGX411" s="120"/>
      <c r="RGY411" s="120"/>
      <c r="RGZ411" s="121"/>
      <c r="RHA411" s="119"/>
      <c r="RHB411" s="120"/>
      <c r="RHC411" s="120"/>
      <c r="RHD411" s="120"/>
      <c r="RHE411" s="120"/>
      <c r="RHF411" s="120"/>
      <c r="RHG411" s="121"/>
      <c r="RHH411" s="119"/>
      <c r="RHI411" s="120"/>
      <c r="RHJ411" s="120"/>
      <c r="RHK411" s="120"/>
      <c r="RHL411" s="120"/>
      <c r="RHM411" s="120"/>
      <c r="RHN411" s="121"/>
      <c r="RHO411" s="119"/>
      <c r="RHP411" s="120"/>
      <c r="RHQ411" s="120"/>
      <c r="RHR411" s="120"/>
      <c r="RHS411" s="120"/>
      <c r="RHT411" s="120"/>
      <c r="RHU411" s="121"/>
      <c r="RHV411" s="119"/>
      <c r="RHW411" s="120"/>
      <c r="RHX411" s="120"/>
      <c r="RHY411" s="120"/>
      <c r="RHZ411" s="120"/>
      <c r="RIA411" s="120"/>
      <c r="RIB411" s="121"/>
      <c r="RIC411" s="119"/>
      <c r="RID411" s="120"/>
      <c r="RIE411" s="120"/>
      <c r="RIF411" s="120"/>
      <c r="RIG411" s="120"/>
      <c r="RIH411" s="120"/>
      <c r="RII411" s="121"/>
      <c r="RIJ411" s="119"/>
      <c r="RIK411" s="120"/>
      <c r="RIL411" s="120"/>
      <c r="RIM411" s="120"/>
      <c r="RIN411" s="120"/>
      <c r="RIO411" s="120"/>
      <c r="RIP411" s="121"/>
      <c r="RIQ411" s="119"/>
      <c r="RIR411" s="120"/>
      <c r="RIS411" s="120"/>
      <c r="RIT411" s="120"/>
      <c r="RIU411" s="120"/>
      <c r="RIV411" s="120"/>
      <c r="RIW411" s="121"/>
      <c r="RIX411" s="119"/>
      <c r="RIY411" s="120"/>
      <c r="RIZ411" s="120"/>
      <c r="RJA411" s="120"/>
      <c r="RJB411" s="120"/>
      <c r="RJC411" s="120"/>
      <c r="RJD411" s="121"/>
      <c r="RJE411" s="119"/>
      <c r="RJF411" s="120"/>
      <c r="RJG411" s="120"/>
      <c r="RJH411" s="120"/>
      <c r="RJI411" s="120"/>
      <c r="RJJ411" s="120"/>
      <c r="RJK411" s="121"/>
      <c r="RJL411" s="119"/>
      <c r="RJM411" s="120"/>
      <c r="RJN411" s="120"/>
      <c r="RJO411" s="120"/>
      <c r="RJP411" s="120"/>
      <c r="RJQ411" s="120"/>
      <c r="RJR411" s="121"/>
      <c r="RJS411" s="119"/>
      <c r="RJT411" s="120"/>
      <c r="RJU411" s="120"/>
      <c r="RJV411" s="120"/>
      <c r="RJW411" s="120"/>
      <c r="RJX411" s="120"/>
      <c r="RJY411" s="121"/>
      <c r="RJZ411" s="119"/>
      <c r="RKA411" s="120"/>
      <c r="RKB411" s="120"/>
      <c r="RKC411" s="120"/>
      <c r="RKD411" s="120"/>
      <c r="RKE411" s="120"/>
      <c r="RKF411" s="121"/>
      <c r="RKG411" s="119"/>
      <c r="RKH411" s="120"/>
      <c r="RKI411" s="120"/>
      <c r="RKJ411" s="120"/>
      <c r="RKK411" s="120"/>
      <c r="RKL411" s="120"/>
      <c r="RKM411" s="121"/>
      <c r="RKN411" s="119"/>
      <c r="RKO411" s="120"/>
      <c r="RKP411" s="120"/>
      <c r="RKQ411" s="120"/>
      <c r="RKR411" s="120"/>
      <c r="RKS411" s="120"/>
      <c r="RKT411" s="121"/>
      <c r="RKU411" s="119"/>
      <c r="RKV411" s="120"/>
      <c r="RKW411" s="120"/>
      <c r="RKX411" s="120"/>
      <c r="RKY411" s="120"/>
      <c r="RKZ411" s="120"/>
      <c r="RLA411" s="121"/>
      <c r="RLB411" s="119"/>
      <c r="RLC411" s="120"/>
      <c r="RLD411" s="120"/>
      <c r="RLE411" s="120"/>
      <c r="RLF411" s="120"/>
      <c r="RLG411" s="120"/>
      <c r="RLH411" s="121"/>
      <c r="RLI411" s="119"/>
      <c r="RLJ411" s="120"/>
      <c r="RLK411" s="120"/>
      <c r="RLL411" s="120"/>
      <c r="RLM411" s="120"/>
      <c r="RLN411" s="120"/>
      <c r="RLO411" s="121"/>
      <c r="RLP411" s="119"/>
      <c r="RLQ411" s="120"/>
      <c r="RLR411" s="120"/>
      <c r="RLS411" s="120"/>
      <c r="RLT411" s="120"/>
      <c r="RLU411" s="120"/>
      <c r="RLV411" s="121"/>
      <c r="RLW411" s="119"/>
      <c r="RLX411" s="120"/>
      <c r="RLY411" s="120"/>
      <c r="RLZ411" s="120"/>
      <c r="RMA411" s="120"/>
      <c r="RMB411" s="120"/>
      <c r="RMC411" s="121"/>
      <c r="RMD411" s="119"/>
      <c r="RME411" s="120"/>
      <c r="RMF411" s="120"/>
      <c r="RMG411" s="120"/>
      <c r="RMH411" s="120"/>
      <c r="RMI411" s="120"/>
      <c r="RMJ411" s="121"/>
      <c r="RMK411" s="119"/>
      <c r="RML411" s="120"/>
      <c r="RMM411" s="120"/>
      <c r="RMN411" s="120"/>
      <c r="RMO411" s="120"/>
      <c r="RMP411" s="120"/>
      <c r="RMQ411" s="121"/>
      <c r="RMR411" s="119"/>
      <c r="RMS411" s="120"/>
      <c r="RMT411" s="120"/>
      <c r="RMU411" s="120"/>
      <c r="RMV411" s="120"/>
      <c r="RMW411" s="120"/>
      <c r="RMX411" s="121"/>
      <c r="RMY411" s="119"/>
      <c r="RMZ411" s="120"/>
      <c r="RNA411" s="120"/>
      <c r="RNB411" s="120"/>
      <c r="RNC411" s="120"/>
      <c r="RND411" s="120"/>
      <c r="RNE411" s="121"/>
      <c r="RNF411" s="119"/>
      <c r="RNG411" s="120"/>
      <c r="RNH411" s="120"/>
      <c r="RNI411" s="120"/>
      <c r="RNJ411" s="120"/>
      <c r="RNK411" s="120"/>
      <c r="RNL411" s="121"/>
      <c r="RNM411" s="119"/>
      <c r="RNN411" s="120"/>
      <c r="RNO411" s="120"/>
      <c r="RNP411" s="120"/>
      <c r="RNQ411" s="120"/>
      <c r="RNR411" s="120"/>
      <c r="RNS411" s="121"/>
      <c r="RNT411" s="119"/>
      <c r="RNU411" s="120"/>
      <c r="RNV411" s="120"/>
      <c r="RNW411" s="120"/>
      <c r="RNX411" s="120"/>
      <c r="RNY411" s="120"/>
      <c r="RNZ411" s="121"/>
      <c r="ROA411" s="119"/>
      <c r="ROB411" s="120"/>
      <c r="ROC411" s="120"/>
      <c r="ROD411" s="120"/>
      <c r="ROE411" s="120"/>
      <c r="ROF411" s="120"/>
      <c r="ROG411" s="121"/>
      <c r="ROH411" s="119"/>
      <c r="ROI411" s="120"/>
      <c r="ROJ411" s="120"/>
      <c r="ROK411" s="120"/>
      <c r="ROL411" s="120"/>
      <c r="ROM411" s="120"/>
      <c r="RON411" s="121"/>
      <c r="ROO411" s="119"/>
      <c r="ROP411" s="120"/>
      <c r="ROQ411" s="120"/>
      <c r="ROR411" s="120"/>
      <c r="ROS411" s="120"/>
      <c r="ROT411" s="120"/>
      <c r="ROU411" s="121"/>
      <c r="ROV411" s="119"/>
      <c r="ROW411" s="120"/>
      <c r="ROX411" s="120"/>
      <c r="ROY411" s="120"/>
      <c r="ROZ411" s="120"/>
      <c r="RPA411" s="120"/>
      <c r="RPB411" s="121"/>
      <c r="RPC411" s="119"/>
      <c r="RPD411" s="120"/>
      <c r="RPE411" s="120"/>
      <c r="RPF411" s="120"/>
      <c r="RPG411" s="120"/>
      <c r="RPH411" s="120"/>
      <c r="RPI411" s="121"/>
      <c r="RPJ411" s="119"/>
      <c r="RPK411" s="120"/>
      <c r="RPL411" s="120"/>
      <c r="RPM411" s="120"/>
      <c r="RPN411" s="120"/>
      <c r="RPO411" s="120"/>
      <c r="RPP411" s="121"/>
      <c r="RPQ411" s="119"/>
      <c r="RPR411" s="120"/>
      <c r="RPS411" s="120"/>
      <c r="RPT411" s="120"/>
      <c r="RPU411" s="120"/>
      <c r="RPV411" s="120"/>
      <c r="RPW411" s="121"/>
      <c r="RPX411" s="119"/>
      <c r="RPY411" s="120"/>
      <c r="RPZ411" s="120"/>
      <c r="RQA411" s="120"/>
      <c r="RQB411" s="120"/>
      <c r="RQC411" s="120"/>
      <c r="RQD411" s="121"/>
      <c r="RQE411" s="119"/>
      <c r="RQF411" s="120"/>
      <c r="RQG411" s="120"/>
      <c r="RQH411" s="120"/>
      <c r="RQI411" s="120"/>
      <c r="RQJ411" s="120"/>
      <c r="RQK411" s="121"/>
      <c r="RQL411" s="119"/>
      <c r="RQM411" s="120"/>
      <c r="RQN411" s="120"/>
      <c r="RQO411" s="120"/>
      <c r="RQP411" s="120"/>
      <c r="RQQ411" s="120"/>
      <c r="RQR411" s="121"/>
      <c r="RQS411" s="119"/>
      <c r="RQT411" s="120"/>
      <c r="RQU411" s="120"/>
      <c r="RQV411" s="120"/>
      <c r="RQW411" s="120"/>
      <c r="RQX411" s="120"/>
      <c r="RQY411" s="121"/>
      <c r="RQZ411" s="119"/>
      <c r="RRA411" s="120"/>
      <c r="RRB411" s="120"/>
      <c r="RRC411" s="120"/>
      <c r="RRD411" s="120"/>
      <c r="RRE411" s="120"/>
      <c r="RRF411" s="121"/>
      <c r="RRG411" s="119"/>
      <c r="RRH411" s="120"/>
      <c r="RRI411" s="120"/>
      <c r="RRJ411" s="120"/>
      <c r="RRK411" s="120"/>
      <c r="RRL411" s="120"/>
      <c r="RRM411" s="121"/>
      <c r="RRN411" s="119"/>
      <c r="RRO411" s="120"/>
      <c r="RRP411" s="120"/>
      <c r="RRQ411" s="120"/>
      <c r="RRR411" s="120"/>
      <c r="RRS411" s="120"/>
      <c r="RRT411" s="121"/>
      <c r="RRU411" s="119"/>
      <c r="RRV411" s="120"/>
      <c r="RRW411" s="120"/>
      <c r="RRX411" s="120"/>
      <c r="RRY411" s="120"/>
      <c r="RRZ411" s="120"/>
      <c r="RSA411" s="121"/>
      <c r="RSB411" s="119"/>
      <c r="RSC411" s="120"/>
      <c r="RSD411" s="120"/>
      <c r="RSE411" s="120"/>
      <c r="RSF411" s="120"/>
      <c r="RSG411" s="120"/>
      <c r="RSH411" s="121"/>
      <c r="RSI411" s="119"/>
      <c r="RSJ411" s="120"/>
      <c r="RSK411" s="120"/>
      <c r="RSL411" s="120"/>
      <c r="RSM411" s="120"/>
      <c r="RSN411" s="120"/>
      <c r="RSO411" s="121"/>
      <c r="RSP411" s="119"/>
      <c r="RSQ411" s="120"/>
      <c r="RSR411" s="120"/>
      <c r="RSS411" s="120"/>
      <c r="RST411" s="120"/>
      <c r="RSU411" s="120"/>
      <c r="RSV411" s="121"/>
      <c r="RSW411" s="119"/>
      <c r="RSX411" s="120"/>
      <c r="RSY411" s="120"/>
      <c r="RSZ411" s="120"/>
      <c r="RTA411" s="120"/>
      <c r="RTB411" s="120"/>
      <c r="RTC411" s="121"/>
      <c r="RTD411" s="119"/>
      <c r="RTE411" s="120"/>
      <c r="RTF411" s="120"/>
      <c r="RTG411" s="120"/>
      <c r="RTH411" s="120"/>
      <c r="RTI411" s="120"/>
      <c r="RTJ411" s="121"/>
      <c r="RTK411" s="119"/>
      <c r="RTL411" s="120"/>
      <c r="RTM411" s="120"/>
      <c r="RTN411" s="120"/>
      <c r="RTO411" s="120"/>
      <c r="RTP411" s="120"/>
      <c r="RTQ411" s="121"/>
      <c r="RTR411" s="119"/>
      <c r="RTS411" s="120"/>
      <c r="RTT411" s="120"/>
      <c r="RTU411" s="120"/>
      <c r="RTV411" s="120"/>
      <c r="RTW411" s="120"/>
      <c r="RTX411" s="121"/>
      <c r="RTY411" s="119"/>
      <c r="RTZ411" s="120"/>
      <c r="RUA411" s="120"/>
      <c r="RUB411" s="120"/>
      <c r="RUC411" s="120"/>
      <c r="RUD411" s="120"/>
      <c r="RUE411" s="121"/>
      <c r="RUF411" s="119"/>
      <c r="RUG411" s="120"/>
      <c r="RUH411" s="120"/>
      <c r="RUI411" s="120"/>
      <c r="RUJ411" s="120"/>
      <c r="RUK411" s="120"/>
      <c r="RUL411" s="121"/>
      <c r="RUM411" s="119"/>
      <c r="RUN411" s="120"/>
      <c r="RUO411" s="120"/>
      <c r="RUP411" s="120"/>
      <c r="RUQ411" s="120"/>
      <c r="RUR411" s="120"/>
      <c r="RUS411" s="121"/>
      <c r="RUT411" s="119"/>
      <c r="RUU411" s="120"/>
      <c r="RUV411" s="120"/>
      <c r="RUW411" s="120"/>
      <c r="RUX411" s="120"/>
      <c r="RUY411" s="120"/>
      <c r="RUZ411" s="121"/>
      <c r="RVA411" s="119"/>
      <c r="RVB411" s="120"/>
      <c r="RVC411" s="120"/>
      <c r="RVD411" s="120"/>
      <c r="RVE411" s="120"/>
      <c r="RVF411" s="120"/>
      <c r="RVG411" s="121"/>
      <c r="RVH411" s="119"/>
      <c r="RVI411" s="120"/>
      <c r="RVJ411" s="120"/>
      <c r="RVK411" s="120"/>
      <c r="RVL411" s="120"/>
      <c r="RVM411" s="120"/>
      <c r="RVN411" s="121"/>
      <c r="RVO411" s="119"/>
      <c r="RVP411" s="120"/>
      <c r="RVQ411" s="120"/>
      <c r="RVR411" s="120"/>
      <c r="RVS411" s="120"/>
      <c r="RVT411" s="120"/>
      <c r="RVU411" s="121"/>
      <c r="RVV411" s="119"/>
      <c r="RVW411" s="120"/>
      <c r="RVX411" s="120"/>
      <c r="RVY411" s="120"/>
      <c r="RVZ411" s="120"/>
      <c r="RWA411" s="120"/>
      <c r="RWB411" s="121"/>
      <c r="RWC411" s="119"/>
      <c r="RWD411" s="120"/>
      <c r="RWE411" s="120"/>
      <c r="RWF411" s="120"/>
      <c r="RWG411" s="120"/>
      <c r="RWH411" s="120"/>
      <c r="RWI411" s="121"/>
      <c r="RWJ411" s="119"/>
      <c r="RWK411" s="120"/>
      <c r="RWL411" s="120"/>
      <c r="RWM411" s="120"/>
      <c r="RWN411" s="120"/>
      <c r="RWO411" s="120"/>
      <c r="RWP411" s="121"/>
      <c r="RWQ411" s="119"/>
      <c r="RWR411" s="120"/>
      <c r="RWS411" s="120"/>
      <c r="RWT411" s="120"/>
      <c r="RWU411" s="120"/>
      <c r="RWV411" s="120"/>
      <c r="RWW411" s="121"/>
      <c r="RWX411" s="119"/>
      <c r="RWY411" s="120"/>
      <c r="RWZ411" s="120"/>
      <c r="RXA411" s="120"/>
      <c r="RXB411" s="120"/>
      <c r="RXC411" s="120"/>
      <c r="RXD411" s="121"/>
      <c r="RXE411" s="119"/>
      <c r="RXF411" s="120"/>
      <c r="RXG411" s="120"/>
      <c r="RXH411" s="120"/>
      <c r="RXI411" s="120"/>
      <c r="RXJ411" s="120"/>
      <c r="RXK411" s="121"/>
      <c r="RXL411" s="119"/>
      <c r="RXM411" s="120"/>
      <c r="RXN411" s="120"/>
      <c r="RXO411" s="120"/>
      <c r="RXP411" s="120"/>
      <c r="RXQ411" s="120"/>
      <c r="RXR411" s="121"/>
      <c r="RXS411" s="119"/>
      <c r="RXT411" s="120"/>
      <c r="RXU411" s="120"/>
      <c r="RXV411" s="120"/>
      <c r="RXW411" s="120"/>
      <c r="RXX411" s="120"/>
      <c r="RXY411" s="121"/>
      <c r="RXZ411" s="119"/>
      <c r="RYA411" s="120"/>
      <c r="RYB411" s="120"/>
      <c r="RYC411" s="120"/>
      <c r="RYD411" s="120"/>
      <c r="RYE411" s="120"/>
      <c r="RYF411" s="121"/>
      <c r="RYG411" s="119"/>
      <c r="RYH411" s="120"/>
      <c r="RYI411" s="120"/>
      <c r="RYJ411" s="120"/>
      <c r="RYK411" s="120"/>
      <c r="RYL411" s="120"/>
      <c r="RYM411" s="121"/>
      <c r="RYN411" s="119"/>
      <c r="RYO411" s="120"/>
      <c r="RYP411" s="120"/>
      <c r="RYQ411" s="120"/>
      <c r="RYR411" s="120"/>
      <c r="RYS411" s="120"/>
      <c r="RYT411" s="121"/>
      <c r="RYU411" s="119"/>
      <c r="RYV411" s="120"/>
      <c r="RYW411" s="120"/>
      <c r="RYX411" s="120"/>
      <c r="RYY411" s="120"/>
      <c r="RYZ411" s="120"/>
      <c r="RZA411" s="121"/>
      <c r="RZB411" s="119"/>
      <c r="RZC411" s="120"/>
      <c r="RZD411" s="120"/>
      <c r="RZE411" s="120"/>
      <c r="RZF411" s="120"/>
      <c r="RZG411" s="120"/>
      <c r="RZH411" s="121"/>
      <c r="RZI411" s="119"/>
      <c r="RZJ411" s="120"/>
      <c r="RZK411" s="120"/>
      <c r="RZL411" s="120"/>
      <c r="RZM411" s="120"/>
      <c r="RZN411" s="120"/>
      <c r="RZO411" s="121"/>
      <c r="RZP411" s="119"/>
      <c r="RZQ411" s="120"/>
      <c r="RZR411" s="120"/>
      <c r="RZS411" s="120"/>
      <c r="RZT411" s="120"/>
      <c r="RZU411" s="120"/>
      <c r="RZV411" s="121"/>
      <c r="RZW411" s="119"/>
      <c r="RZX411" s="120"/>
      <c r="RZY411" s="120"/>
      <c r="RZZ411" s="120"/>
      <c r="SAA411" s="120"/>
      <c r="SAB411" s="120"/>
      <c r="SAC411" s="121"/>
      <c r="SAD411" s="119"/>
      <c r="SAE411" s="120"/>
      <c r="SAF411" s="120"/>
      <c r="SAG411" s="120"/>
      <c r="SAH411" s="120"/>
      <c r="SAI411" s="120"/>
      <c r="SAJ411" s="121"/>
      <c r="SAK411" s="119"/>
      <c r="SAL411" s="120"/>
      <c r="SAM411" s="120"/>
      <c r="SAN411" s="120"/>
      <c r="SAO411" s="120"/>
      <c r="SAP411" s="120"/>
      <c r="SAQ411" s="121"/>
      <c r="SAR411" s="119"/>
      <c r="SAS411" s="120"/>
      <c r="SAT411" s="120"/>
      <c r="SAU411" s="120"/>
      <c r="SAV411" s="120"/>
      <c r="SAW411" s="120"/>
      <c r="SAX411" s="121"/>
      <c r="SAY411" s="119"/>
      <c r="SAZ411" s="120"/>
      <c r="SBA411" s="120"/>
      <c r="SBB411" s="120"/>
      <c r="SBC411" s="120"/>
      <c r="SBD411" s="120"/>
      <c r="SBE411" s="121"/>
      <c r="SBF411" s="119"/>
      <c r="SBG411" s="120"/>
      <c r="SBH411" s="120"/>
      <c r="SBI411" s="120"/>
      <c r="SBJ411" s="120"/>
      <c r="SBK411" s="120"/>
      <c r="SBL411" s="121"/>
      <c r="SBM411" s="119"/>
      <c r="SBN411" s="120"/>
      <c r="SBO411" s="120"/>
      <c r="SBP411" s="120"/>
      <c r="SBQ411" s="120"/>
      <c r="SBR411" s="120"/>
      <c r="SBS411" s="121"/>
      <c r="SBT411" s="119"/>
      <c r="SBU411" s="120"/>
      <c r="SBV411" s="120"/>
      <c r="SBW411" s="120"/>
      <c r="SBX411" s="120"/>
      <c r="SBY411" s="120"/>
      <c r="SBZ411" s="121"/>
      <c r="SCA411" s="119"/>
      <c r="SCB411" s="120"/>
      <c r="SCC411" s="120"/>
      <c r="SCD411" s="120"/>
      <c r="SCE411" s="120"/>
      <c r="SCF411" s="120"/>
      <c r="SCG411" s="121"/>
      <c r="SCH411" s="119"/>
      <c r="SCI411" s="120"/>
      <c r="SCJ411" s="120"/>
      <c r="SCK411" s="120"/>
      <c r="SCL411" s="120"/>
      <c r="SCM411" s="120"/>
      <c r="SCN411" s="121"/>
      <c r="SCO411" s="119"/>
      <c r="SCP411" s="120"/>
      <c r="SCQ411" s="120"/>
      <c r="SCR411" s="120"/>
      <c r="SCS411" s="120"/>
      <c r="SCT411" s="120"/>
      <c r="SCU411" s="121"/>
      <c r="SCV411" s="119"/>
      <c r="SCW411" s="120"/>
      <c r="SCX411" s="120"/>
      <c r="SCY411" s="120"/>
      <c r="SCZ411" s="120"/>
      <c r="SDA411" s="120"/>
      <c r="SDB411" s="121"/>
      <c r="SDC411" s="119"/>
      <c r="SDD411" s="120"/>
      <c r="SDE411" s="120"/>
      <c r="SDF411" s="120"/>
      <c r="SDG411" s="120"/>
      <c r="SDH411" s="120"/>
      <c r="SDI411" s="121"/>
      <c r="SDJ411" s="119"/>
      <c r="SDK411" s="120"/>
      <c r="SDL411" s="120"/>
      <c r="SDM411" s="120"/>
      <c r="SDN411" s="120"/>
      <c r="SDO411" s="120"/>
      <c r="SDP411" s="121"/>
      <c r="SDQ411" s="119"/>
      <c r="SDR411" s="120"/>
      <c r="SDS411" s="120"/>
      <c r="SDT411" s="120"/>
      <c r="SDU411" s="120"/>
      <c r="SDV411" s="120"/>
      <c r="SDW411" s="121"/>
      <c r="SDX411" s="119"/>
      <c r="SDY411" s="120"/>
      <c r="SDZ411" s="120"/>
      <c r="SEA411" s="120"/>
      <c r="SEB411" s="120"/>
      <c r="SEC411" s="120"/>
      <c r="SED411" s="121"/>
      <c r="SEE411" s="119"/>
      <c r="SEF411" s="120"/>
      <c r="SEG411" s="120"/>
      <c r="SEH411" s="120"/>
      <c r="SEI411" s="120"/>
      <c r="SEJ411" s="120"/>
      <c r="SEK411" s="121"/>
      <c r="SEL411" s="119"/>
      <c r="SEM411" s="120"/>
      <c r="SEN411" s="120"/>
      <c r="SEO411" s="120"/>
      <c r="SEP411" s="120"/>
      <c r="SEQ411" s="120"/>
      <c r="SER411" s="121"/>
      <c r="SES411" s="119"/>
      <c r="SET411" s="120"/>
      <c r="SEU411" s="120"/>
      <c r="SEV411" s="120"/>
      <c r="SEW411" s="120"/>
      <c r="SEX411" s="120"/>
      <c r="SEY411" s="121"/>
      <c r="SEZ411" s="119"/>
      <c r="SFA411" s="120"/>
      <c r="SFB411" s="120"/>
      <c r="SFC411" s="120"/>
      <c r="SFD411" s="120"/>
      <c r="SFE411" s="120"/>
      <c r="SFF411" s="121"/>
      <c r="SFG411" s="119"/>
      <c r="SFH411" s="120"/>
      <c r="SFI411" s="120"/>
      <c r="SFJ411" s="120"/>
      <c r="SFK411" s="120"/>
      <c r="SFL411" s="120"/>
      <c r="SFM411" s="121"/>
      <c r="SFN411" s="119"/>
      <c r="SFO411" s="120"/>
      <c r="SFP411" s="120"/>
      <c r="SFQ411" s="120"/>
      <c r="SFR411" s="120"/>
      <c r="SFS411" s="120"/>
      <c r="SFT411" s="121"/>
      <c r="SFU411" s="119"/>
      <c r="SFV411" s="120"/>
      <c r="SFW411" s="120"/>
      <c r="SFX411" s="120"/>
      <c r="SFY411" s="120"/>
      <c r="SFZ411" s="120"/>
      <c r="SGA411" s="121"/>
      <c r="SGB411" s="119"/>
      <c r="SGC411" s="120"/>
      <c r="SGD411" s="120"/>
      <c r="SGE411" s="120"/>
      <c r="SGF411" s="120"/>
      <c r="SGG411" s="120"/>
      <c r="SGH411" s="121"/>
      <c r="SGI411" s="119"/>
      <c r="SGJ411" s="120"/>
      <c r="SGK411" s="120"/>
      <c r="SGL411" s="120"/>
      <c r="SGM411" s="120"/>
      <c r="SGN411" s="120"/>
      <c r="SGO411" s="121"/>
      <c r="SGP411" s="119"/>
      <c r="SGQ411" s="120"/>
      <c r="SGR411" s="120"/>
      <c r="SGS411" s="120"/>
      <c r="SGT411" s="120"/>
      <c r="SGU411" s="120"/>
      <c r="SGV411" s="121"/>
      <c r="SGW411" s="119"/>
      <c r="SGX411" s="120"/>
      <c r="SGY411" s="120"/>
      <c r="SGZ411" s="120"/>
      <c r="SHA411" s="120"/>
      <c r="SHB411" s="120"/>
      <c r="SHC411" s="121"/>
      <c r="SHD411" s="119"/>
      <c r="SHE411" s="120"/>
      <c r="SHF411" s="120"/>
      <c r="SHG411" s="120"/>
      <c r="SHH411" s="120"/>
      <c r="SHI411" s="120"/>
      <c r="SHJ411" s="121"/>
      <c r="SHK411" s="119"/>
      <c r="SHL411" s="120"/>
      <c r="SHM411" s="120"/>
      <c r="SHN411" s="120"/>
      <c r="SHO411" s="120"/>
      <c r="SHP411" s="120"/>
      <c r="SHQ411" s="121"/>
      <c r="SHR411" s="119"/>
      <c r="SHS411" s="120"/>
      <c r="SHT411" s="120"/>
      <c r="SHU411" s="120"/>
      <c r="SHV411" s="120"/>
      <c r="SHW411" s="120"/>
      <c r="SHX411" s="121"/>
      <c r="SHY411" s="119"/>
      <c r="SHZ411" s="120"/>
      <c r="SIA411" s="120"/>
      <c r="SIB411" s="120"/>
      <c r="SIC411" s="120"/>
      <c r="SID411" s="120"/>
      <c r="SIE411" s="121"/>
      <c r="SIF411" s="119"/>
      <c r="SIG411" s="120"/>
      <c r="SIH411" s="120"/>
      <c r="SII411" s="120"/>
      <c r="SIJ411" s="120"/>
      <c r="SIK411" s="120"/>
      <c r="SIL411" s="121"/>
      <c r="SIM411" s="119"/>
      <c r="SIN411" s="120"/>
      <c r="SIO411" s="120"/>
      <c r="SIP411" s="120"/>
      <c r="SIQ411" s="120"/>
      <c r="SIR411" s="120"/>
      <c r="SIS411" s="121"/>
      <c r="SIT411" s="119"/>
      <c r="SIU411" s="120"/>
      <c r="SIV411" s="120"/>
      <c r="SIW411" s="120"/>
      <c r="SIX411" s="120"/>
      <c r="SIY411" s="120"/>
      <c r="SIZ411" s="121"/>
      <c r="SJA411" s="119"/>
      <c r="SJB411" s="120"/>
      <c r="SJC411" s="120"/>
      <c r="SJD411" s="120"/>
      <c r="SJE411" s="120"/>
      <c r="SJF411" s="120"/>
      <c r="SJG411" s="121"/>
      <c r="SJH411" s="119"/>
      <c r="SJI411" s="120"/>
      <c r="SJJ411" s="120"/>
      <c r="SJK411" s="120"/>
      <c r="SJL411" s="120"/>
      <c r="SJM411" s="120"/>
      <c r="SJN411" s="121"/>
      <c r="SJO411" s="119"/>
      <c r="SJP411" s="120"/>
      <c r="SJQ411" s="120"/>
      <c r="SJR411" s="120"/>
      <c r="SJS411" s="120"/>
      <c r="SJT411" s="120"/>
      <c r="SJU411" s="121"/>
      <c r="SJV411" s="119"/>
      <c r="SJW411" s="120"/>
      <c r="SJX411" s="120"/>
      <c r="SJY411" s="120"/>
      <c r="SJZ411" s="120"/>
      <c r="SKA411" s="120"/>
      <c r="SKB411" s="121"/>
      <c r="SKC411" s="119"/>
      <c r="SKD411" s="120"/>
      <c r="SKE411" s="120"/>
      <c r="SKF411" s="120"/>
      <c r="SKG411" s="120"/>
      <c r="SKH411" s="120"/>
      <c r="SKI411" s="121"/>
      <c r="SKJ411" s="119"/>
      <c r="SKK411" s="120"/>
      <c r="SKL411" s="120"/>
      <c r="SKM411" s="120"/>
      <c r="SKN411" s="120"/>
      <c r="SKO411" s="120"/>
      <c r="SKP411" s="121"/>
      <c r="SKQ411" s="119"/>
      <c r="SKR411" s="120"/>
      <c r="SKS411" s="120"/>
      <c r="SKT411" s="120"/>
      <c r="SKU411" s="120"/>
      <c r="SKV411" s="120"/>
      <c r="SKW411" s="121"/>
      <c r="SKX411" s="119"/>
      <c r="SKY411" s="120"/>
      <c r="SKZ411" s="120"/>
      <c r="SLA411" s="120"/>
      <c r="SLB411" s="120"/>
      <c r="SLC411" s="120"/>
      <c r="SLD411" s="121"/>
      <c r="SLE411" s="119"/>
      <c r="SLF411" s="120"/>
      <c r="SLG411" s="120"/>
      <c r="SLH411" s="120"/>
      <c r="SLI411" s="120"/>
      <c r="SLJ411" s="120"/>
      <c r="SLK411" s="121"/>
      <c r="SLL411" s="119"/>
      <c r="SLM411" s="120"/>
      <c r="SLN411" s="120"/>
      <c r="SLO411" s="120"/>
      <c r="SLP411" s="120"/>
      <c r="SLQ411" s="120"/>
      <c r="SLR411" s="121"/>
      <c r="SLS411" s="119"/>
      <c r="SLT411" s="120"/>
      <c r="SLU411" s="120"/>
      <c r="SLV411" s="120"/>
      <c r="SLW411" s="120"/>
      <c r="SLX411" s="120"/>
      <c r="SLY411" s="121"/>
      <c r="SLZ411" s="119"/>
      <c r="SMA411" s="120"/>
      <c r="SMB411" s="120"/>
      <c r="SMC411" s="120"/>
      <c r="SMD411" s="120"/>
      <c r="SME411" s="120"/>
      <c r="SMF411" s="121"/>
      <c r="SMG411" s="119"/>
      <c r="SMH411" s="120"/>
      <c r="SMI411" s="120"/>
      <c r="SMJ411" s="120"/>
      <c r="SMK411" s="120"/>
      <c r="SML411" s="120"/>
      <c r="SMM411" s="121"/>
      <c r="SMN411" s="119"/>
      <c r="SMO411" s="120"/>
      <c r="SMP411" s="120"/>
      <c r="SMQ411" s="120"/>
      <c r="SMR411" s="120"/>
      <c r="SMS411" s="120"/>
      <c r="SMT411" s="121"/>
      <c r="SMU411" s="119"/>
      <c r="SMV411" s="120"/>
      <c r="SMW411" s="120"/>
      <c r="SMX411" s="120"/>
      <c r="SMY411" s="120"/>
      <c r="SMZ411" s="120"/>
      <c r="SNA411" s="121"/>
      <c r="SNB411" s="119"/>
      <c r="SNC411" s="120"/>
      <c r="SND411" s="120"/>
      <c r="SNE411" s="120"/>
      <c r="SNF411" s="120"/>
      <c r="SNG411" s="120"/>
      <c r="SNH411" s="121"/>
      <c r="SNI411" s="119"/>
      <c r="SNJ411" s="120"/>
      <c r="SNK411" s="120"/>
      <c r="SNL411" s="120"/>
      <c r="SNM411" s="120"/>
      <c r="SNN411" s="120"/>
      <c r="SNO411" s="121"/>
      <c r="SNP411" s="119"/>
      <c r="SNQ411" s="120"/>
      <c r="SNR411" s="120"/>
      <c r="SNS411" s="120"/>
      <c r="SNT411" s="120"/>
      <c r="SNU411" s="120"/>
      <c r="SNV411" s="121"/>
      <c r="SNW411" s="119"/>
      <c r="SNX411" s="120"/>
      <c r="SNY411" s="120"/>
      <c r="SNZ411" s="120"/>
      <c r="SOA411" s="120"/>
      <c r="SOB411" s="120"/>
      <c r="SOC411" s="121"/>
      <c r="SOD411" s="119"/>
      <c r="SOE411" s="120"/>
      <c r="SOF411" s="120"/>
      <c r="SOG411" s="120"/>
      <c r="SOH411" s="120"/>
      <c r="SOI411" s="120"/>
      <c r="SOJ411" s="121"/>
      <c r="SOK411" s="119"/>
      <c r="SOL411" s="120"/>
      <c r="SOM411" s="120"/>
      <c r="SON411" s="120"/>
      <c r="SOO411" s="120"/>
      <c r="SOP411" s="120"/>
      <c r="SOQ411" s="121"/>
      <c r="SOR411" s="119"/>
      <c r="SOS411" s="120"/>
      <c r="SOT411" s="120"/>
      <c r="SOU411" s="120"/>
      <c r="SOV411" s="120"/>
      <c r="SOW411" s="120"/>
      <c r="SOX411" s="121"/>
      <c r="SOY411" s="119"/>
      <c r="SOZ411" s="120"/>
      <c r="SPA411" s="120"/>
      <c r="SPB411" s="120"/>
      <c r="SPC411" s="120"/>
      <c r="SPD411" s="120"/>
      <c r="SPE411" s="121"/>
      <c r="SPF411" s="119"/>
      <c r="SPG411" s="120"/>
      <c r="SPH411" s="120"/>
      <c r="SPI411" s="120"/>
      <c r="SPJ411" s="120"/>
      <c r="SPK411" s="120"/>
      <c r="SPL411" s="121"/>
      <c r="SPM411" s="119"/>
      <c r="SPN411" s="120"/>
      <c r="SPO411" s="120"/>
      <c r="SPP411" s="120"/>
      <c r="SPQ411" s="120"/>
      <c r="SPR411" s="120"/>
      <c r="SPS411" s="121"/>
      <c r="SPT411" s="119"/>
      <c r="SPU411" s="120"/>
      <c r="SPV411" s="120"/>
      <c r="SPW411" s="120"/>
      <c r="SPX411" s="120"/>
      <c r="SPY411" s="120"/>
      <c r="SPZ411" s="121"/>
      <c r="SQA411" s="119"/>
      <c r="SQB411" s="120"/>
      <c r="SQC411" s="120"/>
      <c r="SQD411" s="120"/>
      <c r="SQE411" s="120"/>
      <c r="SQF411" s="120"/>
      <c r="SQG411" s="121"/>
      <c r="SQH411" s="119"/>
      <c r="SQI411" s="120"/>
      <c r="SQJ411" s="120"/>
      <c r="SQK411" s="120"/>
      <c r="SQL411" s="120"/>
      <c r="SQM411" s="120"/>
      <c r="SQN411" s="121"/>
      <c r="SQO411" s="119"/>
      <c r="SQP411" s="120"/>
      <c r="SQQ411" s="120"/>
      <c r="SQR411" s="120"/>
      <c r="SQS411" s="120"/>
      <c r="SQT411" s="120"/>
      <c r="SQU411" s="121"/>
      <c r="SQV411" s="119"/>
      <c r="SQW411" s="120"/>
      <c r="SQX411" s="120"/>
      <c r="SQY411" s="120"/>
      <c r="SQZ411" s="120"/>
      <c r="SRA411" s="120"/>
      <c r="SRB411" s="121"/>
      <c r="SRC411" s="119"/>
      <c r="SRD411" s="120"/>
      <c r="SRE411" s="120"/>
      <c r="SRF411" s="120"/>
      <c r="SRG411" s="120"/>
      <c r="SRH411" s="120"/>
      <c r="SRI411" s="121"/>
      <c r="SRJ411" s="119"/>
      <c r="SRK411" s="120"/>
      <c r="SRL411" s="120"/>
      <c r="SRM411" s="120"/>
      <c r="SRN411" s="120"/>
      <c r="SRO411" s="120"/>
      <c r="SRP411" s="121"/>
      <c r="SRQ411" s="119"/>
      <c r="SRR411" s="120"/>
      <c r="SRS411" s="120"/>
      <c r="SRT411" s="120"/>
      <c r="SRU411" s="120"/>
      <c r="SRV411" s="120"/>
      <c r="SRW411" s="121"/>
      <c r="SRX411" s="119"/>
      <c r="SRY411" s="120"/>
      <c r="SRZ411" s="120"/>
      <c r="SSA411" s="120"/>
      <c r="SSB411" s="120"/>
      <c r="SSC411" s="120"/>
      <c r="SSD411" s="121"/>
      <c r="SSE411" s="119"/>
      <c r="SSF411" s="120"/>
      <c r="SSG411" s="120"/>
      <c r="SSH411" s="120"/>
      <c r="SSI411" s="120"/>
      <c r="SSJ411" s="120"/>
      <c r="SSK411" s="121"/>
      <c r="SSL411" s="119"/>
      <c r="SSM411" s="120"/>
      <c r="SSN411" s="120"/>
      <c r="SSO411" s="120"/>
      <c r="SSP411" s="120"/>
      <c r="SSQ411" s="120"/>
      <c r="SSR411" s="121"/>
      <c r="SSS411" s="119"/>
      <c r="SST411" s="120"/>
      <c r="SSU411" s="120"/>
      <c r="SSV411" s="120"/>
      <c r="SSW411" s="120"/>
      <c r="SSX411" s="120"/>
      <c r="SSY411" s="121"/>
      <c r="SSZ411" s="119"/>
      <c r="STA411" s="120"/>
      <c r="STB411" s="120"/>
      <c r="STC411" s="120"/>
      <c r="STD411" s="120"/>
      <c r="STE411" s="120"/>
      <c r="STF411" s="121"/>
      <c r="STG411" s="119"/>
      <c r="STH411" s="120"/>
      <c r="STI411" s="120"/>
      <c r="STJ411" s="120"/>
      <c r="STK411" s="120"/>
      <c r="STL411" s="120"/>
      <c r="STM411" s="121"/>
      <c r="STN411" s="119"/>
      <c r="STO411" s="120"/>
      <c r="STP411" s="120"/>
      <c r="STQ411" s="120"/>
      <c r="STR411" s="120"/>
      <c r="STS411" s="120"/>
      <c r="STT411" s="121"/>
      <c r="STU411" s="119"/>
      <c r="STV411" s="120"/>
      <c r="STW411" s="120"/>
      <c r="STX411" s="120"/>
      <c r="STY411" s="120"/>
      <c r="STZ411" s="120"/>
      <c r="SUA411" s="121"/>
      <c r="SUB411" s="119"/>
      <c r="SUC411" s="120"/>
      <c r="SUD411" s="120"/>
      <c r="SUE411" s="120"/>
      <c r="SUF411" s="120"/>
      <c r="SUG411" s="120"/>
      <c r="SUH411" s="121"/>
      <c r="SUI411" s="119"/>
      <c r="SUJ411" s="120"/>
      <c r="SUK411" s="120"/>
      <c r="SUL411" s="120"/>
      <c r="SUM411" s="120"/>
      <c r="SUN411" s="120"/>
      <c r="SUO411" s="121"/>
      <c r="SUP411" s="119"/>
      <c r="SUQ411" s="120"/>
      <c r="SUR411" s="120"/>
      <c r="SUS411" s="120"/>
      <c r="SUT411" s="120"/>
      <c r="SUU411" s="120"/>
      <c r="SUV411" s="121"/>
      <c r="SUW411" s="119"/>
      <c r="SUX411" s="120"/>
      <c r="SUY411" s="120"/>
      <c r="SUZ411" s="120"/>
      <c r="SVA411" s="120"/>
      <c r="SVB411" s="120"/>
      <c r="SVC411" s="121"/>
      <c r="SVD411" s="119"/>
      <c r="SVE411" s="120"/>
      <c r="SVF411" s="120"/>
      <c r="SVG411" s="120"/>
      <c r="SVH411" s="120"/>
      <c r="SVI411" s="120"/>
      <c r="SVJ411" s="121"/>
      <c r="SVK411" s="119"/>
      <c r="SVL411" s="120"/>
      <c r="SVM411" s="120"/>
      <c r="SVN411" s="120"/>
      <c r="SVO411" s="120"/>
      <c r="SVP411" s="120"/>
      <c r="SVQ411" s="121"/>
      <c r="SVR411" s="119"/>
      <c r="SVS411" s="120"/>
      <c r="SVT411" s="120"/>
      <c r="SVU411" s="120"/>
      <c r="SVV411" s="120"/>
      <c r="SVW411" s="120"/>
      <c r="SVX411" s="121"/>
      <c r="SVY411" s="119"/>
      <c r="SVZ411" s="120"/>
      <c r="SWA411" s="120"/>
      <c r="SWB411" s="120"/>
      <c r="SWC411" s="120"/>
      <c r="SWD411" s="120"/>
      <c r="SWE411" s="121"/>
      <c r="SWF411" s="119"/>
      <c r="SWG411" s="120"/>
      <c r="SWH411" s="120"/>
      <c r="SWI411" s="120"/>
      <c r="SWJ411" s="120"/>
      <c r="SWK411" s="120"/>
      <c r="SWL411" s="121"/>
      <c r="SWM411" s="119"/>
      <c r="SWN411" s="120"/>
      <c r="SWO411" s="120"/>
      <c r="SWP411" s="120"/>
      <c r="SWQ411" s="120"/>
      <c r="SWR411" s="120"/>
      <c r="SWS411" s="121"/>
      <c r="SWT411" s="119"/>
      <c r="SWU411" s="120"/>
      <c r="SWV411" s="120"/>
      <c r="SWW411" s="120"/>
      <c r="SWX411" s="120"/>
      <c r="SWY411" s="120"/>
      <c r="SWZ411" s="121"/>
      <c r="SXA411" s="119"/>
      <c r="SXB411" s="120"/>
      <c r="SXC411" s="120"/>
      <c r="SXD411" s="120"/>
      <c r="SXE411" s="120"/>
      <c r="SXF411" s="120"/>
      <c r="SXG411" s="121"/>
      <c r="SXH411" s="119"/>
      <c r="SXI411" s="120"/>
      <c r="SXJ411" s="120"/>
      <c r="SXK411" s="120"/>
      <c r="SXL411" s="120"/>
      <c r="SXM411" s="120"/>
      <c r="SXN411" s="121"/>
      <c r="SXO411" s="119"/>
      <c r="SXP411" s="120"/>
      <c r="SXQ411" s="120"/>
      <c r="SXR411" s="120"/>
      <c r="SXS411" s="120"/>
      <c r="SXT411" s="120"/>
      <c r="SXU411" s="121"/>
      <c r="SXV411" s="119"/>
      <c r="SXW411" s="120"/>
      <c r="SXX411" s="120"/>
      <c r="SXY411" s="120"/>
      <c r="SXZ411" s="120"/>
      <c r="SYA411" s="120"/>
      <c r="SYB411" s="121"/>
      <c r="SYC411" s="119"/>
      <c r="SYD411" s="120"/>
      <c r="SYE411" s="120"/>
      <c r="SYF411" s="120"/>
      <c r="SYG411" s="120"/>
      <c r="SYH411" s="120"/>
      <c r="SYI411" s="121"/>
      <c r="SYJ411" s="119"/>
      <c r="SYK411" s="120"/>
      <c r="SYL411" s="120"/>
      <c r="SYM411" s="120"/>
      <c r="SYN411" s="120"/>
      <c r="SYO411" s="120"/>
      <c r="SYP411" s="121"/>
      <c r="SYQ411" s="119"/>
      <c r="SYR411" s="120"/>
      <c r="SYS411" s="120"/>
      <c r="SYT411" s="120"/>
      <c r="SYU411" s="120"/>
      <c r="SYV411" s="120"/>
      <c r="SYW411" s="121"/>
      <c r="SYX411" s="119"/>
      <c r="SYY411" s="120"/>
      <c r="SYZ411" s="120"/>
      <c r="SZA411" s="120"/>
      <c r="SZB411" s="120"/>
      <c r="SZC411" s="120"/>
      <c r="SZD411" s="121"/>
      <c r="SZE411" s="119"/>
      <c r="SZF411" s="120"/>
      <c r="SZG411" s="120"/>
      <c r="SZH411" s="120"/>
      <c r="SZI411" s="120"/>
      <c r="SZJ411" s="120"/>
      <c r="SZK411" s="121"/>
      <c r="SZL411" s="119"/>
      <c r="SZM411" s="120"/>
      <c r="SZN411" s="120"/>
      <c r="SZO411" s="120"/>
      <c r="SZP411" s="120"/>
      <c r="SZQ411" s="120"/>
      <c r="SZR411" s="121"/>
      <c r="SZS411" s="119"/>
      <c r="SZT411" s="120"/>
      <c r="SZU411" s="120"/>
      <c r="SZV411" s="120"/>
      <c r="SZW411" s="120"/>
      <c r="SZX411" s="120"/>
      <c r="SZY411" s="121"/>
      <c r="SZZ411" s="119"/>
      <c r="TAA411" s="120"/>
      <c r="TAB411" s="120"/>
      <c r="TAC411" s="120"/>
      <c r="TAD411" s="120"/>
      <c r="TAE411" s="120"/>
      <c r="TAF411" s="121"/>
      <c r="TAG411" s="119"/>
      <c r="TAH411" s="120"/>
      <c r="TAI411" s="120"/>
      <c r="TAJ411" s="120"/>
      <c r="TAK411" s="120"/>
      <c r="TAL411" s="120"/>
      <c r="TAM411" s="121"/>
      <c r="TAN411" s="119"/>
      <c r="TAO411" s="120"/>
      <c r="TAP411" s="120"/>
      <c r="TAQ411" s="120"/>
      <c r="TAR411" s="120"/>
      <c r="TAS411" s="120"/>
      <c r="TAT411" s="121"/>
      <c r="TAU411" s="119"/>
      <c r="TAV411" s="120"/>
      <c r="TAW411" s="120"/>
      <c r="TAX411" s="120"/>
      <c r="TAY411" s="120"/>
      <c r="TAZ411" s="120"/>
      <c r="TBA411" s="121"/>
      <c r="TBB411" s="119"/>
      <c r="TBC411" s="120"/>
      <c r="TBD411" s="120"/>
      <c r="TBE411" s="120"/>
      <c r="TBF411" s="120"/>
      <c r="TBG411" s="120"/>
      <c r="TBH411" s="121"/>
      <c r="TBI411" s="119"/>
      <c r="TBJ411" s="120"/>
      <c r="TBK411" s="120"/>
      <c r="TBL411" s="120"/>
      <c r="TBM411" s="120"/>
      <c r="TBN411" s="120"/>
      <c r="TBO411" s="121"/>
      <c r="TBP411" s="119"/>
      <c r="TBQ411" s="120"/>
      <c r="TBR411" s="120"/>
      <c r="TBS411" s="120"/>
      <c r="TBT411" s="120"/>
      <c r="TBU411" s="120"/>
      <c r="TBV411" s="121"/>
      <c r="TBW411" s="119"/>
      <c r="TBX411" s="120"/>
      <c r="TBY411" s="120"/>
      <c r="TBZ411" s="120"/>
      <c r="TCA411" s="120"/>
      <c r="TCB411" s="120"/>
      <c r="TCC411" s="121"/>
      <c r="TCD411" s="119"/>
      <c r="TCE411" s="120"/>
      <c r="TCF411" s="120"/>
      <c r="TCG411" s="120"/>
      <c r="TCH411" s="120"/>
      <c r="TCI411" s="120"/>
      <c r="TCJ411" s="121"/>
      <c r="TCK411" s="119"/>
      <c r="TCL411" s="120"/>
      <c r="TCM411" s="120"/>
      <c r="TCN411" s="120"/>
      <c r="TCO411" s="120"/>
      <c r="TCP411" s="120"/>
      <c r="TCQ411" s="121"/>
      <c r="TCR411" s="119"/>
      <c r="TCS411" s="120"/>
      <c r="TCT411" s="120"/>
      <c r="TCU411" s="120"/>
      <c r="TCV411" s="120"/>
      <c r="TCW411" s="120"/>
      <c r="TCX411" s="121"/>
      <c r="TCY411" s="119"/>
      <c r="TCZ411" s="120"/>
      <c r="TDA411" s="120"/>
      <c r="TDB411" s="120"/>
      <c r="TDC411" s="120"/>
      <c r="TDD411" s="120"/>
      <c r="TDE411" s="121"/>
      <c r="TDF411" s="119"/>
      <c r="TDG411" s="120"/>
      <c r="TDH411" s="120"/>
      <c r="TDI411" s="120"/>
      <c r="TDJ411" s="120"/>
      <c r="TDK411" s="120"/>
      <c r="TDL411" s="121"/>
      <c r="TDM411" s="119"/>
      <c r="TDN411" s="120"/>
      <c r="TDO411" s="120"/>
      <c r="TDP411" s="120"/>
      <c r="TDQ411" s="120"/>
      <c r="TDR411" s="120"/>
      <c r="TDS411" s="121"/>
      <c r="TDT411" s="119"/>
      <c r="TDU411" s="120"/>
      <c r="TDV411" s="120"/>
      <c r="TDW411" s="120"/>
      <c r="TDX411" s="120"/>
      <c r="TDY411" s="120"/>
      <c r="TDZ411" s="121"/>
      <c r="TEA411" s="119"/>
      <c r="TEB411" s="120"/>
      <c r="TEC411" s="120"/>
      <c r="TED411" s="120"/>
      <c r="TEE411" s="120"/>
      <c r="TEF411" s="120"/>
      <c r="TEG411" s="121"/>
      <c r="TEH411" s="119"/>
      <c r="TEI411" s="120"/>
      <c r="TEJ411" s="120"/>
      <c r="TEK411" s="120"/>
      <c r="TEL411" s="120"/>
      <c r="TEM411" s="120"/>
      <c r="TEN411" s="121"/>
      <c r="TEO411" s="119"/>
      <c r="TEP411" s="120"/>
      <c r="TEQ411" s="120"/>
      <c r="TER411" s="120"/>
      <c r="TES411" s="120"/>
      <c r="TET411" s="120"/>
      <c r="TEU411" s="121"/>
      <c r="TEV411" s="119"/>
      <c r="TEW411" s="120"/>
      <c r="TEX411" s="120"/>
      <c r="TEY411" s="120"/>
      <c r="TEZ411" s="120"/>
      <c r="TFA411" s="120"/>
      <c r="TFB411" s="121"/>
      <c r="TFC411" s="119"/>
      <c r="TFD411" s="120"/>
      <c r="TFE411" s="120"/>
      <c r="TFF411" s="120"/>
      <c r="TFG411" s="120"/>
      <c r="TFH411" s="120"/>
      <c r="TFI411" s="121"/>
      <c r="TFJ411" s="119"/>
      <c r="TFK411" s="120"/>
      <c r="TFL411" s="120"/>
      <c r="TFM411" s="120"/>
      <c r="TFN411" s="120"/>
      <c r="TFO411" s="120"/>
      <c r="TFP411" s="121"/>
      <c r="TFQ411" s="119"/>
      <c r="TFR411" s="120"/>
      <c r="TFS411" s="120"/>
      <c r="TFT411" s="120"/>
      <c r="TFU411" s="120"/>
      <c r="TFV411" s="120"/>
      <c r="TFW411" s="121"/>
      <c r="TFX411" s="119"/>
      <c r="TFY411" s="120"/>
      <c r="TFZ411" s="120"/>
      <c r="TGA411" s="120"/>
      <c r="TGB411" s="120"/>
      <c r="TGC411" s="120"/>
      <c r="TGD411" s="121"/>
      <c r="TGE411" s="119"/>
      <c r="TGF411" s="120"/>
      <c r="TGG411" s="120"/>
      <c r="TGH411" s="120"/>
      <c r="TGI411" s="120"/>
      <c r="TGJ411" s="120"/>
      <c r="TGK411" s="121"/>
      <c r="TGL411" s="119"/>
      <c r="TGM411" s="120"/>
      <c r="TGN411" s="120"/>
      <c r="TGO411" s="120"/>
      <c r="TGP411" s="120"/>
      <c r="TGQ411" s="120"/>
      <c r="TGR411" s="121"/>
      <c r="TGS411" s="119"/>
      <c r="TGT411" s="120"/>
      <c r="TGU411" s="120"/>
      <c r="TGV411" s="120"/>
      <c r="TGW411" s="120"/>
      <c r="TGX411" s="120"/>
      <c r="TGY411" s="121"/>
      <c r="TGZ411" s="119"/>
      <c r="THA411" s="120"/>
      <c r="THB411" s="120"/>
      <c r="THC411" s="120"/>
      <c r="THD411" s="120"/>
      <c r="THE411" s="120"/>
      <c r="THF411" s="121"/>
      <c r="THG411" s="119"/>
      <c r="THH411" s="120"/>
      <c r="THI411" s="120"/>
      <c r="THJ411" s="120"/>
      <c r="THK411" s="120"/>
      <c r="THL411" s="120"/>
      <c r="THM411" s="121"/>
      <c r="THN411" s="119"/>
      <c r="THO411" s="120"/>
      <c r="THP411" s="120"/>
      <c r="THQ411" s="120"/>
      <c r="THR411" s="120"/>
      <c r="THS411" s="120"/>
      <c r="THT411" s="121"/>
      <c r="THU411" s="119"/>
      <c r="THV411" s="120"/>
      <c r="THW411" s="120"/>
      <c r="THX411" s="120"/>
      <c r="THY411" s="120"/>
      <c r="THZ411" s="120"/>
      <c r="TIA411" s="121"/>
      <c r="TIB411" s="119"/>
      <c r="TIC411" s="120"/>
      <c r="TID411" s="120"/>
      <c r="TIE411" s="120"/>
      <c r="TIF411" s="120"/>
      <c r="TIG411" s="120"/>
      <c r="TIH411" s="121"/>
      <c r="TII411" s="119"/>
      <c r="TIJ411" s="120"/>
      <c r="TIK411" s="120"/>
      <c r="TIL411" s="120"/>
      <c r="TIM411" s="120"/>
      <c r="TIN411" s="120"/>
      <c r="TIO411" s="121"/>
      <c r="TIP411" s="119"/>
      <c r="TIQ411" s="120"/>
      <c r="TIR411" s="120"/>
      <c r="TIS411" s="120"/>
      <c r="TIT411" s="120"/>
      <c r="TIU411" s="120"/>
      <c r="TIV411" s="121"/>
      <c r="TIW411" s="119"/>
      <c r="TIX411" s="120"/>
      <c r="TIY411" s="120"/>
      <c r="TIZ411" s="120"/>
      <c r="TJA411" s="120"/>
      <c r="TJB411" s="120"/>
      <c r="TJC411" s="121"/>
      <c r="TJD411" s="119"/>
      <c r="TJE411" s="120"/>
      <c r="TJF411" s="120"/>
      <c r="TJG411" s="120"/>
      <c r="TJH411" s="120"/>
      <c r="TJI411" s="120"/>
      <c r="TJJ411" s="121"/>
      <c r="TJK411" s="119"/>
      <c r="TJL411" s="120"/>
      <c r="TJM411" s="120"/>
      <c r="TJN411" s="120"/>
      <c r="TJO411" s="120"/>
      <c r="TJP411" s="120"/>
      <c r="TJQ411" s="121"/>
      <c r="TJR411" s="119"/>
      <c r="TJS411" s="120"/>
      <c r="TJT411" s="120"/>
      <c r="TJU411" s="120"/>
      <c r="TJV411" s="120"/>
      <c r="TJW411" s="120"/>
      <c r="TJX411" s="121"/>
      <c r="TJY411" s="119"/>
      <c r="TJZ411" s="120"/>
      <c r="TKA411" s="120"/>
      <c r="TKB411" s="120"/>
      <c r="TKC411" s="120"/>
      <c r="TKD411" s="120"/>
      <c r="TKE411" s="121"/>
      <c r="TKF411" s="119"/>
      <c r="TKG411" s="120"/>
      <c r="TKH411" s="120"/>
      <c r="TKI411" s="120"/>
      <c r="TKJ411" s="120"/>
      <c r="TKK411" s="120"/>
      <c r="TKL411" s="121"/>
      <c r="TKM411" s="119"/>
      <c r="TKN411" s="120"/>
      <c r="TKO411" s="120"/>
      <c r="TKP411" s="120"/>
      <c r="TKQ411" s="120"/>
      <c r="TKR411" s="120"/>
      <c r="TKS411" s="121"/>
      <c r="TKT411" s="119"/>
      <c r="TKU411" s="120"/>
      <c r="TKV411" s="120"/>
      <c r="TKW411" s="120"/>
      <c r="TKX411" s="120"/>
      <c r="TKY411" s="120"/>
      <c r="TKZ411" s="121"/>
      <c r="TLA411" s="119"/>
      <c r="TLB411" s="120"/>
      <c r="TLC411" s="120"/>
      <c r="TLD411" s="120"/>
      <c r="TLE411" s="120"/>
      <c r="TLF411" s="120"/>
      <c r="TLG411" s="121"/>
      <c r="TLH411" s="119"/>
      <c r="TLI411" s="120"/>
      <c r="TLJ411" s="120"/>
      <c r="TLK411" s="120"/>
      <c r="TLL411" s="120"/>
      <c r="TLM411" s="120"/>
      <c r="TLN411" s="121"/>
      <c r="TLO411" s="119"/>
      <c r="TLP411" s="120"/>
      <c r="TLQ411" s="120"/>
      <c r="TLR411" s="120"/>
      <c r="TLS411" s="120"/>
      <c r="TLT411" s="120"/>
      <c r="TLU411" s="121"/>
      <c r="TLV411" s="119"/>
      <c r="TLW411" s="120"/>
      <c r="TLX411" s="120"/>
      <c r="TLY411" s="120"/>
      <c r="TLZ411" s="120"/>
      <c r="TMA411" s="120"/>
      <c r="TMB411" s="121"/>
      <c r="TMC411" s="119"/>
      <c r="TMD411" s="120"/>
      <c r="TME411" s="120"/>
      <c r="TMF411" s="120"/>
      <c r="TMG411" s="120"/>
      <c r="TMH411" s="120"/>
      <c r="TMI411" s="121"/>
      <c r="TMJ411" s="119"/>
      <c r="TMK411" s="120"/>
      <c r="TML411" s="120"/>
      <c r="TMM411" s="120"/>
      <c r="TMN411" s="120"/>
      <c r="TMO411" s="120"/>
      <c r="TMP411" s="121"/>
      <c r="TMQ411" s="119"/>
      <c r="TMR411" s="120"/>
      <c r="TMS411" s="120"/>
      <c r="TMT411" s="120"/>
      <c r="TMU411" s="120"/>
      <c r="TMV411" s="120"/>
      <c r="TMW411" s="121"/>
      <c r="TMX411" s="119"/>
      <c r="TMY411" s="120"/>
      <c r="TMZ411" s="120"/>
      <c r="TNA411" s="120"/>
      <c r="TNB411" s="120"/>
      <c r="TNC411" s="120"/>
      <c r="TND411" s="121"/>
      <c r="TNE411" s="119"/>
      <c r="TNF411" s="120"/>
      <c r="TNG411" s="120"/>
      <c r="TNH411" s="120"/>
      <c r="TNI411" s="120"/>
      <c r="TNJ411" s="120"/>
      <c r="TNK411" s="121"/>
      <c r="TNL411" s="119"/>
      <c r="TNM411" s="120"/>
      <c r="TNN411" s="120"/>
      <c r="TNO411" s="120"/>
      <c r="TNP411" s="120"/>
      <c r="TNQ411" s="120"/>
      <c r="TNR411" s="121"/>
      <c r="TNS411" s="119"/>
      <c r="TNT411" s="120"/>
      <c r="TNU411" s="120"/>
      <c r="TNV411" s="120"/>
      <c r="TNW411" s="120"/>
      <c r="TNX411" s="120"/>
      <c r="TNY411" s="121"/>
      <c r="TNZ411" s="119"/>
      <c r="TOA411" s="120"/>
      <c r="TOB411" s="120"/>
      <c r="TOC411" s="120"/>
      <c r="TOD411" s="120"/>
      <c r="TOE411" s="120"/>
      <c r="TOF411" s="121"/>
      <c r="TOG411" s="119"/>
      <c r="TOH411" s="120"/>
      <c r="TOI411" s="120"/>
      <c r="TOJ411" s="120"/>
      <c r="TOK411" s="120"/>
      <c r="TOL411" s="120"/>
      <c r="TOM411" s="121"/>
      <c r="TON411" s="119"/>
      <c r="TOO411" s="120"/>
      <c r="TOP411" s="120"/>
      <c r="TOQ411" s="120"/>
      <c r="TOR411" s="120"/>
      <c r="TOS411" s="120"/>
      <c r="TOT411" s="121"/>
      <c r="TOU411" s="119"/>
      <c r="TOV411" s="120"/>
      <c r="TOW411" s="120"/>
      <c r="TOX411" s="120"/>
      <c r="TOY411" s="120"/>
      <c r="TOZ411" s="120"/>
      <c r="TPA411" s="121"/>
      <c r="TPB411" s="119"/>
      <c r="TPC411" s="120"/>
      <c r="TPD411" s="120"/>
      <c r="TPE411" s="120"/>
      <c r="TPF411" s="120"/>
      <c r="TPG411" s="120"/>
      <c r="TPH411" s="121"/>
      <c r="TPI411" s="119"/>
      <c r="TPJ411" s="120"/>
      <c r="TPK411" s="120"/>
      <c r="TPL411" s="120"/>
      <c r="TPM411" s="120"/>
      <c r="TPN411" s="120"/>
      <c r="TPO411" s="121"/>
      <c r="TPP411" s="119"/>
      <c r="TPQ411" s="120"/>
      <c r="TPR411" s="120"/>
      <c r="TPS411" s="120"/>
      <c r="TPT411" s="120"/>
      <c r="TPU411" s="120"/>
      <c r="TPV411" s="121"/>
      <c r="TPW411" s="119"/>
      <c r="TPX411" s="120"/>
      <c r="TPY411" s="120"/>
      <c r="TPZ411" s="120"/>
      <c r="TQA411" s="120"/>
      <c r="TQB411" s="120"/>
      <c r="TQC411" s="121"/>
      <c r="TQD411" s="119"/>
      <c r="TQE411" s="120"/>
      <c r="TQF411" s="120"/>
      <c r="TQG411" s="120"/>
      <c r="TQH411" s="120"/>
      <c r="TQI411" s="120"/>
      <c r="TQJ411" s="121"/>
      <c r="TQK411" s="119"/>
      <c r="TQL411" s="120"/>
      <c r="TQM411" s="120"/>
      <c r="TQN411" s="120"/>
      <c r="TQO411" s="120"/>
      <c r="TQP411" s="120"/>
      <c r="TQQ411" s="121"/>
      <c r="TQR411" s="119"/>
      <c r="TQS411" s="120"/>
      <c r="TQT411" s="120"/>
      <c r="TQU411" s="120"/>
      <c r="TQV411" s="120"/>
      <c r="TQW411" s="120"/>
      <c r="TQX411" s="121"/>
      <c r="TQY411" s="119"/>
      <c r="TQZ411" s="120"/>
      <c r="TRA411" s="120"/>
      <c r="TRB411" s="120"/>
      <c r="TRC411" s="120"/>
      <c r="TRD411" s="120"/>
      <c r="TRE411" s="121"/>
      <c r="TRF411" s="119"/>
      <c r="TRG411" s="120"/>
      <c r="TRH411" s="120"/>
      <c r="TRI411" s="120"/>
      <c r="TRJ411" s="120"/>
      <c r="TRK411" s="120"/>
      <c r="TRL411" s="121"/>
      <c r="TRM411" s="119"/>
      <c r="TRN411" s="120"/>
      <c r="TRO411" s="120"/>
      <c r="TRP411" s="120"/>
      <c r="TRQ411" s="120"/>
      <c r="TRR411" s="120"/>
      <c r="TRS411" s="121"/>
      <c r="TRT411" s="119"/>
      <c r="TRU411" s="120"/>
      <c r="TRV411" s="120"/>
      <c r="TRW411" s="120"/>
      <c r="TRX411" s="120"/>
      <c r="TRY411" s="120"/>
      <c r="TRZ411" s="121"/>
      <c r="TSA411" s="119"/>
      <c r="TSB411" s="120"/>
      <c r="TSC411" s="120"/>
      <c r="TSD411" s="120"/>
      <c r="TSE411" s="120"/>
      <c r="TSF411" s="120"/>
      <c r="TSG411" s="121"/>
      <c r="TSH411" s="119"/>
      <c r="TSI411" s="120"/>
      <c r="TSJ411" s="120"/>
      <c r="TSK411" s="120"/>
      <c r="TSL411" s="120"/>
      <c r="TSM411" s="120"/>
      <c r="TSN411" s="121"/>
      <c r="TSO411" s="119"/>
      <c r="TSP411" s="120"/>
      <c r="TSQ411" s="120"/>
      <c r="TSR411" s="120"/>
      <c r="TSS411" s="120"/>
      <c r="TST411" s="120"/>
      <c r="TSU411" s="121"/>
      <c r="TSV411" s="119"/>
      <c r="TSW411" s="120"/>
      <c r="TSX411" s="120"/>
      <c r="TSY411" s="120"/>
      <c r="TSZ411" s="120"/>
      <c r="TTA411" s="120"/>
      <c r="TTB411" s="121"/>
      <c r="TTC411" s="119"/>
      <c r="TTD411" s="120"/>
      <c r="TTE411" s="120"/>
      <c r="TTF411" s="120"/>
      <c r="TTG411" s="120"/>
      <c r="TTH411" s="120"/>
      <c r="TTI411" s="121"/>
      <c r="TTJ411" s="119"/>
      <c r="TTK411" s="120"/>
      <c r="TTL411" s="120"/>
      <c r="TTM411" s="120"/>
      <c r="TTN411" s="120"/>
      <c r="TTO411" s="120"/>
      <c r="TTP411" s="121"/>
      <c r="TTQ411" s="119"/>
      <c r="TTR411" s="120"/>
      <c r="TTS411" s="120"/>
      <c r="TTT411" s="120"/>
      <c r="TTU411" s="120"/>
      <c r="TTV411" s="120"/>
      <c r="TTW411" s="121"/>
      <c r="TTX411" s="119"/>
      <c r="TTY411" s="120"/>
      <c r="TTZ411" s="120"/>
      <c r="TUA411" s="120"/>
      <c r="TUB411" s="120"/>
      <c r="TUC411" s="120"/>
      <c r="TUD411" s="121"/>
      <c r="TUE411" s="119"/>
      <c r="TUF411" s="120"/>
      <c r="TUG411" s="120"/>
      <c r="TUH411" s="120"/>
      <c r="TUI411" s="120"/>
      <c r="TUJ411" s="120"/>
      <c r="TUK411" s="121"/>
      <c r="TUL411" s="119"/>
      <c r="TUM411" s="120"/>
      <c r="TUN411" s="120"/>
      <c r="TUO411" s="120"/>
      <c r="TUP411" s="120"/>
      <c r="TUQ411" s="120"/>
      <c r="TUR411" s="121"/>
      <c r="TUS411" s="119"/>
      <c r="TUT411" s="120"/>
      <c r="TUU411" s="120"/>
      <c r="TUV411" s="120"/>
      <c r="TUW411" s="120"/>
      <c r="TUX411" s="120"/>
      <c r="TUY411" s="121"/>
      <c r="TUZ411" s="119"/>
      <c r="TVA411" s="120"/>
      <c r="TVB411" s="120"/>
      <c r="TVC411" s="120"/>
      <c r="TVD411" s="120"/>
      <c r="TVE411" s="120"/>
      <c r="TVF411" s="121"/>
      <c r="TVG411" s="119"/>
      <c r="TVH411" s="120"/>
      <c r="TVI411" s="120"/>
      <c r="TVJ411" s="120"/>
      <c r="TVK411" s="120"/>
      <c r="TVL411" s="120"/>
      <c r="TVM411" s="121"/>
      <c r="TVN411" s="119"/>
      <c r="TVO411" s="120"/>
      <c r="TVP411" s="120"/>
      <c r="TVQ411" s="120"/>
      <c r="TVR411" s="120"/>
      <c r="TVS411" s="120"/>
      <c r="TVT411" s="121"/>
      <c r="TVU411" s="119"/>
      <c r="TVV411" s="120"/>
      <c r="TVW411" s="120"/>
      <c r="TVX411" s="120"/>
      <c r="TVY411" s="120"/>
      <c r="TVZ411" s="120"/>
      <c r="TWA411" s="121"/>
      <c r="TWB411" s="119"/>
      <c r="TWC411" s="120"/>
      <c r="TWD411" s="120"/>
      <c r="TWE411" s="120"/>
      <c r="TWF411" s="120"/>
      <c r="TWG411" s="120"/>
      <c r="TWH411" s="121"/>
      <c r="TWI411" s="119"/>
      <c r="TWJ411" s="120"/>
      <c r="TWK411" s="120"/>
      <c r="TWL411" s="120"/>
      <c r="TWM411" s="120"/>
      <c r="TWN411" s="120"/>
      <c r="TWO411" s="121"/>
      <c r="TWP411" s="119"/>
      <c r="TWQ411" s="120"/>
      <c r="TWR411" s="120"/>
      <c r="TWS411" s="120"/>
      <c r="TWT411" s="120"/>
      <c r="TWU411" s="120"/>
      <c r="TWV411" s="121"/>
      <c r="TWW411" s="119"/>
      <c r="TWX411" s="120"/>
      <c r="TWY411" s="120"/>
      <c r="TWZ411" s="120"/>
      <c r="TXA411" s="120"/>
      <c r="TXB411" s="120"/>
      <c r="TXC411" s="121"/>
      <c r="TXD411" s="119"/>
      <c r="TXE411" s="120"/>
      <c r="TXF411" s="120"/>
      <c r="TXG411" s="120"/>
      <c r="TXH411" s="120"/>
      <c r="TXI411" s="120"/>
      <c r="TXJ411" s="121"/>
      <c r="TXK411" s="119"/>
      <c r="TXL411" s="120"/>
      <c r="TXM411" s="120"/>
      <c r="TXN411" s="120"/>
      <c r="TXO411" s="120"/>
      <c r="TXP411" s="120"/>
      <c r="TXQ411" s="121"/>
      <c r="TXR411" s="119"/>
      <c r="TXS411" s="120"/>
      <c r="TXT411" s="120"/>
      <c r="TXU411" s="120"/>
      <c r="TXV411" s="120"/>
      <c r="TXW411" s="120"/>
      <c r="TXX411" s="121"/>
      <c r="TXY411" s="119"/>
      <c r="TXZ411" s="120"/>
      <c r="TYA411" s="120"/>
      <c r="TYB411" s="120"/>
      <c r="TYC411" s="120"/>
      <c r="TYD411" s="120"/>
      <c r="TYE411" s="121"/>
      <c r="TYF411" s="119"/>
      <c r="TYG411" s="120"/>
      <c r="TYH411" s="120"/>
      <c r="TYI411" s="120"/>
      <c r="TYJ411" s="120"/>
      <c r="TYK411" s="120"/>
      <c r="TYL411" s="121"/>
      <c r="TYM411" s="119"/>
      <c r="TYN411" s="120"/>
      <c r="TYO411" s="120"/>
      <c r="TYP411" s="120"/>
      <c r="TYQ411" s="120"/>
      <c r="TYR411" s="120"/>
      <c r="TYS411" s="121"/>
      <c r="TYT411" s="119"/>
      <c r="TYU411" s="120"/>
      <c r="TYV411" s="120"/>
      <c r="TYW411" s="120"/>
      <c r="TYX411" s="120"/>
      <c r="TYY411" s="120"/>
      <c r="TYZ411" s="121"/>
      <c r="TZA411" s="119"/>
      <c r="TZB411" s="120"/>
      <c r="TZC411" s="120"/>
      <c r="TZD411" s="120"/>
      <c r="TZE411" s="120"/>
      <c r="TZF411" s="120"/>
      <c r="TZG411" s="121"/>
      <c r="TZH411" s="119"/>
      <c r="TZI411" s="120"/>
      <c r="TZJ411" s="120"/>
      <c r="TZK411" s="120"/>
      <c r="TZL411" s="120"/>
      <c r="TZM411" s="120"/>
      <c r="TZN411" s="121"/>
      <c r="TZO411" s="119"/>
      <c r="TZP411" s="120"/>
      <c r="TZQ411" s="120"/>
      <c r="TZR411" s="120"/>
      <c r="TZS411" s="120"/>
      <c r="TZT411" s="120"/>
      <c r="TZU411" s="121"/>
      <c r="TZV411" s="119"/>
      <c r="TZW411" s="120"/>
      <c r="TZX411" s="120"/>
      <c r="TZY411" s="120"/>
      <c r="TZZ411" s="120"/>
      <c r="UAA411" s="120"/>
      <c r="UAB411" s="121"/>
      <c r="UAC411" s="119"/>
      <c r="UAD411" s="120"/>
      <c r="UAE411" s="120"/>
      <c r="UAF411" s="120"/>
      <c r="UAG411" s="120"/>
      <c r="UAH411" s="120"/>
      <c r="UAI411" s="121"/>
      <c r="UAJ411" s="119"/>
      <c r="UAK411" s="120"/>
      <c r="UAL411" s="120"/>
      <c r="UAM411" s="120"/>
      <c r="UAN411" s="120"/>
      <c r="UAO411" s="120"/>
      <c r="UAP411" s="121"/>
      <c r="UAQ411" s="119"/>
      <c r="UAR411" s="120"/>
      <c r="UAS411" s="120"/>
      <c r="UAT411" s="120"/>
      <c r="UAU411" s="120"/>
      <c r="UAV411" s="120"/>
      <c r="UAW411" s="121"/>
      <c r="UAX411" s="119"/>
      <c r="UAY411" s="120"/>
      <c r="UAZ411" s="120"/>
      <c r="UBA411" s="120"/>
      <c r="UBB411" s="120"/>
      <c r="UBC411" s="120"/>
      <c r="UBD411" s="121"/>
      <c r="UBE411" s="119"/>
      <c r="UBF411" s="120"/>
      <c r="UBG411" s="120"/>
      <c r="UBH411" s="120"/>
      <c r="UBI411" s="120"/>
      <c r="UBJ411" s="120"/>
      <c r="UBK411" s="121"/>
      <c r="UBL411" s="119"/>
      <c r="UBM411" s="120"/>
      <c r="UBN411" s="120"/>
      <c r="UBO411" s="120"/>
      <c r="UBP411" s="120"/>
      <c r="UBQ411" s="120"/>
      <c r="UBR411" s="121"/>
      <c r="UBS411" s="119"/>
      <c r="UBT411" s="120"/>
      <c r="UBU411" s="120"/>
      <c r="UBV411" s="120"/>
      <c r="UBW411" s="120"/>
      <c r="UBX411" s="120"/>
      <c r="UBY411" s="121"/>
      <c r="UBZ411" s="119"/>
      <c r="UCA411" s="120"/>
      <c r="UCB411" s="120"/>
      <c r="UCC411" s="120"/>
      <c r="UCD411" s="120"/>
      <c r="UCE411" s="120"/>
      <c r="UCF411" s="121"/>
      <c r="UCG411" s="119"/>
      <c r="UCH411" s="120"/>
      <c r="UCI411" s="120"/>
      <c r="UCJ411" s="120"/>
      <c r="UCK411" s="120"/>
      <c r="UCL411" s="120"/>
      <c r="UCM411" s="121"/>
      <c r="UCN411" s="119"/>
      <c r="UCO411" s="120"/>
      <c r="UCP411" s="120"/>
      <c r="UCQ411" s="120"/>
      <c r="UCR411" s="120"/>
      <c r="UCS411" s="120"/>
      <c r="UCT411" s="121"/>
      <c r="UCU411" s="119"/>
      <c r="UCV411" s="120"/>
      <c r="UCW411" s="120"/>
      <c r="UCX411" s="120"/>
      <c r="UCY411" s="120"/>
      <c r="UCZ411" s="120"/>
      <c r="UDA411" s="121"/>
      <c r="UDB411" s="119"/>
      <c r="UDC411" s="120"/>
      <c r="UDD411" s="120"/>
      <c r="UDE411" s="120"/>
      <c r="UDF411" s="120"/>
      <c r="UDG411" s="120"/>
      <c r="UDH411" s="121"/>
      <c r="UDI411" s="119"/>
      <c r="UDJ411" s="120"/>
      <c r="UDK411" s="120"/>
      <c r="UDL411" s="120"/>
      <c r="UDM411" s="120"/>
      <c r="UDN411" s="120"/>
      <c r="UDO411" s="121"/>
      <c r="UDP411" s="119"/>
      <c r="UDQ411" s="120"/>
      <c r="UDR411" s="120"/>
      <c r="UDS411" s="120"/>
      <c r="UDT411" s="120"/>
      <c r="UDU411" s="120"/>
      <c r="UDV411" s="121"/>
      <c r="UDW411" s="119"/>
      <c r="UDX411" s="120"/>
      <c r="UDY411" s="120"/>
      <c r="UDZ411" s="120"/>
      <c r="UEA411" s="120"/>
      <c r="UEB411" s="120"/>
      <c r="UEC411" s="121"/>
      <c r="UED411" s="119"/>
      <c r="UEE411" s="120"/>
      <c r="UEF411" s="120"/>
      <c r="UEG411" s="120"/>
      <c r="UEH411" s="120"/>
      <c r="UEI411" s="120"/>
      <c r="UEJ411" s="121"/>
      <c r="UEK411" s="119"/>
      <c r="UEL411" s="120"/>
      <c r="UEM411" s="120"/>
      <c r="UEN411" s="120"/>
      <c r="UEO411" s="120"/>
      <c r="UEP411" s="120"/>
      <c r="UEQ411" s="121"/>
      <c r="UER411" s="119"/>
      <c r="UES411" s="120"/>
      <c r="UET411" s="120"/>
      <c r="UEU411" s="120"/>
      <c r="UEV411" s="120"/>
      <c r="UEW411" s="120"/>
      <c r="UEX411" s="121"/>
      <c r="UEY411" s="119"/>
      <c r="UEZ411" s="120"/>
      <c r="UFA411" s="120"/>
      <c r="UFB411" s="120"/>
      <c r="UFC411" s="120"/>
      <c r="UFD411" s="120"/>
      <c r="UFE411" s="121"/>
      <c r="UFF411" s="119"/>
      <c r="UFG411" s="120"/>
      <c r="UFH411" s="120"/>
      <c r="UFI411" s="120"/>
      <c r="UFJ411" s="120"/>
      <c r="UFK411" s="120"/>
      <c r="UFL411" s="121"/>
      <c r="UFM411" s="119"/>
      <c r="UFN411" s="120"/>
      <c r="UFO411" s="120"/>
      <c r="UFP411" s="120"/>
      <c r="UFQ411" s="120"/>
      <c r="UFR411" s="120"/>
      <c r="UFS411" s="121"/>
      <c r="UFT411" s="119"/>
      <c r="UFU411" s="120"/>
      <c r="UFV411" s="120"/>
      <c r="UFW411" s="120"/>
      <c r="UFX411" s="120"/>
      <c r="UFY411" s="120"/>
      <c r="UFZ411" s="121"/>
      <c r="UGA411" s="119"/>
      <c r="UGB411" s="120"/>
      <c r="UGC411" s="120"/>
      <c r="UGD411" s="120"/>
      <c r="UGE411" s="120"/>
      <c r="UGF411" s="120"/>
      <c r="UGG411" s="121"/>
      <c r="UGH411" s="119"/>
      <c r="UGI411" s="120"/>
      <c r="UGJ411" s="120"/>
      <c r="UGK411" s="120"/>
      <c r="UGL411" s="120"/>
      <c r="UGM411" s="120"/>
      <c r="UGN411" s="121"/>
      <c r="UGO411" s="119"/>
      <c r="UGP411" s="120"/>
      <c r="UGQ411" s="120"/>
      <c r="UGR411" s="120"/>
      <c r="UGS411" s="120"/>
      <c r="UGT411" s="120"/>
      <c r="UGU411" s="121"/>
      <c r="UGV411" s="119"/>
      <c r="UGW411" s="120"/>
      <c r="UGX411" s="120"/>
      <c r="UGY411" s="120"/>
      <c r="UGZ411" s="120"/>
      <c r="UHA411" s="120"/>
      <c r="UHB411" s="121"/>
      <c r="UHC411" s="119"/>
      <c r="UHD411" s="120"/>
      <c r="UHE411" s="120"/>
      <c r="UHF411" s="120"/>
      <c r="UHG411" s="120"/>
      <c r="UHH411" s="120"/>
      <c r="UHI411" s="121"/>
      <c r="UHJ411" s="119"/>
      <c r="UHK411" s="120"/>
      <c r="UHL411" s="120"/>
      <c r="UHM411" s="120"/>
      <c r="UHN411" s="120"/>
      <c r="UHO411" s="120"/>
      <c r="UHP411" s="121"/>
      <c r="UHQ411" s="119"/>
      <c r="UHR411" s="120"/>
      <c r="UHS411" s="120"/>
      <c r="UHT411" s="120"/>
      <c r="UHU411" s="120"/>
      <c r="UHV411" s="120"/>
      <c r="UHW411" s="121"/>
      <c r="UHX411" s="119"/>
      <c r="UHY411" s="120"/>
      <c r="UHZ411" s="120"/>
      <c r="UIA411" s="120"/>
      <c r="UIB411" s="120"/>
      <c r="UIC411" s="120"/>
      <c r="UID411" s="121"/>
      <c r="UIE411" s="119"/>
      <c r="UIF411" s="120"/>
      <c r="UIG411" s="120"/>
      <c r="UIH411" s="120"/>
      <c r="UII411" s="120"/>
      <c r="UIJ411" s="120"/>
      <c r="UIK411" s="121"/>
      <c r="UIL411" s="119"/>
      <c r="UIM411" s="120"/>
      <c r="UIN411" s="120"/>
      <c r="UIO411" s="120"/>
      <c r="UIP411" s="120"/>
      <c r="UIQ411" s="120"/>
      <c r="UIR411" s="121"/>
      <c r="UIS411" s="119"/>
      <c r="UIT411" s="120"/>
      <c r="UIU411" s="120"/>
      <c r="UIV411" s="120"/>
      <c r="UIW411" s="120"/>
      <c r="UIX411" s="120"/>
      <c r="UIY411" s="121"/>
      <c r="UIZ411" s="119"/>
      <c r="UJA411" s="120"/>
      <c r="UJB411" s="120"/>
      <c r="UJC411" s="120"/>
      <c r="UJD411" s="120"/>
      <c r="UJE411" s="120"/>
      <c r="UJF411" s="121"/>
      <c r="UJG411" s="119"/>
      <c r="UJH411" s="120"/>
      <c r="UJI411" s="120"/>
      <c r="UJJ411" s="120"/>
      <c r="UJK411" s="120"/>
      <c r="UJL411" s="120"/>
      <c r="UJM411" s="121"/>
      <c r="UJN411" s="119"/>
      <c r="UJO411" s="120"/>
      <c r="UJP411" s="120"/>
      <c r="UJQ411" s="120"/>
      <c r="UJR411" s="120"/>
      <c r="UJS411" s="120"/>
      <c r="UJT411" s="121"/>
      <c r="UJU411" s="119"/>
      <c r="UJV411" s="120"/>
      <c r="UJW411" s="120"/>
      <c r="UJX411" s="120"/>
      <c r="UJY411" s="120"/>
      <c r="UJZ411" s="120"/>
      <c r="UKA411" s="121"/>
      <c r="UKB411" s="119"/>
      <c r="UKC411" s="120"/>
      <c r="UKD411" s="120"/>
      <c r="UKE411" s="120"/>
      <c r="UKF411" s="120"/>
      <c r="UKG411" s="120"/>
      <c r="UKH411" s="121"/>
      <c r="UKI411" s="119"/>
      <c r="UKJ411" s="120"/>
      <c r="UKK411" s="120"/>
      <c r="UKL411" s="120"/>
      <c r="UKM411" s="120"/>
      <c r="UKN411" s="120"/>
      <c r="UKO411" s="121"/>
      <c r="UKP411" s="119"/>
      <c r="UKQ411" s="120"/>
      <c r="UKR411" s="120"/>
      <c r="UKS411" s="120"/>
      <c r="UKT411" s="120"/>
      <c r="UKU411" s="120"/>
      <c r="UKV411" s="121"/>
      <c r="UKW411" s="119"/>
      <c r="UKX411" s="120"/>
      <c r="UKY411" s="120"/>
      <c r="UKZ411" s="120"/>
      <c r="ULA411" s="120"/>
      <c r="ULB411" s="120"/>
      <c r="ULC411" s="121"/>
      <c r="ULD411" s="119"/>
      <c r="ULE411" s="120"/>
      <c r="ULF411" s="120"/>
      <c r="ULG411" s="120"/>
      <c r="ULH411" s="120"/>
      <c r="ULI411" s="120"/>
      <c r="ULJ411" s="121"/>
      <c r="ULK411" s="119"/>
      <c r="ULL411" s="120"/>
      <c r="ULM411" s="120"/>
      <c r="ULN411" s="120"/>
      <c r="ULO411" s="120"/>
      <c r="ULP411" s="120"/>
      <c r="ULQ411" s="121"/>
      <c r="ULR411" s="119"/>
      <c r="ULS411" s="120"/>
      <c r="ULT411" s="120"/>
      <c r="ULU411" s="120"/>
      <c r="ULV411" s="120"/>
      <c r="ULW411" s="120"/>
      <c r="ULX411" s="121"/>
      <c r="ULY411" s="119"/>
      <c r="ULZ411" s="120"/>
      <c r="UMA411" s="120"/>
      <c r="UMB411" s="120"/>
      <c r="UMC411" s="120"/>
      <c r="UMD411" s="120"/>
      <c r="UME411" s="121"/>
      <c r="UMF411" s="119"/>
      <c r="UMG411" s="120"/>
      <c r="UMH411" s="120"/>
      <c r="UMI411" s="120"/>
      <c r="UMJ411" s="120"/>
      <c r="UMK411" s="120"/>
      <c r="UML411" s="121"/>
      <c r="UMM411" s="119"/>
      <c r="UMN411" s="120"/>
      <c r="UMO411" s="120"/>
      <c r="UMP411" s="120"/>
      <c r="UMQ411" s="120"/>
      <c r="UMR411" s="120"/>
      <c r="UMS411" s="121"/>
      <c r="UMT411" s="119"/>
      <c r="UMU411" s="120"/>
      <c r="UMV411" s="120"/>
      <c r="UMW411" s="120"/>
      <c r="UMX411" s="120"/>
      <c r="UMY411" s="120"/>
      <c r="UMZ411" s="121"/>
      <c r="UNA411" s="119"/>
      <c r="UNB411" s="120"/>
      <c r="UNC411" s="120"/>
      <c r="UND411" s="120"/>
      <c r="UNE411" s="120"/>
      <c r="UNF411" s="120"/>
      <c r="UNG411" s="121"/>
      <c r="UNH411" s="119"/>
      <c r="UNI411" s="120"/>
      <c r="UNJ411" s="120"/>
      <c r="UNK411" s="120"/>
      <c r="UNL411" s="120"/>
      <c r="UNM411" s="120"/>
      <c r="UNN411" s="121"/>
      <c r="UNO411" s="119"/>
      <c r="UNP411" s="120"/>
      <c r="UNQ411" s="120"/>
      <c r="UNR411" s="120"/>
      <c r="UNS411" s="120"/>
      <c r="UNT411" s="120"/>
      <c r="UNU411" s="121"/>
      <c r="UNV411" s="119"/>
      <c r="UNW411" s="120"/>
      <c r="UNX411" s="120"/>
      <c r="UNY411" s="120"/>
      <c r="UNZ411" s="120"/>
      <c r="UOA411" s="120"/>
      <c r="UOB411" s="121"/>
      <c r="UOC411" s="119"/>
      <c r="UOD411" s="120"/>
      <c r="UOE411" s="120"/>
      <c r="UOF411" s="120"/>
      <c r="UOG411" s="120"/>
      <c r="UOH411" s="120"/>
      <c r="UOI411" s="121"/>
      <c r="UOJ411" s="119"/>
      <c r="UOK411" s="120"/>
      <c r="UOL411" s="120"/>
      <c r="UOM411" s="120"/>
      <c r="UON411" s="120"/>
      <c r="UOO411" s="120"/>
      <c r="UOP411" s="121"/>
      <c r="UOQ411" s="119"/>
      <c r="UOR411" s="120"/>
      <c r="UOS411" s="120"/>
      <c r="UOT411" s="120"/>
      <c r="UOU411" s="120"/>
      <c r="UOV411" s="120"/>
      <c r="UOW411" s="121"/>
      <c r="UOX411" s="119"/>
      <c r="UOY411" s="120"/>
      <c r="UOZ411" s="120"/>
      <c r="UPA411" s="120"/>
      <c r="UPB411" s="120"/>
      <c r="UPC411" s="120"/>
      <c r="UPD411" s="121"/>
      <c r="UPE411" s="119"/>
      <c r="UPF411" s="120"/>
      <c r="UPG411" s="120"/>
      <c r="UPH411" s="120"/>
      <c r="UPI411" s="120"/>
      <c r="UPJ411" s="120"/>
      <c r="UPK411" s="121"/>
      <c r="UPL411" s="119"/>
      <c r="UPM411" s="120"/>
      <c r="UPN411" s="120"/>
      <c r="UPO411" s="120"/>
      <c r="UPP411" s="120"/>
      <c r="UPQ411" s="120"/>
      <c r="UPR411" s="121"/>
      <c r="UPS411" s="119"/>
      <c r="UPT411" s="120"/>
      <c r="UPU411" s="120"/>
      <c r="UPV411" s="120"/>
      <c r="UPW411" s="120"/>
      <c r="UPX411" s="120"/>
      <c r="UPY411" s="121"/>
      <c r="UPZ411" s="119"/>
      <c r="UQA411" s="120"/>
      <c r="UQB411" s="120"/>
      <c r="UQC411" s="120"/>
      <c r="UQD411" s="120"/>
      <c r="UQE411" s="120"/>
      <c r="UQF411" s="121"/>
      <c r="UQG411" s="119"/>
      <c r="UQH411" s="120"/>
      <c r="UQI411" s="120"/>
      <c r="UQJ411" s="120"/>
      <c r="UQK411" s="120"/>
      <c r="UQL411" s="120"/>
      <c r="UQM411" s="121"/>
      <c r="UQN411" s="119"/>
      <c r="UQO411" s="120"/>
      <c r="UQP411" s="120"/>
      <c r="UQQ411" s="120"/>
      <c r="UQR411" s="120"/>
      <c r="UQS411" s="120"/>
      <c r="UQT411" s="121"/>
      <c r="UQU411" s="119"/>
      <c r="UQV411" s="120"/>
      <c r="UQW411" s="120"/>
      <c r="UQX411" s="120"/>
      <c r="UQY411" s="120"/>
      <c r="UQZ411" s="120"/>
      <c r="URA411" s="121"/>
      <c r="URB411" s="119"/>
      <c r="URC411" s="120"/>
      <c r="URD411" s="120"/>
      <c r="URE411" s="120"/>
      <c r="URF411" s="120"/>
      <c r="URG411" s="120"/>
      <c r="URH411" s="121"/>
      <c r="URI411" s="119"/>
      <c r="URJ411" s="120"/>
      <c r="URK411" s="120"/>
      <c r="URL411" s="120"/>
      <c r="URM411" s="120"/>
      <c r="URN411" s="120"/>
      <c r="URO411" s="121"/>
      <c r="URP411" s="119"/>
      <c r="URQ411" s="120"/>
      <c r="URR411" s="120"/>
      <c r="URS411" s="120"/>
      <c r="URT411" s="120"/>
      <c r="URU411" s="120"/>
      <c r="URV411" s="121"/>
      <c r="URW411" s="119"/>
      <c r="URX411" s="120"/>
      <c r="URY411" s="120"/>
      <c r="URZ411" s="120"/>
      <c r="USA411" s="120"/>
      <c r="USB411" s="120"/>
      <c r="USC411" s="121"/>
      <c r="USD411" s="119"/>
      <c r="USE411" s="120"/>
      <c r="USF411" s="120"/>
      <c r="USG411" s="120"/>
      <c r="USH411" s="120"/>
      <c r="USI411" s="120"/>
      <c r="USJ411" s="121"/>
      <c r="USK411" s="119"/>
      <c r="USL411" s="120"/>
      <c r="USM411" s="120"/>
      <c r="USN411" s="120"/>
      <c r="USO411" s="120"/>
      <c r="USP411" s="120"/>
      <c r="USQ411" s="121"/>
      <c r="USR411" s="119"/>
      <c r="USS411" s="120"/>
      <c r="UST411" s="120"/>
      <c r="USU411" s="120"/>
      <c r="USV411" s="120"/>
      <c r="USW411" s="120"/>
      <c r="USX411" s="121"/>
      <c r="USY411" s="119"/>
      <c r="USZ411" s="120"/>
      <c r="UTA411" s="120"/>
      <c r="UTB411" s="120"/>
      <c r="UTC411" s="120"/>
      <c r="UTD411" s="120"/>
      <c r="UTE411" s="121"/>
      <c r="UTF411" s="119"/>
      <c r="UTG411" s="120"/>
      <c r="UTH411" s="120"/>
      <c r="UTI411" s="120"/>
      <c r="UTJ411" s="120"/>
      <c r="UTK411" s="120"/>
      <c r="UTL411" s="121"/>
      <c r="UTM411" s="119"/>
      <c r="UTN411" s="120"/>
      <c r="UTO411" s="120"/>
      <c r="UTP411" s="120"/>
      <c r="UTQ411" s="120"/>
      <c r="UTR411" s="120"/>
      <c r="UTS411" s="121"/>
      <c r="UTT411" s="119"/>
      <c r="UTU411" s="120"/>
      <c r="UTV411" s="120"/>
      <c r="UTW411" s="120"/>
      <c r="UTX411" s="120"/>
      <c r="UTY411" s="120"/>
      <c r="UTZ411" s="121"/>
      <c r="UUA411" s="119"/>
      <c r="UUB411" s="120"/>
      <c r="UUC411" s="120"/>
      <c r="UUD411" s="120"/>
      <c r="UUE411" s="120"/>
      <c r="UUF411" s="120"/>
      <c r="UUG411" s="121"/>
      <c r="UUH411" s="119"/>
      <c r="UUI411" s="120"/>
      <c r="UUJ411" s="120"/>
      <c r="UUK411" s="120"/>
      <c r="UUL411" s="120"/>
      <c r="UUM411" s="120"/>
      <c r="UUN411" s="121"/>
      <c r="UUO411" s="119"/>
      <c r="UUP411" s="120"/>
      <c r="UUQ411" s="120"/>
      <c r="UUR411" s="120"/>
      <c r="UUS411" s="120"/>
      <c r="UUT411" s="120"/>
      <c r="UUU411" s="121"/>
      <c r="UUV411" s="119"/>
      <c r="UUW411" s="120"/>
      <c r="UUX411" s="120"/>
      <c r="UUY411" s="120"/>
      <c r="UUZ411" s="120"/>
      <c r="UVA411" s="120"/>
      <c r="UVB411" s="121"/>
      <c r="UVC411" s="119"/>
      <c r="UVD411" s="120"/>
      <c r="UVE411" s="120"/>
      <c r="UVF411" s="120"/>
      <c r="UVG411" s="120"/>
      <c r="UVH411" s="120"/>
      <c r="UVI411" s="121"/>
      <c r="UVJ411" s="119"/>
      <c r="UVK411" s="120"/>
      <c r="UVL411" s="120"/>
      <c r="UVM411" s="120"/>
      <c r="UVN411" s="120"/>
      <c r="UVO411" s="120"/>
      <c r="UVP411" s="121"/>
      <c r="UVQ411" s="119"/>
      <c r="UVR411" s="120"/>
      <c r="UVS411" s="120"/>
      <c r="UVT411" s="120"/>
      <c r="UVU411" s="120"/>
      <c r="UVV411" s="120"/>
      <c r="UVW411" s="121"/>
      <c r="UVX411" s="119"/>
      <c r="UVY411" s="120"/>
      <c r="UVZ411" s="120"/>
      <c r="UWA411" s="120"/>
      <c r="UWB411" s="120"/>
      <c r="UWC411" s="120"/>
      <c r="UWD411" s="121"/>
      <c r="UWE411" s="119"/>
      <c r="UWF411" s="120"/>
      <c r="UWG411" s="120"/>
      <c r="UWH411" s="120"/>
      <c r="UWI411" s="120"/>
      <c r="UWJ411" s="120"/>
      <c r="UWK411" s="121"/>
      <c r="UWL411" s="119"/>
      <c r="UWM411" s="120"/>
      <c r="UWN411" s="120"/>
      <c r="UWO411" s="120"/>
      <c r="UWP411" s="120"/>
      <c r="UWQ411" s="120"/>
      <c r="UWR411" s="121"/>
      <c r="UWS411" s="119"/>
      <c r="UWT411" s="120"/>
      <c r="UWU411" s="120"/>
      <c r="UWV411" s="120"/>
      <c r="UWW411" s="120"/>
      <c r="UWX411" s="120"/>
      <c r="UWY411" s="121"/>
      <c r="UWZ411" s="119"/>
      <c r="UXA411" s="120"/>
      <c r="UXB411" s="120"/>
      <c r="UXC411" s="120"/>
      <c r="UXD411" s="120"/>
      <c r="UXE411" s="120"/>
      <c r="UXF411" s="121"/>
      <c r="UXG411" s="119"/>
      <c r="UXH411" s="120"/>
      <c r="UXI411" s="120"/>
      <c r="UXJ411" s="120"/>
      <c r="UXK411" s="120"/>
      <c r="UXL411" s="120"/>
      <c r="UXM411" s="121"/>
      <c r="UXN411" s="119"/>
      <c r="UXO411" s="120"/>
      <c r="UXP411" s="120"/>
      <c r="UXQ411" s="120"/>
      <c r="UXR411" s="120"/>
      <c r="UXS411" s="120"/>
      <c r="UXT411" s="121"/>
      <c r="UXU411" s="119"/>
      <c r="UXV411" s="120"/>
      <c r="UXW411" s="120"/>
      <c r="UXX411" s="120"/>
      <c r="UXY411" s="120"/>
      <c r="UXZ411" s="120"/>
      <c r="UYA411" s="121"/>
      <c r="UYB411" s="119"/>
      <c r="UYC411" s="120"/>
      <c r="UYD411" s="120"/>
      <c r="UYE411" s="120"/>
      <c r="UYF411" s="120"/>
      <c r="UYG411" s="120"/>
      <c r="UYH411" s="121"/>
      <c r="UYI411" s="119"/>
      <c r="UYJ411" s="120"/>
      <c r="UYK411" s="120"/>
      <c r="UYL411" s="120"/>
      <c r="UYM411" s="120"/>
      <c r="UYN411" s="120"/>
      <c r="UYO411" s="121"/>
      <c r="UYP411" s="119"/>
      <c r="UYQ411" s="120"/>
      <c r="UYR411" s="120"/>
      <c r="UYS411" s="120"/>
      <c r="UYT411" s="120"/>
      <c r="UYU411" s="120"/>
      <c r="UYV411" s="121"/>
      <c r="UYW411" s="119"/>
      <c r="UYX411" s="120"/>
      <c r="UYY411" s="120"/>
      <c r="UYZ411" s="120"/>
      <c r="UZA411" s="120"/>
      <c r="UZB411" s="120"/>
      <c r="UZC411" s="121"/>
      <c r="UZD411" s="119"/>
      <c r="UZE411" s="120"/>
      <c r="UZF411" s="120"/>
      <c r="UZG411" s="120"/>
      <c r="UZH411" s="120"/>
      <c r="UZI411" s="120"/>
      <c r="UZJ411" s="121"/>
      <c r="UZK411" s="119"/>
      <c r="UZL411" s="120"/>
      <c r="UZM411" s="120"/>
      <c r="UZN411" s="120"/>
      <c r="UZO411" s="120"/>
      <c r="UZP411" s="120"/>
      <c r="UZQ411" s="121"/>
      <c r="UZR411" s="119"/>
      <c r="UZS411" s="120"/>
      <c r="UZT411" s="120"/>
      <c r="UZU411" s="120"/>
      <c r="UZV411" s="120"/>
      <c r="UZW411" s="120"/>
      <c r="UZX411" s="121"/>
      <c r="UZY411" s="119"/>
      <c r="UZZ411" s="120"/>
      <c r="VAA411" s="120"/>
      <c r="VAB411" s="120"/>
      <c r="VAC411" s="120"/>
      <c r="VAD411" s="120"/>
      <c r="VAE411" s="121"/>
      <c r="VAF411" s="119"/>
      <c r="VAG411" s="120"/>
      <c r="VAH411" s="120"/>
      <c r="VAI411" s="120"/>
      <c r="VAJ411" s="120"/>
      <c r="VAK411" s="120"/>
      <c r="VAL411" s="121"/>
      <c r="VAM411" s="119"/>
      <c r="VAN411" s="120"/>
      <c r="VAO411" s="120"/>
      <c r="VAP411" s="120"/>
      <c r="VAQ411" s="120"/>
      <c r="VAR411" s="120"/>
      <c r="VAS411" s="121"/>
      <c r="VAT411" s="119"/>
      <c r="VAU411" s="120"/>
      <c r="VAV411" s="120"/>
      <c r="VAW411" s="120"/>
      <c r="VAX411" s="120"/>
      <c r="VAY411" s="120"/>
      <c r="VAZ411" s="121"/>
      <c r="VBA411" s="119"/>
      <c r="VBB411" s="120"/>
      <c r="VBC411" s="120"/>
      <c r="VBD411" s="120"/>
      <c r="VBE411" s="120"/>
      <c r="VBF411" s="120"/>
      <c r="VBG411" s="121"/>
      <c r="VBH411" s="119"/>
      <c r="VBI411" s="120"/>
      <c r="VBJ411" s="120"/>
      <c r="VBK411" s="120"/>
      <c r="VBL411" s="120"/>
      <c r="VBM411" s="120"/>
      <c r="VBN411" s="121"/>
      <c r="VBO411" s="119"/>
      <c r="VBP411" s="120"/>
      <c r="VBQ411" s="120"/>
      <c r="VBR411" s="120"/>
      <c r="VBS411" s="120"/>
      <c r="VBT411" s="120"/>
      <c r="VBU411" s="121"/>
      <c r="VBV411" s="119"/>
      <c r="VBW411" s="120"/>
      <c r="VBX411" s="120"/>
      <c r="VBY411" s="120"/>
      <c r="VBZ411" s="120"/>
      <c r="VCA411" s="120"/>
      <c r="VCB411" s="121"/>
      <c r="VCC411" s="119"/>
      <c r="VCD411" s="120"/>
      <c r="VCE411" s="120"/>
      <c r="VCF411" s="120"/>
      <c r="VCG411" s="120"/>
      <c r="VCH411" s="120"/>
      <c r="VCI411" s="121"/>
      <c r="VCJ411" s="119"/>
      <c r="VCK411" s="120"/>
      <c r="VCL411" s="120"/>
      <c r="VCM411" s="120"/>
      <c r="VCN411" s="120"/>
      <c r="VCO411" s="120"/>
      <c r="VCP411" s="121"/>
      <c r="VCQ411" s="119"/>
      <c r="VCR411" s="120"/>
      <c r="VCS411" s="120"/>
      <c r="VCT411" s="120"/>
      <c r="VCU411" s="120"/>
      <c r="VCV411" s="120"/>
      <c r="VCW411" s="121"/>
      <c r="VCX411" s="119"/>
      <c r="VCY411" s="120"/>
      <c r="VCZ411" s="120"/>
      <c r="VDA411" s="120"/>
      <c r="VDB411" s="120"/>
      <c r="VDC411" s="120"/>
      <c r="VDD411" s="121"/>
      <c r="VDE411" s="119"/>
      <c r="VDF411" s="120"/>
      <c r="VDG411" s="120"/>
      <c r="VDH411" s="120"/>
      <c r="VDI411" s="120"/>
      <c r="VDJ411" s="120"/>
      <c r="VDK411" s="121"/>
      <c r="VDL411" s="119"/>
      <c r="VDM411" s="120"/>
      <c r="VDN411" s="120"/>
      <c r="VDO411" s="120"/>
      <c r="VDP411" s="120"/>
      <c r="VDQ411" s="120"/>
      <c r="VDR411" s="121"/>
      <c r="VDS411" s="119"/>
      <c r="VDT411" s="120"/>
      <c r="VDU411" s="120"/>
      <c r="VDV411" s="120"/>
      <c r="VDW411" s="120"/>
      <c r="VDX411" s="120"/>
      <c r="VDY411" s="121"/>
      <c r="VDZ411" s="119"/>
      <c r="VEA411" s="120"/>
      <c r="VEB411" s="120"/>
      <c r="VEC411" s="120"/>
      <c r="VED411" s="120"/>
      <c r="VEE411" s="120"/>
      <c r="VEF411" s="121"/>
      <c r="VEG411" s="119"/>
      <c r="VEH411" s="120"/>
      <c r="VEI411" s="120"/>
      <c r="VEJ411" s="120"/>
      <c r="VEK411" s="120"/>
      <c r="VEL411" s="120"/>
      <c r="VEM411" s="121"/>
      <c r="VEN411" s="119"/>
      <c r="VEO411" s="120"/>
      <c r="VEP411" s="120"/>
      <c r="VEQ411" s="120"/>
      <c r="VER411" s="120"/>
      <c r="VES411" s="120"/>
      <c r="VET411" s="121"/>
      <c r="VEU411" s="119"/>
      <c r="VEV411" s="120"/>
      <c r="VEW411" s="120"/>
      <c r="VEX411" s="120"/>
      <c r="VEY411" s="120"/>
      <c r="VEZ411" s="120"/>
      <c r="VFA411" s="121"/>
      <c r="VFB411" s="119"/>
      <c r="VFC411" s="120"/>
      <c r="VFD411" s="120"/>
      <c r="VFE411" s="120"/>
      <c r="VFF411" s="120"/>
      <c r="VFG411" s="120"/>
      <c r="VFH411" s="121"/>
      <c r="VFI411" s="119"/>
      <c r="VFJ411" s="120"/>
      <c r="VFK411" s="120"/>
      <c r="VFL411" s="120"/>
      <c r="VFM411" s="120"/>
      <c r="VFN411" s="120"/>
      <c r="VFO411" s="121"/>
      <c r="VFP411" s="119"/>
      <c r="VFQ411" s="120"/>
      <c r="VFR411" s="120"/>
      <c r="VFS411" s="120"/>
      <c r="VFT411" s="120"/>
      <c r="VFU411" s="120"/>
      <c r="VFV411" s="121"/>
      <c r="VFW411" s="119"/>
      <c r="VFX411" s="120"/>
      <c r="VFY411" s="120"/>
      <c r="VFZ411" s="120"/>
      <c r="VGA411" s="120"/>
      <c r="VGB411" s="120"/>
      <c r="VGC411" s="121"/>
      <c r="VGD411" s="119"/>
      <c r="VGE411" s="120"/>
      <c r="VGF411" s="120"/>
      <c r="VGG411" s="120"/>
      <c r="VGH411" s="120"/>
      <c r="VGI411" s="120"/>
      <c r="VGJ411" s="121"/>
      <c r="VGK411" s="119"/>
      <c r="VGL411" s="120"/>
      <c r="VGM411" s="120"/>
      <c r="VGN411" s="120"/>
      <c r="VGO411" s="120"/>
      <c r="VGP411" s="120"/>
      <c r="VGQ411" s="121"/>
      <c r="VGR411" s="119"/>
      <c r="VGS411" s="120"/>
      <c r="VGT411" s="120"/>
      <c r="VGU411" s="120"/>
      <c r="VGV411" s="120"/>
      <c r="VGW411" s="120"/>
      <c r="VGX411" s="121"/>
      <c r="VGY411" s="119"/>
      <c r="VGZ411" s="120"/>
      <c r="VHA411" s="120"/>
      <c r="VHB411" s="120"/>
      <c r="VHC411" s="120"/>
      <c r="VHD411" s="120"/>
      <c r="VHE411" s="121"/>
      <c r="VHF411" s="119"/>
      <c r="VHG411" s="120"/>
      <c r="VHH411" s="120"/>
      <c r="VHI411" s="120"/>
      <c r="VHJ411" s="120"/>
      <c r="VHK411" s="120"/>
      <c r="VHL411" s="121"/>
      <c r="VHM411" s="119"/>
      <c r="VHN411" s="120"/>
      <c r="VHO411" s="120"/>
      <c r="VHP411" s="120"/>
      <c r="VHQ411" s="120"/>
      <c r="VHR411" s="120"/>
      <c r="VHS411" s="121"/>
      <c r="VHT411" s="119"/>
      <c r="VHU411" s="120"/>
      <c r="VHV411" s="120"/>
      <c r="VHW411" s="120"/>
      <c r="VHX411" s="120"/>
      <c r="VHY411" s="120"/>
      <c r="VHZ411" s="121"/>
      <c r="VIA411" s="119"/>
      <c r="VIB411" s="120"/>
      <c r="VIC411" s="120"/>
      <c r="VID411" s="120"/>
      <c r="VIE411" s="120"/>
      <c r="VIF411" s="120"/>
      <c r="VIG411" s="121"/>
      <c r="VIH411" s="119"/>
      <c r="VII411" s="120"/>
      <c r="VIJ411" s="120"/>
      <c r="VIK411" s="120"/>
      <c r="VIL411" s="120"/>
      <c r="VIM411" s="120"/>
      <c r="VIN411" s="121"/>
      <c r="VIO411" s="119"/>
      <c r="VIP411" s="120"/>
      <c r="VIQ411" s="120"/>
      <c r="VIR411" s="120"/>
      <c r="VIS411" s="120"/>
      <c r="VIT411" s="120"/>
      <c r="VIU411" s="121"/>
      <c r="VIV411" s="119"/>
      <c r="VIW411" s="120"/>
      <c r="VIX411" s="120"/>
      <c r="VIY411" s="120"/>
      <c r="VIZ411" s="120"/>
      <c r="VJA411" s="120"/>
      <c r="VJB411" s="121"/>
      <c r="VJC411" s="119"/>
      <c r="VJD411" s="120"/>
      <c r="VJE411" s="120"/>
      <c r="VJF411" s="120"/>
      <c r="VJG411" s="120"/>
      <c r="VJH411" s="120"/>
      <c r="VJI411" s="121"/>
      <c r="VJJ411" s="119"/>
      <c r="VJK411" s="120"/>
      <c r="VJL411" s="120"/>
      <c r="VJM411" s="120"/>
      <c r="VJN411" s="120"/>
      <c r="VJO411" s="120"/>
      <c r="VJP411" s="121"/>
      <c r="VJQ411" s="119"/>
      <c r="VJR411" s="120"/>
      <c r="VJS411" s="120"/>
      <c r="VJT411" s="120"/>
      <c r="VJU411" s="120"/>
      <c r="VJV411" s="120"/>
      <c r="VJW411" s="121"/>
      <c r="VJX411" s="119"/>
      <c r="VJY411" s="120"/>
      <c r="VJZ411" s="120"/>
      <c r="VKA411" s="120"/>
      <c r="VKB411" s="120"/>
      <c r="VKC411" s="120"/>
      <c r="VKD411" s="121"/>
      <c r="VKE411" s="119"/>
      <c r="VKF411" s="120"/>
      <c r="VKG411" s="120"/>
      <c r="VKH411" s="120"/>
      <c r="VKI411" s="120"/>
      <c r="VKJ411" s="120"/>
      <c r="VKK411" s="121"/>
      <c r="VKL411" s="119"/>
      <c r="VKM411" s="120"/>
      <c r="VKN411" s="120"/>
      <c r="VKO411" s="120"/>
      <c r="VKP411" s="120"/>
      <c r="VKQ411" s="120"/>
      <c r="VKR411" s="121"/>
      <c r="VKS411" s="119"/>
      <c r="VKT411" s="120"/>
      <c r="VKU411" s="120"/>
      <c r="VKV411" s="120"/>
      <c r="VKW411" s="120"/>
      <c r="VKX411" s="120"/>
      <c r="VKY411" s="121"/>
      <c r="VKZ411" s="119"/>
      <c r="VLA411" s="120"/>
      <c r="VLB411" s="120"/>
      <c r="VLC411" s="120"/>
      <c r="VLD411" s="120"/>
      <c r="VLE411" s="120"/>
      <c r="VLF411" s="121"/>
      <c r="VLG411" s="119"/>
      <c r="VLH411" s="120"/>
      <c r="VLI411" s="120"/>
      <c r="VLJ411" s="120"/>
      <c r="VLK411" s="120"/>
      <c r="VLL411" s="120"/>
      <c r="VLM411" s="121"/>
      <c r="VLN411" s="119"/>
      <c r="VLO411" s="120"/>
      <c r="VLP411" s="120"/>
      <c r="VLQ411" s="120"/>
      <c r="VLR411" s="120"/>
      <c r="VLS411" s="120"/>
      <c r="VLT411" s="121"/>
      <c r="VLU411" s="119"/>
      <c r="VLV411" s="120"/>
      <c r="VLW411" s="120"/>
      <c r="VLX411" s="120"/>
      <c r="VLY411" s="120"/>
      <c r="VLZ411" s="120"/>
      <c r="VMA411" s="121"/>
      <c r="VMB411" s="119"/>
      <c r="VMC411" s="120"/>
      <c r="VMD411" s="120"/>
      <c r="VME411" s="120"/>
      <c r="VMF411" s="120"/>
      <c r="VMG411" s="120"/>
      <c r="VMH411" s="121"/>
      <c r="VMI411" s="119"/>
      <c r="VMJ411" s="120"/>
      <c r="VMK411" s="120"/>
      <c r="VML411" s="120"/>
      <c r="VMM411" s="120"/>
      <c r="VMN411" s="120"/>
      <c r="VMO411" s="121"/>
      <c r="VMP411" s="119"/>
      <c r="VMQ411" s="120"/>
      <c r="VMR411" s="120"/>
      <c r="VMS411" s="120"/>
      <c r="VMT411" s="120"/>
      <c r="VMU411" s="120"/>
      <c r="VMV411" s="121"/>
      <c r="VMW411" s="119"/>
      <c r="VMX411" s="120"/>
      <c r="VMY411" s="120"/>
      <c r="VMZ411" s="120"/>
      <c r="VNA411" s="120"/>
      <c r="VNB411" s="120"/>
      <c r="VNC411" s="121"/>
      <c r="VND411" s="119"/>
      <c r="VNE411" s="120"/>
      <c r="VNF411" s="120"/>
      <c r="VNG411" s="120"/>
      <c r="VNH411" s="120"/>
      <c r="VNI411" s="120"/>
      <c r="VNJ411" s="121"/>
      <c r="VNK411" s="119"/>
      <c r="VNL411" s="120"/>
      <c r="VNM411" s="120"/>
      <c r="VNN411" s="120"/>
      <c r="VNO411" s="120"/>
      <c r="VNP411" s="120"/>
      <c r="VNQ411" s="121"/>
      <c r="VNR411" s="119"/>
      <c r="VNS411" s="120"/>
      <c r="VNT411" s="120"/>
      <c r="VNU411" s="120"/>
      <c r="VNV411" s="120"/>
      <c r="VNW411" s="120"/>
      <c r="VNX411" s="121"/>
      <c r="VNY411" s="119"/>
      <c r="VNZ411" s="120"/>
      <c r="VOA411" s="120"/>
      <c r="VOB411" s="120"/>
      <c r="VOC411" s="120"/>
      <c r="VOD411" s="120"/>
      <c r="VOE411" s="121"/>
      <c r="VOF411" s="119"/>
      <c r="VOG411" s="120"/>
      <c r="VOH411" s="120"/>
      <c r="VOI411" s="120"/>
      <c r="VOJ411" s="120"/>
      <c r="VOK411" s="120"/>
      <c r="VOL411" s="121"/>
      <c r="VOM411" s="119"/>
      <c r="VON411" s="120"/>
      <c r="VOO411" s="120"/>
      <c r="VOP411" s="120"/>
      <c r="VOQ411" s="120"/>
      <c r="VOR411" s="120"/>
      <c r="VOS411" s="121"/>
      <c r="VOT411" s="119"/>
      <c r="VOU411" s="120"/>
      <c r="VOV411" s="120"/>
      <c r="VOW411" s="120"/>
      <c r="VOX411" s="120"/>
      <c r="VOY411" s="120"/>
      <c r="VOZ411" s="121"/>
      <c r="VPA411" s="119"/>
      <c r="VPB411" s="120"/>
      <c r="VPC411" s="120"/>
      <c r="VPD411" s="120"/>
      <c r="VPE411" s="120"/>
      <c r="VPF411" s="120"/>
      <c r="VPG411" s="121"/>
      <c r="VPH411" s="119"/>
      <c r="VPI411" s="120"/>
      <c r="VPJ411" s="120"/>
      <c r="VPK411" s="120"/>
      <c r="VPL411" s="120"/>
      <c r="VPM411" s="120"/>
      <c r="VPN411" s="121"/>
      <c r="VPO411" s="119"/>
      <c r="VPP411" s="120"/>
      <c r="VPQ411" s="120"/>
      <c r="VPR411" s="120"/>
      <c r="VPS411" s="120"/>
      <c r="VPT411" s="120"/>
      <c r="VPU411" s="121"/>
      <c r="VPV411" s="119"/>
      <c r="VPW411" s="120"/>
      <c r="VPX411" s="120"/>
      <c r="VPY411" s="120"/>
      <c r="VPZ411" s="120"/>
      <c r="VQA411" s="120"/>
      <c r="VQB411" s="121"/>
      <c r="VQC411" s="119"/>
      <c r="VQD411" s="120"/>
      <c r="VQE411" s="120"/>
      <c r="VQF411" s="120"/>
      <c r="VQG411" s="120"/>
      <c r="VQH411" s="120"/>
      <c r="VQI411" s="121"/>
      <c r="VQJ411" s="119"/>
      <c r="VQK411" s="120"/>
      <c r="VQL411" s="120"/>
      <c r="VQM411" s="120"/>
      <c r="VQN411" s="120"/>
      <c r="VQO411" s="120"/>
      <c r="VQP411" s="121"/>
      <c r="VQQ411" s="119"/>
      <c r="VQR411" s="120"/>
      <c r="VQS411" s="120"/>
      <c r="VQT411" s="120"/>
      <c r="VQU411" s="120"/>
      <c r="VQV411" s="120"/>
      <c r="VQW411" s="121"/>
      <c r="VQX411" s="119"/>
      <c r="VQY411" s="120"/>
      <c r="VQZ411" s="120"/>
      <c r="VRA411" s="120"/>
      <c r="VRB411" s="120"/>
      <c r="VRC411" s="120"/>
      <c r="VRD411" s="121"/>
      <c r="VRE411" s="119"/>
      <c r="VRF411" s="120"/>
      <c r="VRG411" s="120"/>
      <c r="VRH411" s="120"/>
      <c r="VRI411" s="120"/>
      <c r="VRJ411" s="120"/>
      <c r="VRK411" s="121"/>
      <c r="VRL411" s="119"/>
      <c r="VRM411" s="120"/>
      <c r="VRN411" s="120"/>
      <c r="VRO411" s="120"/>
      <c r="VRP411" s="120"/>
      <c r="VRQ411" s="120"/>
      <c r="VRR411" s="121"/>
      <c r="VRS411" s="119"/>
      <c r="VRT411" s="120"/>
      <c r="VRU411" s="120"/>
      <c r="VRV411" s="120"/>
      <c r="VRW411" s="120"/>
      <c r="VRX411" s="120"/>
      <c r="VRY411" s="121"/>
      <c r="VRZ411" s="119"/>
      <c r="VSA411" s="120"/>
      <c r="VSB411" s="120"/>
      <c r="VSC411" s="120"/>
      <c r="VSD411" s="120"/>
      <c r="VSE411" s="120"/>
      <c r="VSF411" s="121"/>
      <c r="VSG411" s="119"/>
      <c r="VSH411" s="120"/>
      <c r="VSI411" s="120"/>
      <c r="VSJ411" s="120"/>
      <c r="VSK411" s="120"/>
      <c r="VSL411" s="120"/>
      <c r="VSM411" s="121"/>
      <c r="VSN411" s="119"/>
      <c r="VSO411" s="120"/>
      <c r="VSP411" s="120"/>
      <c r="VSQ411" s="120"/>
      <c r="VSR411" s="120"/>
      <c r="VSS411" s="120"/>
      <c r="VST411" s="121"/>
      <c r="VSU411" s="119"/>
      <c r="VSV411" s="120"/>
      <c r="VSW411" s="120"/>
      <c r="VSX411" s="120"/>
      <c r="VSY411" s="120"/>
      <c r="VSZ411" s="120"/>
      <c r="VTA411" s="121"/>
      <c r="VTB411" s="119"/>
      <c r="VTC411" s="120"/>
      <c r="VTD411" s="120"/>
      <c r="VTE411" s="120"/>
      <c r="VTF411" s="120"/>
      <c r="VTG411" s="120"/>
      <c r="VTH411" s="121"/>
      <c r="VTI411" s="119"/>
      <c r="VTJ411" s="120"/>
      <c r="VTK411" s="120"/>
      <c r="VTL411" s="120"/>
      <c r="VTM411" s="120"/>
      <c r="VTN411" s="120"/>
      <c r="VTO411" s="121"/>
      <c r="VTP411" s="119"/>
      <c r="VTQ411" s="120"/>
      <c r="VTR411" s="120"/>
      <c r="VTS411" s="120"/>
      <c r="VTT411" s="120"/>
      <c r="VTU411" s="120"/>
      <c r="VTV411" s="121"/>
      <c r="VTW411" s="119"/>
      <c r="VTX411" s="120"/>
      <c r="VTY411" s="120"/>
      <c r="VTZ411" s="120"/>
      <c r="VUA411" s="120"/>
      <c r="VUB411" s="120"/>
      <c r="VUC411" s="121"/>
      <c r="VUD411" s="119"/>
      <c r="VUE411" s="120"/>
      <c r="VUF411" s="120"/>
      <c r="VUG411" s="120"/>
      <c r="VUH411" s="120"/>
      <c r="VUI411" s="120"/>
      <c r="VUJ411" s="121"/>
      <c r="VUK411" s="119"/>
      <c r="VUL411" s="120"/>
      <c r="VUM411" s="120"/>
      <c r="VUN411" s="120"/>
      <c r="VUO411" s="120"/>
      <c r="VUP411" s="120"/>
      <c r="VUQ411" s="121"/>
      <c r="VUR411" s="119"/>
      <c r="VUS411" s="120"/>
      <c r="VUT411" s="120"/>
      <c r="VUU411" s="120"/>
      <c r="VUV411" s="120"/>
      <c r="VUW411" s="120"/>
      <c r="VUX411" s="121"/>
      <c r="VUY411" s="119"/>
      <c r="VUZ411" s="120"/>
      <c r="VVA411" s="120"/>
      <c r="VVB411" s="120"/>
      <c r="VVC411" s="120"/>
      <c r="VVD411" s="120"/>
      <c r="VVE411" s="121"/>
      <c r="VVF411" s="119"/>
      <c r="VVG411" s="120"/>
      <c r="VVH411" s="120"/>
      <c r="VVI411" s="120"/>
      <c r="VVJ411" s="120"/>
      <c r="VVK411" s="120"/>
      <c r="VVL411" s="121"/>
      <c r="VVM411" s="119"/>
      <c r="VVN411" s="120"/>
      <c r="VVO411" s="120"/>
      <c r="VVP411" s="120"/>
      <c r="VVQ411" s="120"/>
      <c r="VVR411" s="120"/>
      <c r="VVS411" s="121"/>
      <c r="VVT411" s="119"/>
      <c r="VVU411" s="120"/>
      <c r="VVV411" s="120"/>
      <c r="VVW411" s="120"/>
      <c r="VVX411" s="120"/>
      <c r="VVY411" s="120"/>
      <c r="VVZ411" s="121"/>
      <c r="VWA411" s="119"/>
      <c r="VWB411" s="120"/>
      <c r="VWC411" s="120"/>
      <c r="VWD411" s="120"/>
      <c r="VWE411" s="120"/>
      <c r="VWF411" s="120"/>
      <c r="VWG411" s="121"/>
      <c r="VWH411" s="119"/>
      <c r="VWI411" s="120"/>
      <c r="VWJ411" s="120"/>
      <c r="VWK411" s="120"/>
      <c r="VWL411" s="120"/>
      <c r="VWM411" s="120"/>
      <c r="VWN411" s="121"/>
      <c r="VWO411" s="119"/>
      <c r="VWP411" s="120"/>
      <c r="VWQ411" s="120"/>
      <c r="VWR411" s="120"/>
      <c r="VWS411" s="120"/>
      <c r="VWT411" s="120"/>
      <c r="VWU411" s="121"/>
      <c r="VWV411" s="119"/>
      <c r="VWW411" s="120"/>
      <c r="VWX411" s="120"/>
      <c r="VWY411" s="120"/>
      <c r="VWZ411" s="120"/>
      <c r="VXA411" s="120"/>
      <c r="VXB411" s="121"/>
      <c r="VXC411" s="119"/>
      <c r="VXD411" s="120"/>
      <c r="VXE411" s="120"/>
      <c r="VXF411" s="120"/>
      <c r="VXG411" s="120"/>
      <c r="VXH411" s="120"/>
      <c r="VXI411" s="121"/>
      <c r="VXJ411" s="119"/>
      <c r="VXK411" s="120"/>
      <c r="VXL411" s="120"/>
      <c r="VXM411" s="120"/>
      <c r="VXN411" s="120"/>
      <c r="VXO411" s="120"/>
      <c r="VXP411" s="121"/>
      <c r="VXQ411" s="119"/>
      <c r="VXR411" s="120"/>
      <c r="VXS411" s="120"/>
      <c r="VXT411" s="120"/>
      <c r="VXU411" s="120"/>
      <c r="VXV411" s="120"/>
      <c r="VXW411" s="121"/>
      <c r="VXX411" s="119"/>
      <c r="VXY411" s="120"/>
      <c r="VXZ411" s="120"/>
      <c r="VYA411" s="120"/>
      <c r="VYB411" s="120"/>
      <c r="VYC411" s="120"/>
      <c r="VYD411" s="121"/>
      <c r="VYE411" s="119"/>
      <c r="VYF411" s="120"/>
      <c r="VYG411" s="120"/>
      <c r="VYH411" s="120"/>
      <c r="VYI411" s="120"/>
      <c r="VYJ411" s="120"/>
      <c r="VYK411" s="121"/>
      <c r="VYL411" s="119"/>
      <c r="VYM411" s="120"/>
      <c r="VYN411" s="120"/>
      <c r="VYO411" s="120"/>
      <c r="VYP411" s="120"/>
      <c r="VYQ411" s="120"/>
      <c r="VYR411" s="121"/>
      <c r="VYS411" s="119"/>
      <c r="VYT411" s="120"/>
      <c r="VYU411" s="120"/>
      <c r="VYV411" s="120"/>
      <c r="VYW411" s="120"/>
      <c r="VYX411" s="120"/>
      <c r="VYY411" s="121"/>
      <c r="VYZ411" s="119"/>
      <c r="VZA411" s="120"/>
      <c r="VZB411" s="120"/>
      <c r="VZC411" s="120"/>
      <c r="VZD411" s="120"/>
      <c r="VZE411" s="120"/>
      <c r="VZF411" s="121"/>
      <c r="VZG411" s="119"/>
      <c r="VZH411" s="120"/>
      <c r="VZI411" s="120"/>
      <c r="VZJ411" s="120"/>
      <c r="VZK411" s="120"/>
      <c r="VZL411" s="120"/>
      <c r="VZM411" s="121"/>
      <c r="VZN411" s="119"/>
      <c r="VZO411" s="120"/>
      <c r="VZP411" s="120"/>
      <c r="VZQ411" s="120"/>
      <c r="VZR411" s="120"/>
      <c r="VZS411" s="120"/>
      <c r="VZT411" s="121"/>
      <c r="VZU411" s="119"/>
      <c r="VZV411" s="120"/>
      <c r="VZW411" s="120"/>
      <c r="VZX411" s="120"/>
      <c r="VZY411" s="120"/>
      <c r="VZZ411" s="120"/>
      <c r="WAA411" s="121"/>
      <c r="WAB411" s="119"/>
      <c r="WAC411" s="120"/>
      <c r="WAD411" s="120"/>
      <c r="WAE411" s="120"/>
      <c r="WAF411" s="120"/>
      <c r="WAG411" s="120"/>
      <c r="WAH411" s="121"/>
      <c r="WAI411" s="119"/>
      <c r="WAJ411" s="120"/>
      <c r="WAK411" s="120"/>
      <c r="WAL411" s="120"/>
      <c r="WAM411" s="120"/>
      <c r="WAN411" s="120"/>
      <c r="WAO411" s="121"/>
      <c r="WAP411" s="119"/>
      <c r="WAQ411" s="120"/>
      <c r="WAR411" s="120"/>
      <c r="WAS411" s="120"/>
      <c r="WAT411" s="120"/>
      <c r="WAU411" s="120"/>
      <c r="WAV411" s="121"/>
      <c r="WAW411" s="119"/>
      <c r="WAX411" s="120"/>
      <c r="WAY411" s="120"/>
      <c r="WAZ411" s="120"/>
      <c r="WBA411" s="120"/>
      <c r="WBB411" s="120"/>
      <c r="WBC411" s="121"/>
      <c r="WBD411" s="119"/>
      <c r="WBE411" s="120"/>
      <c r="WBF411" s="120"/>
      <c r="WBG411" s="120"/>
      <c r="WBH411" s="120"/>
      <c r="WBI411" s="120"/>
      <c r="WBJ411" s="121"/>
      <c r="WBK411" s="119"/>
      <c r="WBL411" s="120"/>
      <c r="WBM411" s="120"/>
      <c r="WBN411" s="120"/>
      <c r="WBO411" s="120"/>
      <c r="WBP411" s="120"/>
      <c r="WBQ411" s="121"/>
      <c r="WBR411" s="119"/>
      <c r="WBS411" s="120"/>
      <c r="WBT411" s="120"/>
      <c r="WBU411" s="120"/>
      <c r="WBV411" s="120"/>
      <c r="WBW411" s="120"/>
      <c r="WBX411" s="121"/>
      <c r="WBY411" s="119"/>
      <c r="WBZ411" s="120"/>
      <c r="WCA411" s="120"/>
      <c r="WCB411" s="120"/>
      <c r="WCC411" s="120"/>
      <c r="WCD411" s="120"/>
      <c r="WCE411" s="121"/>
      <c r="WCF411" s="119"/>
      <c r="WCG411" s="120"/>
      <c r="WCH411" s="120"/>
      <c r="WCI411" s="120"/>
      <c r="WCJ411" s="120"/>
      <c r="WCK411" s="120"/>
      <c r="WCL411" s="121"/>
      <c r="WCM411" s="119"/>
      <c r="WCN411" s="120"/>
      <c r="WCO411" s="120"/>
      <c r="WCP411" s="120"/>
      <c r="WCQ411" s="120"/>
      <c r="WCR411" s="120"/>
      <c r="WCS411" s="121"/>
      <c r="WCT411" s="119"/>
      <c r="WCU411" s="120"/>
      <c r="WCV411" s="120"/>
      <c r="WCW411" s="120"/>
      <c r="WCX411" s="120"/>
      <c r="WCY411" s="120"/>
      <c r="WCZ411" s="121"/>
      <c r="WDA411" s="119"/>
      <c r="WDB411" s="120"/>
      <c r="WDC411" s="120"/>
      <c r="WDD411" s="120"/>
      <c r="WDE411" s="120"/>
      <c r="WDF411" s="120"/>
      <c r="WDG411" s="121"/>
      <c r="WDH411" s="119"/>
      <c r="WDI411" s="120"/>
      <c r="WDJ411" s="120"/>
      <c r="WDK411" s="120"/>
      <c r="WDL411" s="120"/>
      <c r="WDM411" s="120"/>
      <c r="WDN411" s="121"/>
      <c r="WDO411" s="119"/>
      <c r="WDP411" s="120"/>
      <c r="WDQ411" s="120"/>
      <c r="WDR411" s="120"/>
      <c r="WDS411" s="120"/>
      <c r="WDT411" s="120"/>
      <c r="WDU411" s="121"/>
      <c r="WDV411" s="119"/>
      <c r="WDW411" s="120"/>
      <c r="WDX411" s="120"/>
      <c r="WDY411" s="120"/>
      <c r="WDZ411" s="120"/>
      <c r="WEA411" s="120"/>
      <c r="WEB411" s="121"/>
      <c r="WEC411" s="119"/>
      <c r="WED411" s="120"/>
      <c r="WEE411" s="120"/>
      <c r="WEF411" s="120"/>
      <c r="WEG411" s="120"/>
      <c r="WEH411" s="120"/>
      <c r="WEI411" s="121"/>
      <c r="WEJ411" s="119"/>
      <c r="WEK411" s="120"/>
      <c r="WEL411" s="120"/>
      <c r="WEM411" s="120"/>
      <c r="WEN411" s="120"/>
      <c r="WEO411" s="120"/>
      <c r="WEP411" s="121"/>
      <c r="WEQ411" s="119"/>
      <c r="WER411" s="120"/>
      <c r="WES411" s="120"/>
      <c r="WET411" s="120"/>
      <c r="WEU411" s="120"/>
      <c r="WEV411" s="120"/>
      <c r="WEW411" s="121"/>
      <c r="WEX411" s="119"/>
      <c r="WEY411" s="120"/>
      <c r="WEZ411" s="120"/>
      <c r="WFA411" s="120"/>
      <c r="WFB411" s="120"/>
      <c r="WFC411" s="120"/>
      <c r="WFD411" s="121"/>
      <c r="WFE411" s="119"/>
      <c r="WFF411" s="120"/>
      <c r="WFG411" s="120"/>
      <c r="WFH411" s="120"/>
      <c r="WFI411" s="120"/>
      <c r="WFJ411" s="120"/>
      <c r="WFK411" s="121"/>
      <c r="WFL411" s="119"/>
      <c r="WFM411" s="120"/>
      <c r="WFN411" s="120"/>
      <c r="WFO411" s="120"/>
      <c r="WFP411" s="120"/>
      <c r="WFQ411" s="120"/>
      <c r="WFR411" s="121"/>
      <c r="WFS411" s="119"/>
      <c r="WFT411" s="120"/>
      <c r="WFU411" s="120"/>
      <c r="WFV411" s="120"/>
      <c r="WFW411" s="120"/>
      <c r="WFX411" s="120"/>
      <c r="WFY411" s="121"/>
      <c r="WFZ411" s="119"/>
      <c r="WGA411" s="120"/>
      <c r="WGB411" s="120"/>
      <c r="WGC411" s="120"/>
      <c r="WGD411" s="120"/>
      <c r="WGE411" s="120"/>
      <c r="WGF411" s="121"/>
      <c r="WGG411" s="119"/>
      <c r="WGH411" s="120"/>
      <c r="WGI411" s="120"/>
      <c r="WGJ411" s="120"/>
      <c r="WGK411" s="120"/>
      <c r="WGL411" s="120"/>
      <c r="WGM411" s="121"/>
      <c r="WGN411" s="119"/>
      <c r="WGO411" s="120"/>
      <c r="WGP411" s="120"/>
      <c r="WGQ411" s="120"/>
      <c r="WGR411" s="120"/>
      <c r="WGS411" s="120"/>
      <c r="WGT411" s="121"/>
      <c r="WGU411" s="119"/>
      <c r="WGV411" s="120"/>
      <c r="WGW411" s="120"/>
      <c r="WGX411" s="120"/>
      <c r="WGY411" s="120"/>
      <c r="WGZ411" s="120"/>
      <c r="WHA411" s="121"/>
      <c r="WHB411" s="119"/>
      <c r="WHC411" s="120"/>
      <c r="WHD411" s="120"/>
      <c r="WHE411" s="120"/>
      <c r="WHF411" s="120"/>
      <c r="WHG411" s="120"/>
      <c r="WHH411" s="121"/>
      <c r="WHI411" s="119"/>
      <c r="WHJ411" s="120"/>
      <c r="WHK411" s="120"/>
      <c r="WHL411" s="120"/>
      <c r="WHM411" s="120"/>
      <c r="WHN411" s="120"/>
      <c r="WHO411" s="121"/>
      <c r="WHP411" s="119"/>
      <c r="WHQ411" s="120"/>
      <c r="WHR411" s="120"/>
      <c r="WHS411" s="120"/>
      <c r="WHT411" s="120"/>
      <c r="WHU411" s="120"/>
      <c r="WHV411" s="121"/>
      <c r="WHW411" s="119"/>
      <c r="WHX411" s="120"/>
      <c r="WHY411" s="120"/>
      <c r="WHZ411" s="120"/>
      <c r="WIA411" s="120"/>
      <c r="WIB411" s="120"/>
      <c r="WIC411" s="121"/>
      <c r="WID411" s="119"/>
      <c r="WIE411" s="120"/>
      <c r="WIF411" s="120"/>
      <c r="WIG411" s="120"/>
      <c r="WIH411" s="120"/>
      <c r="WII411" s="120"/>
      <c r="WIJ411" s="121"/>
      <c r="WIK411" s="119"/>
      <c r="WIL411" s="120"/>
      <c r="WIM411" s="120"/>
      <c r="WIN411" s="120"/>
      <c r="WIO411" s="120"/>
      <c r="WIP411" s="120"/>
      <c r="WIQ411" s="121"/>
      <c r="WIR411" s="119"/>
      <c r="WIS411" s="120"/>
      <c r="WIT411" s="120"/>
      <c r="WIU411" s="120"/>
      <c r="WIV411" s="120"/>
      <c r="WIW411" s="120"/>
      <c r="WIX411" s="121"/>
      <c r="WIY411" s="119"/>
      <c r="WIZ411" s="120"/>
      <c r="WJA411" s="120"/>
      <c r="WJB411" s="120"/>
      <c r="WJC411" s="120"/>
      <c r="WJD411" s="120"/>
      <c r="WJE411" s="121"/>
      <c r="WJF411" s="119"/>
      <c r="WJG411" s="120"/>
      <c r="WJH411" s="120"/>
      <c r="WJI411" s="120"/>
      <c r="WJJ411" s="120"/>
      <c r="WJK411" s="120"/>
      <c r="WJL411" s="121"/>
      <c r="WJM411" s="119"/>
      <c r="WJN411" s="120"/>
      <c r="WJO411" s="120"/>
      <c r="WJP411" s="120"/>
      <c r="WJQ411" s="120"/>
      <c r="WJR411" s="120"/>
      <c r="WJS411" s="121"/>
      <c r="WJT411" s="119"/>
      <c r="WJU411" s="120"/>
      <c r="WJV411" s="120"/>
      <c r="WJW411" s="120"/>
      <c r="WJX411" s="120"/>
      <c r="WJY411" s="120"/>
      <c r="WJZ411" s="121"/>
      <c r="WKA411" s="119"/>
      <c r="WKB411" s="120"/>
      <c r="WKC411" s="120"/>
      <c r="WKD411" s="120"/>
      <c r="WKE411" s="120"/>
      <c r="WKF411" s="120"/>
      <c r="WKG411" s="121"/>
      <c r="WKH411" s="119"/>
      <c r="WKI411" s="120"/>
      <c r="WKJ411" s="120"/>
      <c r="WKK411" s="120"/>
      <c r="WKL411" s="120"/>
      <c r="WKM411" s="120"/>
      <c r="WKN411" s="121"/>
      <c r="WKO411" s="119"/>
      <c r="WKP411" s="120"/>
      <c r="WKQ411" s="120"/>
      <c r="WKR411" s="120"/>
      <c r="WKS411" s="120"/>
      <c r="WKT411" s="120"/>
      <c r="WKU411" s="121"/>
      <c r="WKV411" s="119"/>
      <c r="WKW411" s="120"/>
      <c r="WKX411" s="120"/>
      <c r="WKY411" s="120"/>
      <c r="WKZ411" s="120"/>
      <c r="WLA411" s="120"/>
      <c r="WLB411" s="121"/>
      <c r="WLC411" s="119"/>
      <c r="WLD411" s="120"/>
      <c r="WLE411" s="120"/>
      <c r="WLF411" s="120"/>
      <c r="WLG411" s="120"/>
      <c r="WLH411" s="120"/>
      <c r="WLI411" s="121"/>
      <c r="WLJ411" s="119"/>
      <c r="WLK411" s="120"/>
      <c r="WLL411" s="120"/>
      <c r="WLM411" s="120"/>
      <c r="WLN411" s="120"/>
      <c r="WLO411" s="120"/>
      <c r="WLP411" s="121"/>
      <c r="WLQ411" s="119"/>
      <c r="WLR411" s="120"/>
      <c r="WLS411" s="120"/>
      <c r="WLT411" s="120"/>
      <c r="WLU411" s="120"/>
      <c r="WLV411" s="120"/>
      <c r="WLW411" s="121"/>
      <c r="WLX411" s="119"/>
      <c r="WLY411" s="120"/>
      <c r="WLZ411" s="120"/>
      <c r="WMA411" s="120"/>
      <c r="WMB411" s="120"/>
      <c r="WMC411" s="120"/>
      <c r="WMD411" s="121"/>
      <c r="WME411" s="119"/>
      <c r="WMF411" s="120"/>
      <c r="WMG411" s="120"/>
      <c r="WMH411" s="120"/>
      <c r="WMI411" s="120"/>
      <c r="WMJ411" s="120"/>
      <c r="WMK411" s="121"/>
      <c r="WML411" s="119"/>
      <c r="WMM411" s="120"/>
      <c r="WMN411" s="120"/>
      <c r="WMO411" s="120"/>
      <c r="WMP411" s="120"/>
      <c r="WMQ411" s="120"/>
      <c r="WMR411" s="121"/>
      <c r="WMS411" s="119"/>
      <c r="WMT411" s="120"/>
      <c r="WMU411" s="120"/>
      <c r="WMV411" s="120"/>
      <c r="WMW411" s="120"/>
      <c r="WMX411" s="120"/>
      <c r="WMY411" s="121"/>
      <c r="WMZ411" s="119"/>
      <c r="WNA411" s="120"/>
      <c r="WNB411" s="120"/>
      <c r="WNC411" s="120"/>
      <c r="WND411" s="120"/>
      <c r="WNE411" s="120"/>
      <c r="WNF411" s="121"/>
      <c r="WNG411" s="119"/>
      <c r="WNH411" s="120"/>
      <c r="WNI411" s="120"/>
      <c r="WNJ411" s="120"/>
      <c r="WNK411" s="120"/>
      <c r="WNL411" s="120"/>
      <c r="WNM411" s="121"/>
      <c r="WNN411" s="119"/>
      <c r="WNO411" s="120"/>
      <c r="WNP411" s="120"/>
      <c r="WNQ411" s="120"/>
      <c r="WNR411" s="120"/>
      <c r="WNS411" s="120"/>
      <c r="WNT411" s="121"/>
      <c r="WNU411" s="119"/>
      <c r="WNV411" s="120"/>
      <c r="WNW411" s="120"/>
      <c r="WNX411" s="120"/>
      <c r="WNY411" s="120"/>
      <c r="WNZ411" s="120"/>
      <c r="WOA411" s="121"/>
      <c r="WOB411" s="119"/>
      <c r="WOC411" s="120"/>
      <c r="WOD411" s="120"/>
      <c r="WOE411" s="120"/>
      <c r="WOF411" s="120"/>
      <c r="WOG411" s="120"/>
      <c r="WOH411" s="121"/>
      <c r="WOI411" s="119"/>
      <c r="WOJ411" s="120"/>
      <c r="WOK411" s="120"/>
      <c r="WOL411" s="120"/>
      <c r="WOM411" s="120"/>
      <c r="WON411" s="120"/>
      <c r="WOO411" s="121"/>
      <c r="WOP411" s="119"/>
      <c r="WOQ411" s="120"/>
      <c r="WOR411" s="120"/>
      <c r="WOS411" s="120"/>
      <c r="WOT411" s="120"/>
      <c r="WOU411" s="120"/>
      <c r="WOV411" s="121"/>
      <c r="WOW411" s="119"/>
      <c r="WOX411" s="120"/>
      <c r="WOY411" s="120"/>
      <c r="WOZ411" s="120"/>
      <c r="WPA411" s="120"/>
      <c r="WPB411" s="120"/>
      <c r="WPC411" s="121"/>
      <c r="WPD411" s="119"/>
      <c r="WPE411" s="120"/>
      <c r="WPF411" s="120"/>
      <c r="WPG411" s="120"/>
      <c r="WPH411" s="120"/>
      <c r="WPI411" s="120"/>
      <c r="WPJ411" s="121"/>
      <c r="WPK411" s="119"/>
      <c r="WPL411" s="120"/>
      <c r="WPM411" s="120"/>
      <c r="WPN411" s="120"/>
      <c r="WPO411" s="120"/>
      <c r="WPP411" s="120"/>
      <c r="WPQ411" s="121"/>
      <c r="WPR411" s="119"/>
      <c r="WPS411" s="120"/>
      <c r="WPT411" s="120"/>
      <c r="WPU411" s="120"/>
      <c r="WPV411" s="120"/>
      <c r="WPW411" s="120"/>
      <c r="WPX411" s="121"/>
      <c r="WPY411" s="119"/>
      <c r="WPZ411" s="120"/>
      <c r="WQA411" s="120"/>
      <c r="WQB411" s="120"/>
      <c r="WQC411" s="120"/>
      <c r="WQD411" s="120"/>
      <c r="WQE411" s="121"/>
      <c r="WQF411" s="119"/>
      <c r="WQG411" s="120"/>
      <c r="WQH411" s="120"/>
      <c r="WQI411" s="120"/>
      <c r="WQJ411" s="120"/>
      <c r="WQK411" s="120"/>
      <c r="WQL411" s="121"/>
      <c r="WQM411" s="119"/>
      <c r="WQN411" s="120"/>
      <c r="WQO411" s="120"/>
      <c r="WQP411" s="120"/>
      <c r="WQQ411" s="120"/>
      <c r="WQR411" s="120"/>
      <c r="WQS411" s="121"/>
      <c r="WQT411" s="119"/>
      <c r="WQU411" s="120"/>
      <c r="WQV411" s="120"/>
      <c r="WQW411" s="120"/>
      <c r="WQX411" s="120"/>
      <c r="WQY411" s="120"/>
      <c r="WQZ411" s="121"/>
      <c r="WRA411" s="119"/>
      <c r="WRB411" s="120"/>
      <c r="WRC411" s="120"/>
      <c r="WRD411" s="120"/>
      <c r="WRE411" s="120"/>
      <c r="WRF411" s="120"/>
      <c r="WRG411" s="121"/>
      <c r="WRH411" s="119"/>
      <c r="WRI411" s="120"/>
      <c r="WRJ411" s="120"/>
      <c r="WRK411" s="120"/>
      <c r="WRL411" s="120"/>
      <c r="WRM411" s="120"/>
      <c r="WRN411" s="121"/>
      <c r="WRO411" s="119"/>
      <c r="WRP411" s="120"/>
      <c r="WRQ411" s="120"/>
      <c r="WRR411" s="120"/>
      <c r="WRS411" s="120"/>
      <c r="WRT411" s="120"/>
      <c r="WRU411" s="121"/>
      <c r="WRV411" s="119"/>
      <c r="WRW411" s="120"/>
      <c r="WRX411" s="120"/>
      <c r="WRY411" s="120"/>
      <c r="WRZ411" s="120"/>
      <c r="WSA411" s="120"/>
      <c r="WSB411" s="121"/>
      <c r="WSC411" s="119"/>
      <c r="WSD411" s="120"/>
      <c r="WSE411" s="120"/>
      <c r="WSF411" s="120"/>
      <c r="WSG411" s="120"/>
      <c r="WSH411" s="120"/>
      <c r="WSI411" s="121"/>
      <c r="WSJ411" s="119"/>
      <c r="WSK411" s="120"/>
      <c r="WSL411" s="120"/>
      <c r="WSM411" s="120"/>
      <c r="WSN411" s="120"/>
      <c r="WSO411" s="120"/>
      <c r="WSP411" s="121"/>
      <c r="WSQ411" s="119"/>
      <c r="WSR411" s="120"/>
      <c r="WSS411" s="120"/>
      <c r="WST411" s="120"/>
      <c r="WSU411" s="120"/>
      <c r="WSV411" s="120"/>
      <c r="WSW411" s="121"/>
      <c r="WSX411" s="119"/>
      <c r="WSY411" s="120"/>
      <c r="WSZ411" s="120"/>
      <c r="WTA411" s="120"/>
      <c r="WTB411" s="120"/>
      <c r="WTC411" s="120"/>
      <c r="WTD411" s="121"/>
      <c r="WTE411" s="119"/>
      <c r="WTF411" s="120"/>
      <c r="WTG411" s="120"/>
      <c r="WTH411" s="120"/>
      <c r="WTI411" s="120"/>
      <c r="WTJ411" s="120"/>
      <c r="WTK411" s="121"/>
      <c r="WTL411" s="119"/>
      <c r="WTM411" s="120"/>
      <c r="WTN411" s="120"/>
      <c r="WTO411" s="120"/>
      <c r="WTP411" s="120"/>
      <c r="WTQ411" s="120"/>
      <c r="WTR411" s="121"/>
      <c r="WTS411" s="119"/>
      <c r="WTT411" s="120"/>
      <c r="WTU411" s="120"/>
      <c r="WTV411" s="120"/>
      <c r="WTW411" s="120"/>
      <c r="WTX411" s="120"/>
      <c r="WTY411" s="121"/>
      <c r="WTZ411" s="119"/>
      <c r="WUA411" s="120"/>
      <c r="WUB411" s="120"/>
      <c r="WUC411" s="120"/>
      <c r="WUD411" s="120"/>
      <c r="WUE411" s="120"/>
      <c r="WUF411" s="121"/>
      <c r="WUG411" s="119"/>
      <c r="WUH411" s="120"/>
      <c r="WUI411" s="120"/>
      <c r="WUJ411" s="120"/>
      <c r="WUK411" s="120"/>
      <c r="WUL411" s="120"/>
      <c r="WUM411" s="121"/>
      <c r="WUN411" s="119"/>
      <c r="WUO411" s="120"/>
      <c r="WUP411" s="120"/>
      <c r="WUQ411" s="120"/>
      <c r="WUR411" s="120"/>
      <c r="WUS411" s="120"/>
      <c r="WUT411" s="121"/>
      <c r="WUU411" s="119"/>
      <c r="WUV411" s="120"/>
      <c r="WUW411" s="120"/>
      <c r="WUX411" s="120"/>
      <c r="WUY411" s="120"/>
      <c r="WUZ411" s="120"/>
      <c r="WVA411" s="121"/>
      <c r="WVB411" s="119"/>
      <c r="WVC411" s="120"/>
      <c r="WVD411" s="120"/>
      <c r="WVE411" s="120"/>
      <c r="WVF411" s="120"/>
      <c r="WVG411" s="120"/>
      <c r="WVH411" s="121"/>
      <c r="WVI411" s="119"/>
      <c r="WVJ411" s="120"/>
      <c r="WVK411" s="120"/>
      <c r="WVL411" s="120"/>
      <c r="WVM411" s="120"/>
      <c r="WVN411" s="120"/>
      <c r="WVO411" s="121"/>
      <c r="WVP411" s="119"/>
      <c r="WVQ411" s="120"/>
      <c r="WVR411" s="120"/>
      <c r="WVS411" s="120"/>
      <c r="WVT411" s="120"/>
      <c r="WVU411" s="120"/>
      <c r="WVV411" s="121"/>
      <c r="WVW411" s="119"/>
      <c r="WVX411" s="120"/>
      <c r="WVY411" s="120"/>
      <c r="WVZ411" s="120"/>
      <c r="WWA411" s="120"/>
      <c r="WWB411" s="120"/>
      <c r="WWC411" s="121"/>
      <c r="WWD411" s="119"/>
      <c r="WWE411" s="120"/>
      <c r="WWF411" s="120"/>
      <c r="WWG411" s="120"/>
      <c r="WWH411" s="120"/>
      <c r="WWI411" s="120"/>
      <c r="WWJ411" s="121"/>
      <c r="WWK411" s="119"/>
      <c r="WWL411" s="120"/>
      <c r="WWM411" s="120"/>
      <c r="WWN411" s="120"/>
      <c r="WWO411" s="120"/>
      <c r="WWP411" s="120"/>
      <c r="WWQ411" s="121"/>
      <c r="WWR411" s="119"/>
      <c r="WWS411" s="120"/>
      <c r="WWT411" s="120"/>
      <c r="WWU411" s="120"/>
      <c r="WWV411" s="120"/>
      <c r="WWW411" s="120"/>
      <c r="WWX411" s="121"/>
      <c r="WWY411" s="119"/>
      <c r="WWZ411" s="120"/>
      <c r="WXA411" s="120"/>
      <c r="WXB411" s="120"/>
      <c r="WXC411" s="120"/>
      <c r="WXD411" s="120"/>
      <c r="WXE411" s="121"/>
      <c r="WXF411" s="119"/>
      <c r="WXG411" s="120"/>
      <c r="WXH411" s="120"/>
      <c r="WXI411" s="120"/>
      <c r="WXJ411" s="120"/>
      <c r="WXK411" s="120"/>
      <c r="WXL411" s="121"/>
      <c r="WXM411" s="119"/>
      <c r="WXN411" s="120"/>
      <c r="WXO411" s="120"/>
      <c r="WXP411" s="120"/>
      <c r="WXQ411" s="120"/>
      <c r="WXR411" s="120"/>
      <c r="WXS411" s="121"/>
      <c r="WXT411" s="119"/>
      <c r="WXU411" s="120"/>
      <c r="WXV411" s="120"/>
      <c r="WXW411" s="120"/>
      <c r="WXX411" s="120"/>
      <c r="WXY411" s="120"/>
      <c r="WXZ411" s="121"/>
      <c r="WYA411" s="119"/>
      <c r="WYB411" s="120"/>
      <c r="WYC411" s="120"/>
      <c r="WYD411" s="120"/>
      <c r="WYE411" s="120"/>
      <c r="WYF411" s="120"/>
      <c r="WYG411" s="121"/>
      <c r="WYH411" s="119"/>
      <c r="WYI411" s="120"/>
      <c r="WYJ411" s="120"/>
      <c r="WYK411" s="120"/>
      <c r="WYL411" s="120"/>
      <c r="WYM411" s="120"/>
      <c r="WYN411" s="121"/>
      <c r="WYO411" s="119"/>
      <c r="WYP411" s="120"/>
      <c r="WYQ411" s="120"/>
      <c r="WYR411" s="120"/>
      <c r="WYS411" s="120"/>
      <c r="WYT411" s="120"/>
      <c r="WYU411" s="121"/>
      <c r="WYV411" s="119"/>
      <c r="WYW411" s="120"/>
      <c r="WYX411" s="120"/>
      <c r="WYY411" s="120"/>
      <c r="WYZ411" s="120"/>
      <c r="WZA411" s="120"/>
      <c r="WZB411" s="121"/>
      <c r="WZC411" s="119"/>
      <c r="WZD411" s="120"/>
      <c r="WZE411" s="120"/>
      <c r="WZF411" s="120"/>
      <c r="WZG411" s="120"/>
      <c r="WZH411" s="120"/>
      <c r="WZI411" s="121"/>
      <c r="WZJ411" s="119"/>
      <c r="WZK411" s="120"/>
      <c r="WZL411" s="120"/>
      <c r="WZM411" s="120"/>
      <c r="WZN411" s="120"/>
      <c r="WZO411" s="120"/>
      <c r="WZP411" s="121"/>
      <c r="WZQ411" s="119"/>
      <c r="WZR411" s="120"/>
      <c r="WZS411" s="120"/>
      <c r="WZT411" s="120"/>
      <c r="WZU411" s="120"/>
      <c r="WZV411" s="120"/>
      <c r="WZW411" s="121"/>
      <c r="WZX411" s="119"/>
      <c r="WZY411" s="120"/>
      <c r="WZZ411" s="120"/>
      <c r="XAA411" s="120"/>
      <c r="XAB411" s="120"/>
      <c r="XAC411" s="120"/>
      <c r="XAD411" s="121"/>
      <c r="XAE411" s="119"/>
      <c r="XAF411" s="120"/>
      <c r="XAG411" s="120"/>
      <c r="XAH411" s="120"/>
      <c r="XAI411" s="120"/>
      <c r="XAJ411" s="120"/>
      <c r="XAK411" s="121"/>
      <c r="XAL411" s="119"/>
      <c r="XAM411" s="120"/>
      <c r="XAN411" s="120"/>
      <c r="XAO411" s="120"/>
      <c r="XAP411" s="120"/>
      <c r="XAQ411" s="120"/>
      <c r="XAR411" s="121"/>
      <c r="XAS411" s="119"/>
      <c r="XAT411" s="120"/>
      <c r="XAU411" s="120"/>
      <c r="XAV411" s="120"/>
      <c r="XAW411" s="120"/>
      <c r="XAX411" s="120"/>
      <c r="XAY411" s="121"/>
      <c r="XAZ411" s="119"/>
      <c r="XBA411" s="120"/>
      <c r="XBB411" s="120"/>
      <c r="XBC411" s="120"/>
      <c r="XBD411" s="120"/>
      <c r="XBE411" s="120"/>
      <c r="XBF411" s="121"/>
      <c r="XBG411" s="119"/>
      <c r="XBH411" s="120"/>
      <c r="XBI411" s="120"/>
      <c r="XBJ411" s="120"/>
      <c r="XBK411" s="120"/>
      <c r="XBL411" s="120"/>
      <c r="XBM411" s="121"/>
      <c r="XBN411" s="119"/>
      <c r="XBO411" s="120"/>
      <c r="XBP411" s="120"/>
      <c r="XBQ411" s="120"/>
      <c r="XBR411" s="120"/>
      <c r="XBS411" s="120"/>
      <c r="XBT411" s="121"/>
      <c r="XBU411" s="119"/>
      <c r="XBV411" s="120"/>
      <c r="XBW411" s="120"/>
      <c r="XBX411" s="120"/>
      <c r="XBY411" s="120"/>
      <c r="XBZ411" s="120"/>
      <c r="XCA411" s="121"/>
      <c r="XCB411" s="119"/>
      <c r="XCC411" s="120"/>
      <c r="XCD411" s="120"/>
      <c r="XCE411" s="120"/>
      <c r="XCF411" s="120"/>
      <c r="XCG411" s="120"/>
      <c r="XCH411" s="121"/>
      <c r="XCI411" s="119"/>
      <c r="XCJ411" s="120"/>
      <c r="XCK411" s="120"/>
      <c r="XCL411" s="120"/>
      <c r="XCM411" s="120"/>
      <c r="XCN411" s="120"/>
      <c r="XCO411" s="121"/>
      <c r="XCP411" s="119"/>
      <c r="XCQ411" s="120"/>
      <c r="XCR411" s="120"/>
      <c r="XCS411" s="120"/>
      <c r="XCT411" s="120"/>
      <c r="XCU411" s="120"/>
      <c r="XCV411" s="121"/>
      <c r="XCW411" s="119"/>
      <c r="XCX411" s="120"/>
      <c r="XCY411" s="120"/>
      <c r="XCZ411" s="120"/>
      <c r="XDA411" s="120"/>
      <c r="XDB411" s="120"/>
      <c r="XDC411" s="121"/>
      <c r="XDD411" s="119"/>
      <c r="XDE411" s="120"/>
      <c r="XDF411" s="120"/>
      <c r="XDG411" s="120"/>
      <c r="XDH411" s="120"/>
      <c r="XDI411" s="120"/>
      <c r="XDJ411" s="121"/>
      <c r="XDK411" s="119"/>
      <c r="XDL411" s="120"/>
      <c r="XDM411" s="120"/>
      <c r="XDN411" s="120"/>
      <c r="XDO411" s="120"/>
      <c r="XDP411" s="120"/>
      <c r="XDQ411" s="121"/>
      <c r="XDR411" s="119"/>
      <c r="XDS411" s="120"/>
      <c r="XDT411" s="120"/>
      <c r="XDU411" s="120"/>
      <c r="XDV411" s="120"/>
      <c r="XDW411" s="120"/>
      <c r="XDX411" s="121"/>
      <c r="XDY411" s="119"/>
      <c r="XDZ411" s="120"/>
      <c r="XEA411" s="120"/>
      <c r="XEB411" s="120"/>
      <c r="XEC411" s="120"/>
      <c r="XED411" s="120"/>
      <c r="XEE411" s="121"/>
      <c r="XEF411" s="119"/>
      <c r="XEG411" s="120"/>
      <c r="XEH411" s="120"/>
      <c r="XEI411" s="120"/>
      <c r="XEJ411" s="120"/>
      <c r="XEK411" s="120"/>
      <c r="XEL411" s="121"/>
      <c r="XEM411" s="119"/>
      <c r="XEN411" s="120"/>
      <c r="XEO411" s="120"/>
      <c r="XEP411" s="120"/>
      <c r="XEQ411" s="120"/>
      <c r="XER411" s="120"/>
      <c r="XES411" s="121"/>
      <c r="XET411" s="119"/>
      <c r="XEU411" s="120"/>
      <c r="XEV411" s="120"/>
      <c r="XEW411" s="120"/>
      <c r="XEX411" s="120"/>
      <c r="XEY411" s="120"/>
      <c r="XEZ411" s="121"/>
      <c r="XFA411" s="119"/>
      <c r="XFB411" s="120"/>
      <c r="XFC411" s="120"/>
      <c r="XFD411" s="120"/>
    </row>
    <row r="412" spans="1:16384" s="13" customFormat="1" x14ac:dyDescent="0.2">
      <c r="A412" s="123"/>
      <c r="B412" s="124"/>
      <c r="C412" s="124"/>
      <c r="D412" s="125"/>
      <c r="E412" s="60"/>
      <c r="F412" s="59"/>
      <c r="G412" s="18"/>
      <c r="H412" s="19"/>
    </row>
  </sheetData>
  <mergeCells count="7051">
    <mergeCell ref="XFA411:XFD411"/>
    <mergeCell ref="XDR411:XDX411"/>
    <mergeCell ref="XDY411:XEE411"/>
    <mergeCell ref="XEF411:XEL411"/>
    <mergeCell ref="XEM411:XES411"/>
    <mergeCell ref="XET411:XEZ411"/>
    <mergeCell ref="XCI411:XCO411"/>
    <mergeCell ref="XCP411:XCV411"/>
    <mergeCell ref="XCW411:XDC411"/>
    <mergeCell ref="XDD411:XDJ411"/>
    <mergeCell ref="XDK411:XDQ411"/>
    <mergeCell ref="XAZ411:XBF411"/>
    <mergeCell ref="XBG411:XBM411"/>
    <mergeCell ref="XBN411:XBT411"/>
    <mergeCell ref="XBU411:XCA411"/>
    <mergeCell ref="XCB411:XCH411"/>
    <mergeCell ref="WZQ411:WZW411"/>
    <mergeCell ref="WZX411:XAD411"/>
    <mergeCell ref="XAE411:XAK411"/>
    <mergeCell ref="XAL411:XAR411"/>
    <mergeCell ref="XAS411:XAY411"/>
    <mergeCell ref="WYH411:WYN411"/>
    <mergeCell ref="WYO411:WYU411"/>
    <mergeCell ref="WYV411:WZB411"/>
    <mergeCell ref="WZC411:WZI411"/>
    <mergeCell ref="WZJ411:WZP411"/>
    <mergeCell ref="WWY411:WXE411"/>
    <mergeCell ref="WXF411:WXL411"/>
    <mergeCell ref="WXM411:WXS411"/>
    <mergeCell ref="WXT411:WXZ411"/>
    <mergeCell ref="WYA411:WYG411"/>
    <mergeCell ref="WVP411:WVV411"/>
    <mergeCell ref="WVW411:WWC411"/>
    <mergeCell ref="WWD411:WWJ411"/>
    <mergeCell ref="WWK411:WWQ411"/>
    <mergeCell ref="WWR411:WWX411"/>
    <mergeCell ref="WUG411:WUM411"/>
    <mergeCell ref="WUN411:WUT411"/>
    <mergeCell ref="WUU411:WVA411"/>
    <mergeCell ref="WVB411:WVH411"/>
    <mergeCell ref="WVI411:WVO411"/>
    <mergeCell ref="WSX411:WTD411"/>
    <mergeCell ref="WTE411:WTK411"/>
    <mergeCell ref="WTL411:WTR411"/>
    <mergeCell ref="WTS411:WTY411"/>
    <mergeCell ref="WTZ411:WUF411"/>
    <mergeCell ref="WRO411:WRU411"/>
    <mergeCell ref="WRV411:WSB411"/>
    <mergeCell ref="WSC411:WSI411"/>
    <mergeCell ref="WSJ411:WSP411"/>
    <mergeCell ref="WSQ411:WSW411"/>
    <mergeCell ref="WQF411:WQL411"/>
    <mergeCell ref="WQM411:WQS411"/>
    <mergeCell ref="WQT411:WQZ411"/>
    <mergeCell ref="WRA411:WRG411"/>
    <mergeCell ref="WRH411:WRN411"/>
    <mergeCell ref="WOW411:WPC411"/>
    <mergeCell ref="WPD411:WPJ411"/>
    <mergeCell ref="WPK411:WPQ411"/>
    <mergeCell ref="WPR411:WPX411"/>
    <mergeCell ref="WPY411:WQE411"/>
    <mergeCell ref="WNN411:WNT411"/>
    <mergeCell ref="WNU411:WOA411"/>
    <mergeCell ref="WOB411:WOH411"/>
    <mergeCell ref="WOI411:WOO411"/>
    <mergeCell ref="WOP411:WOV411"/>
    <mergeCell ref="WME411:WMK411"/>
    <mergeCell ref="WML411:WMR411"/>
    <mergeCell ref="WMS411:WMY411"/>
    <mergeCell ref="WMZ411:WNF411"/>
    <mergeCell ref="WNG411:WNM411"/>
    <mergeCell ref="WKV411:WLB411"/>
    <mergeCell ref="WLC411:WLI411"/>
    <mergeCell ref="WLJ411:WLP411"/>
    <mergeCell ref="WLQ411:WLW411"/>
    <mergeCell ref="WLX411:WMD411"/>
    <mergeCell ref="WJM411:WJS411"/>
    <mergeCell ref="WJT411:WJZ411"/>
    <mergeCell ref="WKA411:WKG411"/>
    <mergeCell ref="WKH411:WKN411"/>
    <mergeCell ref="WKO411:WKU411"/>
    <mergeCell ref="WID411:WIJ411"/>
    <mergeCell ref="WIK411:WIQ411"/>
    <mergeCell ref="WIR411:WIX411"/>
    <mergeCell ref="WIY411:WJE411"/>
    <mergeCell ref="WJF411:WJL411"/>
    <mergeCell ref="WGU411:WHA411"/>
    <mergeCell ref="WHB411:WHH411"/>
    <mergeCell ref="WHI411:WHO411"/>
    <mergeCell ref="WHP411:WHV411"/>
    <mergeCell ref="WHW411:WIC411"/>
    <mergeCell ref="WFL411:WFR411"/>
    <mergeCell ref="WFS411:WFY411"/>
    <mergeCell ref="WFZ411:WGF411"/>
    <mergeCell ref="WGG411:WGM411"/>
    <mergeCell ref="WGN411:WGT411"/>
    <mergeCell ref="WEC411:WEI411"/>
    <mergeCell ref="WEJ411:WEP411"/>
    <mergeCell ref="WEQ411:WEW411"/>
    <mergeCell ref="WEX411:WFD411"/>
    <mergeCell ref="WFE411:WFK411"/>
    <mergeCell ref="WCT411:WCZ411"/>
    <mergeCell ref="WDA411:WDG411"/>
    <mergeCell ref="WDH411:WDN411"/>
    <mergeCell ref="WDO411:WDU411"/>
    <mergeCell ref="WDV411:WEB411"/>
    <mergeCell ref="WBK411:WBQ411"/>
    <mergeCell ref="WBR411:WBX411"/>
    <mergeCell ref="WBY411:WCE411"/>
    <mergeCell ref="WCF411:WCL411"/>
    <mergeCell ref="WCM411:WCS411"/>
    <mergeCell ref="WAB411:WAH411"/>
    <mergeCell ref="WAI411:WAO411"/>
    <mergeCell ref="WAP411:WAV411"/>
    <mergeCell ref="WAW411:WBC411"/>
    <mergeCell ref="WBD411:WBJ411"/>
    <mergeCell ref="VYS411:VYY411"/>
    <mergeCell ref="VYZ411:VZF411"/>
    <mergeCell ref="VZG411:VZM411"/>
    <mergeCell ref="VZN411:VZT411"/>
    <mergeCell ref="VZU411:WAA411"/>
    <mergeCell ref="VXJ411:VXP411"/>
    <mergeCell ref="VXQ411:VXW411"/>
    <mergeCell ref="VXX411:VYD411"/>
    <mergeCell ref="VYE411:VYK411"/>
    <mergeCell ref="VYL411:VYR411"/>
    <mergeCell ref="VWA411:VWG411"/>
    <mergeCell ref="VWH411:VWN411"/>
    <mergeCell ref="VWO411:VWU411"/>
    <mergeCell ref="VWV411:VXB411"/>
    <mergeCell ref="VXC411:VXI411"/>
    <mergeCell ref="VUR411:VUX411"/>
    <mergeCell ref="VUY411:VVE411"/>
    <mergeCell ref="VVF411:VVL411"/>
    <mergeCell ref="VVM411:VVS411"/>
    <mergeCell ref="VVT411:VVZ411"/>
    <mergeCell ref="VTI411:VTO411"/>
    <mergeCell ref="VTP411:VTV411"/>
    <mergeCell ref="VTW411:VUC411"/>
    <mergeCell ref="VUD411:VUJ411"/>
    <mergeCell ref="VUK411:VUQ411"/>
    <mergeCell ref="VRZ411:VSF411"/>
    <mergeCell ref="VSG411:VSM411"/>
    <mergeCell ref="VSN411:VST411"/>
    <mergeCell ref="VSU411:VTA411"/>
    <mergeCell ref="VTB411:VTH411"/>
    <mergeCell ref="VQQ411:VQW411"/>
    <mergeCell ref="VQX411:VRD411"/>
    <mergeCell ref="VRE411:VRK411"/>
    <mergeCell ref="VRL411:VRR411"/>
    <mergeCell ref="VRS411:VRY411"/>
    <mergeCell ref="VPH411:VPN411"/>
    <mergeCell ref="VPO411:VPU411"/>
    <mergeCell ref="VPV411:VQB411"/>
    <mergeCell ref="VQC411:VQI411"/>
    <mergeCell ref="VQJ411:VQP411"/>
    <mergeCell ref="VNY411:VOE411"/>
    <mergeCell ref="VOF411:VOL411"/>
    <mergeCell ref="VOM411:VOS411"/>
    <mergeCell ref="VOT411:VOZ411"/>
    <mergeCell ref="VPA411:VPG411"/>
    <mergeCell ref="VMP411:VMV411"/>
    <mergeCell ref="VMW411:VNC411"/>
    <mergeCell ref="VND411:VNJ411"/>
    <mergeCell ref="VNK411:VNQ411"/>
    <mergeCell ref="VNR411:VNX411"/>
    <mergeCell ref="VLG411:VLM411"/>
    <mergeCell ref="VLN411:VLT411"/>
    <mergeCell ref="VLU411:VMA411"/>
    <mergeCell ref="VMB411:VMH411"/>
    <mergeCell ref="VMI411:VMO411"/>
    <mergeCell ref="VJX411:VKD411"/>
    <mergeCell ref="VKE411:VKK411"/>
    <mergeCell ref="VKL411:VKR411"/>
    <mergeCell ref="VKS411:VKY411"/>
    <mergeCell ref="VKZ411:VLF411"/>
    <mergeCell ref="VIO411:VIU411"/>
    <mergeCell ref="VIV411:VJB411"/>
    <mergeCell ref="VJC411:VJI411"/>
    <mergeCell ref="VJJ411:VJP411"/>
    <mergeCell ref="VJQ411:VJW411"/>
    <mergeCell ref="VHF411:VHL411"/>
    <mergeCell ref="VHM411:VHS411"/>
    <mergeCell ref="VHT411:VHZ411"/>
    <mergeCell ref="VIA411:VIG411"/>
    <mergeCell ref="VIH411:VIN411"/>
    <mergeCell ref="VFW411:VGC411"/>
    <mergeCell ref="VGD411:VGJ411"/>
    <mergeCell ref="VGK411:VGQ411"/>
    <mergeCell ref="VGR411:VGX411"/>
    <mergeCell ref="VGY411:VHE411"/>
    <mergeCell ref="VEN411:VET411"/>
    <mergeCell ref="VEU411:VFA411"/>
    <mergeCell ref="VFB411:VFH411"/>
    <mergeCell ref="VFI411:VFO411"/>
    <mergeCell ref="VFP411:VFV411"/>
    <mergeCell ref="VDE411:VDK411"/>
    <mergeCell ref="VDL411:VDR411"/>
    <mergeCell ref="VDS411:VDY411"/>
    <mergeCell ref="VDZ411:VEF411"/>
    <mergeCell ref="VEG411:VEM411"/>
    <mergeCell ref="VBV411:VCB411"/>
    <mergeCell ref="VCC411:VCI411"/>
    <mergeCell ref="VCJ411:VCP411"/>
    <mergeCell ref="VCQ411:VCW411"/>
    <mergeCell ref="VCX411:VDD411"/>
    <mergeCell ref="VAM411:VAS411"/>
    <mergeCell ref="VAT411:VAZ411"/>
    <mergeCell ref="VBA411:VBG411"/>
    <mergeCell ref="VBH411:VBN411"/>
    <mergeCell ref="VBO411:VBU411"/>
    <mergeCell ref="UZD411:UZJ411"/>
    <mergeCell ref="UZK411:UZQ411"/>
    <mergeCell ref="UZR411:UZX411"/>
    <mergeCell ref="UZY411:VAE411"/>
    <mergeCell ref="VAF411:VAL411"/>
    <mergeCell ref="UXU411:UYA411"/>
    <mergeCell ref="UYB411:UYH411"/>
    <mergeCell ref="UYI411:UYO411"/>
    <mergeCell ref="UYP411:UYV411"/>
    <mergeCell ref="UYW411:UZC411"/>
    <mergeCell ref="UWL411:UWR411"/>
    <mergeCell ref="UWS411:UWY411"/>
    <mergeCell ref="UWZ411:UXF411"/>
    <mergeCell ref="UXG411:UXM411"/>
    <mergeCell ref="UXN411:UXT411"/>
    <mergeCell ref="UVC411:UVI411"/>
    <mergeCell ref="UVJ411:UVP411"/>
    <mergeCell ref="UVQ411:UVW411"/>
    <mergeCell ref="UVX411:UWD411"/>
    <mergeCell ref="UWE411:UWK411"/>
    <mergeCell ref="UTT411:UTZ411"/>
    <mergeCell ref="UUA411:UUG411"/>
    <mergeCell ref="UUH411:UUN411"/>
    <mergeCell ref="UUO411:UUU411"/>
    <mergeCell ref="UUV411:UVB411"/>
    <mergeCell ref="USK411:USQ411"/>
    <mergeCell ref="USR411:USX411"/>
    <mergeCell ref="USY411:UTE411"/>
    <mergeCell ref="UTF411:UTL411"/>
    <mergeCell ref="UTM411:UTS411"/>
    <mergeCell ref="URB411:URH411"/>
    <mergeCell ref="URI411:URO411"/>
    <mergeCell ref="URP411:URV411"/>
    <mergeCell ref="URW411:USC411"/>
    <mergeCell ref="USD411:USJ411"/>
    <mergeCell ref="UPS411:UPY411"/>
    <mergeCell ref="UPZ411:UQF411"/>
    <mergeCell ref="UQG411:UQM411"/>
    <mergeCell ref="UQN411:UQT411"/>
    <mergeCell ref="UQU411:URA411"/>
    <mergeCell ref="UOJ411:UOP411"/>
    <mergeCell ref="UOQ411:UOW411"/>
    <mergeCell ref="UOX411:UPD411"/>
    <mergeCell ref="UPE411:UPK411"/>
    <mergeCell ref="UPL411:UPR411"/>
    <mergeCell ref="UNA411:UNG411"/>
    <mergeCell ref="UNH411:UNN411"/>
    <mergeCell ref="UNO411:UNU411"/>
    <mergeCell ref="UNV411:UOB411"/>
    <mergeCell ref="UOC411:UOI411"/>
    <mergeCell ref="ULR411:ULX411"/>
    <mergeCell ref="ULY411:UME411"/>
    <mergeCell ref="UMF411:UML411"/>
    <mergeCell ref="UMM411:UMS411"/>
    <mergeCell ref="UMT411:UMZ411"/>
    <mergeCell ref="UKI411:UKO411"/>
    <mergeCell ref="UKP411:UKV411"/>
    <mergeCell ref="UKW411:ULC411"/>
    <mergeCell ref="ULD411:ULJ411"/>
    <mergeCell ref="ULK411:ULQ411"/>
    <mergeCell ref="UIZ411:UJF411"/>
    <mergeCell ref="UJG411:UJM411"/>
    <mergeCell ref="UJN411:UJT411"/>
    <mergeCell ref="UJU411:UKA411"/>
    <mergeCell ref="UKB411:UKH411"/>
    <mergeCell ref="UHQ411:UHW411"/>
    <mergeCell ref="UHX411:UID411"/>
    <mergeCell ref="UIE411:UIK411"/>
    <mergeCell ref="UIL411:UIR411"/>
    <mergeCell ref="UIS411:UIY411"/>
    <mergeCell ref="UGH411:UGN411"/>
    <mergeCell ref="UGO411:UGU411"/>
    <mergeCell ref="UGV411:UHB411"/>
    <mergeCell ref="UHC411:UHI411"/>
    <mergeCell ref="UHJ411:UHP411"/>
    <mergeCell ref="UEY411:UFE411"/>
    <mergeCell ref="UFF411:UFL411"/>
    <mergeCell ref="UFM411:UFS411"/>
    <mergeCell ref="UFT411:UFZ411"/>
    <mergeCell ref="UGA411:UGG411"/>
    <mergeCell ref="UDP411:UDV411"/>
    <mergeCell ref="UDW411:UEC411"/>
    <mergeCell ref="UED411:UEJ411"/>
    <mergeCell ref="UEK411:UEQ411"/>
    <mergeCell ref="UER411:UEX411"/>
    <mergeCell ref="UCG411:UCM411"/>
    <mergeCell ref="UCN411:UCT411"/>
    <mergeCell ref="UCU411:UDA411"/>
    <mergeCell ref="UDB411:UDH411"/>
    <mergeCell ref="UDI411:UDO411"/>
    <mergeCell ref="UAX411:UBD411"/>
    <mergeCell ref="UBE411:UBK411"/>
    <mergeCell ref="UBL411:UBR411"/>
    <mergeCell ref="UBS411:UBY411"/>
    <mergeCell ref="UBZ411:UCF411"/>
    <mergeCell ref="TZO411:TZU411"/>
    <mergeCell ref="TZV411:UAB411"/>
    <mergeCell ref="UAC411:UAI411"/>
    <mergeCell ref="UAJ411:UAP411"/>
    <mergeCell ref="UAQ411:UAW411"/>
    <mergeCell ref="TYF411:TYL411"/>
    <mergeCell ref="TYM411:TYS411"/>
    <mergeCell ref="TYT411:TYZ411"/>
    <mergeCell ref="TZA411:TZG411"/>
    <mergeCell ref="TZH411:TZN411"/>
    <mergeCell ref="TWW411:TXC411"/>
    <mergeCell ref="TXD411:TXJ411"/>
    <mergeCell ref="TXK411:TXQ411"/>
    <mergeCell ref="TXR411:TXX411"/>
    <mergeCell ref="TXY411:TYE411"/>
    <mergeCell ref="TVN411:TVT411"/>
    <mergeCell ref="TVU411:TWA411"/>
    <mergeCell ref="TWB411:TWH411"/>
    <mergeCell ref="TWI411:TWO411"/>
    <mergeCell ref="TWP411:TWV411"/>
    <mergeCell ref="TUE411:TUK411"/>
    <mergeCell ref="TUL411:TUR411"/>
    <mergeCell ref="TUS411:TUY411"/>
    <mergeCell ref="TUZ411:TVF411"/>
    <mergeCell ref="TVG411:TVM411"/>
    <mergeCell ref="TSV411:TTB411"/>
    <mergeCell ref="TTC411:TTI411"/>
    <mergeCell ref="TTJ411:TTP411"/>
    <mergeCell ref="TTQ411:TTW411"/>
    <mergeCell ref="TTX411:TUD411"/>
    <mergeCell ref="TRM411:TRS411"/>
    <mergeCell ref="TRT411:TRZ411"/>
    <mergeCell ref="TSA411:TSG411"/>
    <mergeCell ref="TSH411:TSN411"/>
    <mergeCell ref="TSO411:TSU411"/>
    <mergeCell ref="TQD411:TQJ411"/>
    <mergeCell ref="TQK411:TQQ411"/>
    <mergeCell ref="TQR411:TQX411"/>
    <mergeCell ref="TQY411:TRE411"/>
    <mergeCell ref="TRF411:TRL411"/>
    <mergeCell ref="TOU411:TPA411"/>
    <mergeCell ref="TPB411:TPH411"/>
    <mergeCell ref="TPI411:TPO411"/>
    <mergeCell ref="TPP411:TPV411"/>
    <mergeCell ref="TPW411:TQC411"/>
    <mergeCell ref="TNL411:TNR411"/>
    <mergeCell ref="TNS411:TNY411"/>
    <mergeCell ref="TNZ411:TOF411"/>
    <mergeCell ref="TOG411:TOM411"/>
    <mergeCell ref="TON411:TOT411"/>
    <mergeCell ref="TMC411:TMI411"/>
    <mergeCell ref="TMJ411:TMP411"/>
    <mergeCell ref="TMQ411:TMW411"/>
    <mergeCell ref="TMX411:TND411"/>
    <mergeCell ref="TNE411:TNK411"/>
    <mergeCell ref="TKT411:TKZ411"/>
    <mergeCell ref="TLA411:TLG411"/>
    <mergeCell ref="TLH411:TLN411"/>
    <mergeCell ref="TLO411:TLU411"/>
    <mergeCell ref="TLV411:TMB411"/>
    <mergeCell ref="TJK411:TJQ411"/>
    <mergeCell ref="TJR411:TJX411"/>
    <mergeCell ref="TJY411:TKE411"/>
    <mergeCell ref="TKF411:TKL411"/>
    <mergeCell ref="TKM411:TKS411"/>
    <mergeCell ref="TIB411:TIH411"/>
    <mergeCell ref="TII411:TIO411"/>
    <mergeCell ref="TIP411:TIV411"/>
    <mergeCell ref="TIW411:TJC411"/>
    <mergeCell ref="TJD411:TJJ411"/>
    <mergeCell ref="TGS411:TGY411"/>
    <mergeCell ref="TGZ411:THF411"/>
    <mergeCell ref="THG411:THM411"/>
    <mergeCell ref="THN411:THT411"/>
    <mergeCell ref="THU411:TIA411"/>
    <mergeCell ref="TFJ411:TFP411"/>
    <mergeCell ref="TFQ411:TFW411"/>
    <mergeCell ref="TFX411:TGD411"/>
    <mergeCell ref="TGE411:TGK411"/>
    <mergeCell ref="TGL411:TGR411"/>
    <mergeCell ref="TEA411:TEG411"/>
    <mergeCell ref="TEH411:TEN411"/>
    <mergeCell ref="TEO411:TEU411"/>
    <mergeCell ref="TEV411:TFB411"/>
    <mergeCell ref="TFC411:TFI411"/>
    <mergeCell ref="TCR411:TCX411"/>
    <mergeCell ref="TCY411:TDE411"/>
    <mergeCell ref="TDF411:TDL411"/>
    <mergeCell ref="TDM411:TDS411"/>
    <mergeCell ref="TDT411:TDZ411"/>
    <mergeCell ref="TBI411:TBO411"/>
    <mergeCell ref="TBP411:TBV411"/>
    <mergeCell ref="TBW411:TCC411"/>
    <mergeCell ref="TCD411:TCJ411"/>
    <mergeCell ref="TCK411:TCQ411"/>
    <mergeCell ref="SZZ411:TAF411"/>
    <mergeCell ref="TAG411:TAM411"/>
    <mergeCell ref="TAN411:TAT411"/>
    <mergeCell ref="TAU411:TBA411"/>
    <mergeCell ref="TBB411:TBH411"/>
    <mergeCell ref="SYQ411:SYW411"/>
    <mergeCell ref="SYX411:SZD411"/>
    <mergeCell ref="SZE411:SZK411"/>
    <mergeCell ref="SZL411:SZR411"/>
    <mergeCell ref="SZS411:SZY411"/>
    <mergeCell ref="SXH411:SXN411"/>
    <mergeCell ref="SXO411:SXU411"/>
    <mergeCell ref="SXV411:SYB411"/>
    <mergeCell ref="SYC411:SYI411"/>
    <mergeCell ref="SYJ411:SYP411"/>
    <mergeCell ref="SVY411:SWE411"/>
    <mergeCell ref="SWF411:SWL411"/>
    <mergeCell ref="SWM411:SWS411"/>
    <mergeCell ref="SWT411:SWZ411"/>
    <mergeCell ref="SXA411:SXG411"/>
    <mergeCell ref="SUP411:SUV411"/>
    <mergeCell ref="SUW411:SVC411"/>
    <mergeCell ref="SVD411:SVJ411"/>
    <mergeCell ref="SVK411:SVQ411"/>
    <mergeCell ref="SVR411:SVX411"/>
    <mergeCell ref="STG411:STM411"/>
    <mergeCell ref="STN411:STT411"/>
    <mergeCell ref="STU411:SUA411"/>
    <mergeCell ref="SUB411:SUH411"/>
    <mergeCell ref="SUI411:SUO411"/>
    <mergeCell ref="SRX411:SSD411"/>
    <mergeCell ref="SSE411:SSK411"/>
    <mergeCell ref="SSL411:SSR411"/>
    <mergeCell ref="SSS411:SSY411"/>
    <mergeCell ref="SSZ411:STF411"/>
    <mergeCell ref="SQO411:SQU411"/>
    <mergeCell ref="SQV411:SRB411"/>
    <mergeCell ref="SRC411:SRI411"/>
    <mergeCell ref="SRJ411:SRP411"/>
    <mergeCell ref="SRQ411:SRW411"/>
    <mergeCell ref="SPF411:SPL411"/>
    <mergeCell ref="SPM411:SPS411"/>
    <mergeCell ref="SPT411:SPZ411"/>
    <mergeCell ref="SQA411:SQG411"/>
    <mergeCell ref="SQH411:SQN411"/>
    <mergeCell ref="SNW411:SOC411"/>
    <mergeCell ref="SOD411:SOJ411"/>
    <mergeCell ref="SOK411:SOQ411"/>
    <mergeCell ref="SOR411:SOX411"/>
    <mergeCell ref="SOY411:SPE411"/>
    <mergeCell ref="SMN411:SMT411"/>
    <mergeCell ref="SMU411:SNA411"/>
    <mergeCell ref="SNB411:SNH411"/>
    <mergeCell ref="SNI411:SNO411"/>
    <mergeCell ref="SNP411:SNV411"/>
    <mergeCell ref="SLE411:SLK411"/>
    <mergeCell ref="SLL411:SLR411"/>
    <mergeCell ref="SLS411:SLY411"/>
    <mergeCell ref="SLZ411:SMF411"/>
    <mergeCell ref="SMG411:SMM411"/>
    <mergeCell ref="SJV411:SKB411"/>
    <mergeCell ref="SKC411:SKI411"/>
    <mergeCell ref="SKJ411:SKP411"/>
    <mergeCell ref="SKQ411:SKW411"/>
    <mergeCell ref="SKX411:SLD411"/>
    <mergeCell ref="SIM411:SIS411"/>
    <mergeCell ref="SIT411:SIZ411"/>
    <mergeCell ref="SJA411:SJG411"/>
    <mergeCell ref="SJH411:SJN411"/>
    <mergeCell ref="SJO411:SJU411"/>
    <mergeCell ref="SHD411:SHJ411"/>
    <mergeCell ref="SHK411:SHQ411"/>
    <mergeCell ref="SHR411:SHX411"/>
    <mergeCell ref="SHY411:SIE411"/>
    <mergeCell ref="SIF411:SIL411"/>
    <mergeCell ref="SFU411:SGA411"/>
    <mergeCell ref="SGB411:SGH411"/>
    <mergeCell ref="SGI411:SGO411"/>
    <mergeCell ref="SGP411:SGV411"/>
    <mergeCell ref="SGW411:SHC411"/>
    <mergeCell ref="SEL411:SER411"/>
    <mergeCell ref="SES411:SEY411"/>
    <mergeCell ref="SEZ411:SFF411"/>
    <mergeCell ref="SFG411:SFM411"/>
    <mergeCell ref="SFN411:SFT411"/>
    <mergeCell ref="SDC411:SDI411"/>
    <mergeCell ref="SDJ411:SDP411"/>
    <mergeCell ref="SDQ411:SDW411"/>
    <mergeCell ref="SDX411:SED411"/>
    <mergeCell ref="SEE411:SEK411"/>
    <mergeCell ref="SBT411:SBZ411"/>
    <mergeCell ref="SCA411:SCG411"/>
    <mergeCell ref="SCH411:SCN411"/>
    <mergeCell ref="SCO411:SCU411"/>
    <mergeCell ref="SCV411:SDB411"/>
    <mergeCell ref="SAK411:SAQ411"/>
    <mergeCell ref="SAR411:SAX411"/>
    <mergeCell ref="SAY411:SBE411"/>
    <mergeCell ref="SBF411:SBL411"/>
    <mergeCell ref="SBM411:SBS411"/>
    <mergeCell ref="RZB411:RZH411"/>
    <mergeCell ref="RZI411:RZO411"/>
    <mergeCell ref="RZP411:RZV411"/>
    <mergeCell ref="RZW411:SAC411"/>
    <mergeCell ref="SAD411:SAJ411"/>
    <mergeCell ref="RXS411:RXY411"/>
    <mergeCell ref="RXZ411:RYF411"/>
    <mergeCell ref="RYG411:RYM411"/>
    <mergeCell ref="RYN411:RYT411"/>
    <mergeCell ref="RYU411:RZA411"/>
    <mergeCell ref="RWJ411:RWP411"/>
    <mergeCell ref="RWQ411:RWW411"/>
    <mergeCell ref="RWX411:RXD411"/>
    <mergeCell ref="RXE411:RXK411"/>
    <mergeCell ref="RXL411:RXR411"/>
    <mergeCell ref="RVA411:RVG411"/>
    <mergeCell ref="RVH411:RVN411"/>
    <mergeCell ref="RVO411:RVU411"/>
    <mergeCell ref="RVV411:RWB411"/>
    <mergeCell ref="RWC411:RWI411"/>
    <mergeCell ref="RTR411:RTX411"/>
    <mergeCell ref="RTY411:RUE411"/>
    <mergeCell ref="RUF411:RUL411"/>
    <mergeCell ref="RUM411:RUS411"/>
    <mergeCell ref="RUT411:RUZ411"/>
    <mergeCell ref="RSI411:RSO411"/>
    <mergeCell ref="RSP411:RSV411"/>
    <mergeCell ref="RSW411:RTC411"/>
    <mergeCell ref="RTD411:RTJ411"/>
    <mergeCell ref="RTK411:RTQ411"/>
    <mergeCell ref="RQZ411:RRF411"/>
    <mergeCell ref="RRG411:RRM411"/>
    <mergeCell ref="RRN411:RRT411"/>
    <mergeCell ref="RRU411:RSA411"/>
    <mergeCell ref="RSB411:RSH411"/>
    <mergeCell ref="RPQ411:RPW411"/>
    <mergeCell ref="RPX411:RQD411"/>
    <mergeCell ref="RQE411:RQK411"/>
    <mergeCell ref="RQL411:RQR411"/>
    <mergeCell ref="RQS411:RQY411"/>
    <mergeCell ref="ROH411:RON411"/>
    <mergeCell ref="ROO411:ROU411"/>
    <mergeCell ref="ROV411:RPB411"/>
    <mergeCell ref="RPC411:RPI411"/>
    <mergeCell ref="RPJ411:RPP411"/>
    <mergeCell ref="RMY411:RNE411"/>
    <mergeCell ref="RNF411:RNL411"/>
    <mergeCell ref="RNM411:RNS411"/>
    <mergeCell ref="RNT411:RNZ411"/>
    <mergeCell ref="ROA411:ROG411"/>
    <mergeCell ref="RLP411:RLV411"/>
    <mergeCell ref="RLW411:RMC411"/>
    <mergeCell ref="RMD411:RMJ411"/>
    <mergeCell ref="RMK411:RMQ411"/>
    <mergeCell ref="RMR411:RMX411"/>
    <mergeCell ref="RKG411:RKM411"/>
    <mergeCell ref="RKN411:RKT411"/>
    <mergeCell ref="RKU411:RLA411"/>
    <mergeCell ref="RLB411:RLH411"/>
    <mergeCell ref="RLI411:RLO411"/>
    <mergeCell ref="RIX411:RJD411"/>
    <mergeCell ref="RJE411:RJK411"/>
    <mergeCell ref="RJL411:RJR411"/>
    <mergeCell ref="RJS411:RJY411"/>
    <mergeCell ref="RJZ411:RKF411"/>
    <mergeCell ref="RHO411:RHU411"/>
    <mergeCell ref="RHV411:RIB411"/>
    <mergeCell ref="RIC411:RII411"/>
    <mergeCell ref="RIJ411:RIP411"/>
    <mergeCell ref="RIQ411:RIW411"/>
    <mergeCell ref="RGF411:RGL411"/>
    <mergeCell ref="RGM411:RGS411"/>
    <mergeCell ref="RGT411:RGZ411"/>
    <mergeCell ref="RHA411:RHG411"/>
    <mergeCell ref="RHH411:RHN411"/>
    <mergeCell ref="REW411:RFC411"/>
    <mergeCell ref="RFD411:RFJ411"/>
    <mergeCell ref="RFK411:RFQ411"/>
    <mergeCell ref="RFR411:RFX411"/>
    <mergeCell ref="RFY411:RGE411"/>
    <mergeCell ref="RDN411:RDT411"/>
    <mergeCell ref="RDU411:REA411"/>
    <mergeCell ref="REB411:REH411"/>
    <mergeCell ref="REI411:REO411"/>
    <mergeCell ref="REP411:REV411"/>
    <mergeCell ref="RCE411:RCK411"/>
    <mergeCell ref="RCL411:RCR411"/>
    <mergeCell ref="RCS411:RCY411"/>
    <mergeCell ref="RCZ411:RDF411"/>
    <mergeCell ref="RDG411:RDM411"/>
    <mergeCell ref="RAV411:RBB411"/>
    <mergeCell ref="RBC411:RBI411"/>
    <mergeCell ref="RBJ411:RBP411"/>
    <mergeCell ref="RBQ411:RBW411"/>
    <mergeCell ref="RBX411:RCD411"/>
    <mergeCell ref="QZM411:QZS411"/>
    <mergeCell ref="QZT411:QZZ411"/>
    <mergeCell ref="RAA411:RAG411"/>
    <mergeCell ref="RAH411:RAN411"/>
    <mergeCell ref="RAO411:RAU411"/>
    <mergeCell ref="QYD411:QYJ411"/>
    <mergeCell ref="QYK411:QYQ411"/>
    <mergeCell ref="QYR411:QYX411"/>
    <mergeCell ref="QYY411:QZE411"/>
    <mergeCell ref="QZF411:QZL411"/>
    <mergeCell ref="QWU411:QXA411"/>
    <mergeCell ref="QXB411:QXH411"/>
    <mergeCell ref="QXI411:QXO411"/>
    <mergeCell ref="QXP411:QXV411"/>
    <mergeCell ref="QXW411:QYC411"/>
    <mergeCell ref="QVL411:QVR411"/>
    <mergeCell ref="QVS411:QVY411"/>
    <mergeCell ref="QVZ411:QWF411"/>
    <mergeCell ref="QWG411:QWM411"/>
    <mergeCell ref="QWN411:QWT411"/>
    <mergeCell ref="QUC411:QUI411"/>
    <mergeCell ref="QUJ411:QUP411"/>
    <mergeCell ref="QUQ411:QUW411"/>
    <mergeCell ref="QUX411:QVD411"/>
    <mergeCell ref="QVE411:QVK411"/>
    <mergeCell ref="QST411:QSZ411"/>
    <mergeCell ref="QTA411:QTG411"/>
    <mergeCell ref="QTH411:QTN411"/>
    <mergeCell ref="QTO411:QTU411"/>
    <mergeCell ref="QTV411:QUB411"/>
    <mergeCell ref="QRK411:QRQ411"/>
    <mergeCell ref="QRR411:QRX411"/>
    <mergeCell ref="QRY411:QSE411"/>
    <mergeCell ref="QSF411:QSL411"/>
    <mergeCell ref="QSM411:QSS411"/>
    <mergeCell ref="QQB411:QQH411"/>
    <mergeCell ref="QQI411:QQO411"/>
    <mergeCell ref="QQP411:QQV411"/>
    <mergeCell ref="QQW411:QRC411"/>
    <mergeCell ref="QRD411:QRJ411"/>
    <mergeCell ref="QOS411:QOY411"/>
    <mergeCell ref="QOZ411:QPF411"/>
    <mergeCell ref="QPG411:QPM411"/>
    <mergeCell ref="QPN411:QPT411"/>
    <mergeCell ref="QPU411:QQA411"/>
    <mergeCell ref="QNJ411:QNP411"/>
    <mergeCell ref="QNQ411:QNW411"/>
    <mergeCell ref="QNX411:QOD411"/>
    <mergeCell ref="QOE411:QOK411"/>
    <mergeCell ref="QOL411:QOR411"/>
    <mergeCell ref="QMA411:QMG411"/>
    <mergeCell ref="QMH411:QMN411"/>
    <mergeCell ref="QMO411:QMU411"/>
    <mergeCell ref="QMV411:QNB411"/>
    <mergeCell ref="QNC411:QNI411"/>
    <mergeCell ref="QKR411:QKX411"/>
    <mergeCell ref="QKY411:QLE411"/>
    <mergeCell ref="QLF411:QLL411"/>
    <mergeCell ref="QLM411:QLS411"/>
    <mergeCell ref="QLT411:QLZ411"/>
    <mergeCell ref="QJI411:QJO411"/>
    <mergeCell ref="QJP411:QJV411"/>
    <mergeCell ref="QJW411:QKC411"/>
    <mergeCell ref="QKD411:QKJ411"/>
    <mergeCell ref="QKK411:QKQ411"/>
    <mergeCell ref="QHZ411:QIF411"/>
    <mergeCell ref="QIG411:QIM411"/>
    <mergeCell ref="QIN411:QIT411"/>
    <mergeCell ref="QIU411:QJA411"/>
    <mergeCell ref="QJB411:QJH411"/>
    <mergeCell ref="QGQ411:QGW411"/>
    <mergeCell ref="QGX411:QHD411"/>
    <mergeCell ref="QHE411:QHK411"/>
    <mergeCell ref="QHL411:QHR411"/>
    <mergeCell ref="QHS411:QHY411"/>
    <mergeCell ref="QFH411:QFN411"/>
    <mergeCell ref="QFO411:QFU411"/>
    <mergeCell ref="QFV411:QGB411"/>
    <mergeCell ref="QGC411:QGI411"/>
    <mergeCell ref="QGJ411:QGP411"/>
    <mergeCell ref="QDY411:QEE411"/>
    <mergeCell ref="QEF411:QEL411"/>
    <mergeCell ref="QEM411:QES411"/>
    <mergeCell ref="QET411:QEZ411"/>
    <mergeCell ref="QFA411:QFG411"/>
    <mergeCell ref="QCP411:QCV411"/>
    <mergeCell ref="QCW411:QDC411"/>
    <mergeCell ref="QDD411:QDJ411"/>
    <mergeCell ref="QDK411:QDQ411"/>
    <mergeCell ref="QDR411:QDX411"/>
    <mergeCell ref="QBG411:QBM411"/>
    <mergeCell ref="QBN411:QBT411"/>
    <mergeCell ref="QBU411:QCA411"/>
    <mergeCell ref="QCB411:QCH411"/>
    <mergeCell ref="QCI411:QCO411"/>
    <mergeCell ref="PZX411:QAD411"/>
    <mergeCell ref="QAE411:QAK411"/>
    <mergeCell ref="QAL411:QAR411"/>
    <mergeCell ref="QAS411:QAY411"/>
    <mergeCell ref="QAZ411:QBF411"/>
    <mergeCell ref="PYO411:PYU411"/>
    <mergeCell ref="PYV411:PZB411"/>
    <mergeCell ref="PZC411:PZI411"/>
    <mergeCell ref="PZJ411:PZP411"/>
    <mergeCell ref="PZQ411:PZW411"/>
    <mergeCell ref="PXF411:PXL411"/>
    <mergeCell ref="PXM411:PXS411"/>
    <mergeCell ref="PXT411:PXZ411"/>
    <mergeCell ref="PYA411:PYG411"/>
    <mergeCell ref="PYH411:PYN411"/>
    <mergeCell ref="PVW411:PWC411"/>
    <mergeCell ref="PWD411:PWJ411"/>
    <mergeCell ref="PWK411:PWQ411"/>
    <mergeCell ref="PWR411:PWX411"/>
    <mergeCell ref="PWY411:PXE411"/>
    <mergeCell ref="PUN411:PUT411"/>
    <mergeCell ref="PUU411:PVA411"/>
    <mergeCell ref="PVB411:PVH411"/>
    <mergeCell ref="PVI411:PVO411"/>
    <mergeCell ref="PVP411:PVV411"/>
    <mergeCell ref="PTE411:PTK411"/>
    <mergeCell ref="PTL411:PTR411"/>
    <mergeCell ref="PTS411:PTY411"/>
    <mergeCell ref="PTZ411:PUF411"/>
    <mergeCell ref="PUG411:PUM411"/>
    <mergeCell ref="PRV411:PSB411"/>
    <mergeCell ref="PSC411:PSI411"/>
    <mergeCell ref="PSJ411:PSP411"/>
    <mergeCell ref="PSQ411:PSW411"/>
    <mergeCell ref="PSX411:PTD411"/>
    <mergeCell ref="PQM411:PQS411"/>
    <mergeCell ref="PQT411:PQZ411"/>
    <mergeCell ref="PRA411:PRG411"/>
    <mergeCell ref="PRH411:PRN411"/>
    <mergeCell ref="PRO411:PRU411"/>
    <mergeCell ref="PPD411:PPJ411"/>
    <mergeCell ref="PPK411:PPQ411"/>
    <mergeCell ref="PPR411:PPX411"/>
    <mergeCell ref="PPY411:PQE411"/>
    <mergeCell ref="PQF411:PQL411"/>
    <mergeCell ref="PNU411:POA411"/>
    <mergeCell ref="POB411:POH411"/>
    <mergeCell ref="POI411:POO411"/>
    <mergeCell ref="POP411:POV411"/>
    <mergeCell ref="POW411:PPC411"/>
    <mergeCell ref="PML411:PMR411"/>
    <mergeCell ref="PMS411:PMY411"/>
    <mergeCell ref="PMZ411:PNF411"/>
    <mergeCell ref="PNG411:PNM411"/>
    <mergeCell ref="PNN411:PNT411"/>
    <mergeCell ref="PLC411:PLI411"/>
    <mergeCell ref="PLJ411:PLP411"/>
    <mergeCell ref="PLQ411:PLW411"/>
    <mergeCell ref="PLX411:PMD411"/>
    <mergeCell ref="PME411:PMK411"/>
    <mergeCell ref="PJT411:PJZ411"/>
    <mergeCell ref="PKA411:PKG411"/>
    <mergeCell ref="PKH411:PKN411"/>
    <mergeCell ref="PKO411:PKU411"/>
    <mergeCell ref="PKV411:PLB411"/>
    <mergeCell ref="PIK411:PIQ411"/>
    <mergeCell ref="PIR411:PIX411"/>
    <mergeCell ref="PIY411:PJE411"/>
    <mergeCell ref="PJF411:PJL411"/>
    <mergeCell ref="PJM411:PJS411"/>
    <mergeCell ref="PHB411:PHH411"/>
    <mergeCell ref="PHI411:PHO411"/>
    <mergeCell ref="PHP411:PHV411"/>
    <mergeCell ref="PHW411:PIC411"/>
    <mergeCell ref="PID411:PIJ411"/>
    <mergeCell ref="PFS411:PFY411"/>
    <mergeCell ref="PFZ411:PGF411"/>
    <mergeCell ref="PGG411:PGM411"/>
    <mergeCell ref="PGN411:PGT411"/>
    <mergeCell ref="PGU411:PHA411"/>
    <mergeCell ref="PEJ411:PEP411"/>
    <mergeCell ref="PEQ411:PEW411"/>
    <mergeCell ref="PEX411:PFD411"/>
    <mergeCell ref="PFE411:PFK411"/>
    <mergeCell ref="PFL411:PFR411"/>
    <mergeCell ref="PDA411:PDG411"/>
    <mergeCell ref="PDH411:PDN411"/>
    <mergeCell ref="PDO411:PDU411"/>
    <mergeCell ref="PDV411:PEB411"/>
    <mergeCell ref="PEC411:PEI411"/>
    <mergeCell ref="PBR411:PBX411"/>
    <mergeCell ref="PBY411:PCE411"/>
    <mergeCell ref="PCF411:PCL411"/>
    <mergeCell ref="PCM411:PCS411"/>
    <mergeCell ref="PCT411:PCZ411"/>
    <mergeCell ref="PAI411:PAO411"/>
    <mergeCell ref="PAP411:PAV411"/>
    <mergeCell ref="PAW411:PBC411"/>
    <mergeCell ref="PBD411:PBJ411"/>
    <mergeCell ref="PBK411:PBQ411"/>
    <mergeCell ref="OYZ411:OZF411"/>
    <mergeCell ref="OZG411:OZM411"/>
    <mergeCell ref="OZN411:OZT411"/>
    <mergeCell ref="OZU411:PAA411"/>
    <mergeCell ref="PAB411:PAH411"/>
    <mergeCell ref="OXQ411:OXW411"/>
    <mergeCell ref="OXX411:OYD411"/>
    <mergeCell ref="OYE411:OYK411"/>
    <mergeCell ref="OYL411:OYR411"/>
    <mergeCell ref="OYS411:OYY411"/>
    <mergeCell ref="OWH411:OWN411"/>
    <mergeCell ref="OWO411:OWU411"/>
    <mergeCell ref="OWV411:OXB411"/>
    <mergeCell ref="OXC411:OXI411"/>
    <mergeCell ref="OXJ411:OXP411"/>
    <mergeCell ref="OUY411:OVE411"/>
    <mergeCell ref="OVF411:OVL411"/>
    <mergeCell ref="OVM411:OVS411"/>
    <mergeCell ref="OVT411:OVZ411"/>
    <mergeCell ref="OWA411:OWG411"/>
    <mergeCell ref="OTP411:OTV411"/>
    <mergeCell ref="OTW411:OUC411"/>
    <mergeCell ref="OUD411:OUJ411"/>
    <mergeCell ref="OUK411:OUQ411"/>
    <mergeCell ref="OUR411:OUX411"/>
    <mergeCell ref="OSG411:OSM411"/>
    <mergeCell ref="OSN411:OST411"/>
    <mergeCell ref="OSU411:OTA411"/>
    <mergeCell ref="OTB411:OTH411"/>
    <mergeCell ref="OTI411:OTO411"/>
    <mergeCell ref="OQX411:ORD411"/>
    <mergeCell ref="ORE411:ORK411"/>
    <mergeCell ref="ORL411:ORR411"/>
    <mergeCell ref="ORS411:ORY411"/>
    <mergeCell ref="ORZ411:OSF411"/>
    <mergeCell ref="OPO411:OPU411"/>
    <mergeCell ref="OPV411:OQB411"/>
    <mergeCell ref="OQC411:OQI411"/>
    <mergeCell ref="OQJ411:OQP411"/>
    <mergeCell ref="OQQ411:OQW411"/>
    <mergeCell ref="OOF411:OOL411"/>
    <mergeCell ref="OOM411:OOS411"/>
    <mergeCell ref="OOT411:OOZ411"/>
    <mergeCell ref="OPA411:OPG411"/>
    <mergeCell ref="OPH411:OPN411"/>
    <mergeCell ref="OMW411:ONC411"/>
    <mergeCell ref="OND411:ONJ411"/>
    <mergeCell ref="ONK411:ONQ411"/>
    <mergeCell ref="ONR411:ONX411"/>
    <mergeCell ref="ONY411:OOE411"/>
    <mergeCell ref="OLN411:OLT411"/>
    <mergeCell ref="OLU411:OMA411"/>
    <mergeCell ref="OMB411:OMH411"/>
    <mergeCell ref="OMI411:OMO411"/>
    <mergeCell ref="OMP411:OMV411"/>
    <mergeCell ref="OKE411:OKK411"/>
    <mergeCell ref="OKL411:OKR411"/>
    <mergeCell ref="OKS411:OKY411"/>
    <mergeCell ref="OKZ411:OLF411"/>
    <mergeCell ref="OLG411:OLM411"/>
    <mergeCell ref="OIV411:OJB411"/>
    <mergeCell ref="OJC411:OJI411"/>
    <mergeCell ref="OJJ411:OJP411"/>
    <mergeCell ref="OJQ411:OJW411"/>
    <mergeCell ref="OJX411:OKD411"/>
    <mergeCell ref="OHM411:OHS411"/>
    <mergeCell ref="OHT411:OHZ411"/>
    <mergeCell ref="OIA411:OIG411"/>
    <mergeCell ref="OIH411:OIN411"/>
    <mergeCell ref="OIO411:OIU411"/>
    <mergeCell ref="OGD411:OGJ411"/>
    <mergeCell ref="OGK411:OGQ411"/>
    <mergeCell ref="OGR411:OGX411"/>
    <mergeCell ref="OGY411:OHE411"/>
    <mergeCell ref="OHF411:OHL411"/>
    <mergeCell ref="OEU411:OFA411"/>
    <mergeCell ref="OFB411:OFH411"/>
    <mergeCell ref="OFI411:OFO411"/>
    <mergeCell ref="OFP411:OFV411"/>
    <mergeCell ref="OFW411:OGC411"/>
    <mergeCell ref="ODL411:ODR411"/>
    <mergeCell ref="ODS411:ODY411"/>
    <mergeCell ref="ODZ411:OEF411"/>
    <mergeCell ref="OEG411:OEM411"/>
    <mergeCell ref="OEN411:OET411"/>
    <mergeCell ref="OCC411:OCI411"/>
    <mergeCell ref="OCJ411:OCP411"/>
    <mergeCell ref="OCQ411:OCW411"/>
    <mergeCell ref="OCX411:ODD411"/>
    <mergeCell ref="ODE411:ODK411"/>
    <mergeCell ref="OAT411:OAZ411"/>
    <mergeCell ref="OBA411:OBG411"/>
    <mergeCell ref="OBH411:OBN411"/>
    <mergeCell ref="OBO411:OBU411"/>
    <mergeCell ref="OBV411:OCB411"/>
    <mergeCell ref="NZK411:NZQ411"/>
    <mergeCell ref="NZR411:NZX411"/>
    <mergeCell ref="NZY411:OAE411"/>
    <mergeCell ref="OAF411:OAL411"/>
    <mergeCell ref="OAM411:OAS411"/>
    <mergeCell ref="NYB411:NYH411"/>
    <mergeCell ref="NYI411:NYO411"/>
    <mergeCell ref="NYP411:NYV411"/>
    <mergeCell ref="NYW411:NZC411"/>
    <mergeCell ref="NZD411:NZJ411"/>
    <mergeCell ref="NWS411:NWY411"/>
    <mergeCell ref="NWZ411:NXF411"/>
    <mergeCell ref="NXG411:NXM411"/>
    <mergeCell ref="NXN411:NXT411"/>
    <mergeCell ref="NXU411:NYA411"/>
    <mergeCell ref="NVJ411:NVP411"/>
    <mergeCell ref="NVQ411:NVW411"/>
    <mergeCell ref="NVX411:NWD411"/>
    <mergeCell ref="NWE411:NWK411"/>
    <mergeCell ref="NWL411:NWR411"/>
    <mergeCell ref="NUA411:NUG411"/>
    <mergeCell ref="NUH411:NUN411"/>
    <mergeCell ref="NUO411:NUU411"/>
    <mergeCell ref="NUV411:NVB411"/>
    <mergeCell ref="NVC411:NVI411"/>
    <mergeCell ref="NSR411:NSX411"/>
    <mergeCell ref="NSY411:NTE411"/>
    <mergeCell ref="NTF411:NTL411"/>
    <mergeCell ref="NTM411:NTS411"/>
    <mergeCell ref="NTT411:NTZ411"/>
    <mergeCell ref="NRI411:NRO411"/>
    <mergeCell ref="NRP411:NRV411"/>
    <mergeCell ref="NRW411:NSC411"/>
    <mergeCell ref="NSD411:NSJ411"/>
    <mergeCell ref="NSK411:NSQ411"/>
    <mergeCell ref="NPZ411:NQF411"/>
    <mergeCell ref="NQG411:NQM411"/>
    <mergeCell ref="NQN411:NQT411"/>
    <mergeCell ref="NQU411:NRA411"/>
    <mergeCell ref="NRB411:NRH411"/>
    <mergeCell ref="NOQ411:NOW411"/>
    <mergeCell ref="NOX411:NPD411"/>
    <mergeCell ref="NPE411:NPK411"/>
    <mergeCell ref="NPL411:NPR411"/>
    <mergeCell ref="NPS411:NPY411"/>
    <mergeCell ref="NNH411:NNN411"/>
    <mergeCell ref="NNO411:NNU411"/>
    <mergeCell ref="NNV411:NOB411"/>
    <mergeCell ref="NOC411:NOI411"/>
    <mergeCell ref="NOJ411:NOP411"/>
    <mergeCell ref="NLY411:NME411"/>
    <mergeCell ref="NMF411:NML411"/>
    <mergeCell ref="NMM411:NMS411"/>
    <mergeCell ref="NMT411:NMZ411"/>
    <mergeCell ref="NNA411:NNG411"/>
    <mergeCell ref="NKP411:NKV411"/>
    <mergeCell ref="NKW411:NLC411"/>
    <mergeCell ref="NLD411:NLJ411"/>
    <mergeCell ref="NLK411:NLQ411"/>
    <mergeCell ref="NLR411:NLX411"/>
    <mergeCell ref="NJG411:NJM411"/>
    <mergeCell ref="NJN411:NJT411"/>
    <mergeCell ref="NJU411:NKA411"/>
    <mergeCell ref="NKB411:NKH411"/>
    <mergeCell ref="NKI411:NKO411"/>
    <mergeCell ref="NHX411:NID411"/>
    <mergeCell ref="NIE411:NIK411"/>
    <mergeCell ref="NIL411:NIR411"/>
    <mergeCell ref="NIS411:NIY411"/>
    <mergeCell ref="NIZ411:NJF411"/>
    <mergeCell ref="NGO411:NGU411"/>
    <mergeCell ref="NGV411:NHB411"/>
    <mergeCell ref="NHC411:NHI411"/>
    <mergeCell ref="NHJ411:NHP411"/>
    <mergeCell ref="NHQ411:NHW411"/>
    <mergeCell ref="NFF411:NFL411"/>
    <mergeCell ref="NFM411:NFS411"/>
    <mergeCell ref="NFT411:NFZ411"/>
    <mergeCell ref="NGA411:NGG411"/>
    <mergeCell ref="NGH411:NGN411"/>
    <mergeCell ref="NDW411:NEC411"/>
    <mergeCell ref="NED411:NEJ411"/>
    <mergeCell ref="NEK411:NEQ411"/>
    <mergeCell ref="NER411:NEX411"/>
    <mergeCell ref="NEY411:NFE411"/>
    <mergeCell ref="NCN411:NCT411"/>
    <mergeCell ref="NCU411:NDA411"/>
    <mergeCell ref="NDB411:NDH411"/>
    <mergeCell ref="NDI411:NDO411"/>
    <mergeCell ref="NDP411:NDV411"/>
    <mergeCell ref="NBE411:NBK411"/>
    <mergeCell ref="NBL411:NBR411"/>
    <mergeCell ref="NBS411:NBY411"/>
    <mergeCell ref="NBZ411:NCF411"/>
    <mergeCell ref="NCG411:NCM411"/>
    <mergeCell ref="MZV411:NAB411"/>
    <mergeCell ref="NAC411:NAI411"/>
    <mergeCell ref="NAJ411:NAP411"/>
    <mergeCell ref="NAQ411:NAW411"/>
    <mergeCell ref="NAX411:NBD411"/>
    <mergeCell ref="MYM411:MYS411"/>
    <mergeCell ref="MYT411:MYZ411"/>
    <mergeCell ref="MZA411:MZG411"/>
    <mergeCell ref="MZH411:MZN411"/>
    <mergeCell ref="MZO411:MZU411"/>
    <mergeCell ref="MXD411:MXJ411"/>
    <mergeCell ref="MXK411:MXQ411"/>
    <mergeCell ref="MXR411:MXX411"/>
    <mergeCell ref="MXY411:MYE411"/>
    <mergeCell ref="MYF411:MYL411"/>
    <mergeCell ref="MVU411:MWA411"/>
    <mergeCell ref="MWB411:MWH411"/>
    <mergeCell ref="MWI411:MWO411"/>
    <mergeCell ref="MWP411:MWV411"/>
    <mergeCell ref="MWW411:MXC411"/>
    <mergeCell ref="MUL411:MUR411"/>
    <mergeCell ref="MUS411:MUY411"/>
    <mergeCell ref="MUZ411:MVF411"/>
    <mergeCell ref="MVG411:MVM411"/>
    <mergeCell ref="MVN411:MVT411"/>
    <mergeCell ref="MTC411:MTI411"/>
    <mergeCell ref="MTJ411:MTP411"/>
    <mergeCell ref="MTQ411:MTW411"/>
    <mergeCell ref="MTX411:MUD411"/>
    <mergeCell ref="MUE411:MUK411"/>
    <mergeCell ref="MRT411:MRZ411"/>
    <mergeCell ref="MSA411:MSG411"/>
    <mergeCell ref="MSH411:MSN411"/>
    <mergeCell ref="MSO411:MSU411"/>
    <mergeCell ref="MSV411:MTB411"/>
    <mergeCell ref="MQK411:MQQ411"/>
    <mergeCell ref="MQR411:MQX411"/>
    <mergeCell ref="MQY411:MRE411"/>
    <mergeCell ref="MRF411:MRL411"/>
    <mergeCell ref="MRM411:MRS411"/>
    <mergeCell ref="MPB411:MPH411"/>
    <mergeCell ref="MPI411:MPO411"/>
    <mergeCell ref="MPP411:MPV411"/>
    <mergeCell ref="MPW411:MQC411"/>
    <mergeCell ref="MQD411:MQJ411"/>
    <mergeCell ref="MNS411:MNY411"/>
    <mergeCell ref="MNZ411:MOF411"/>
    <mergeCell ref="MOG411:MOM411"/>
    <mergeCell ref="MON411:MOT411"/>
    <mergeCell ref="MOU411:MPA411"/>
    <mergeCell ref="MMJ411:MMP411"/>
    <mergeCell ref="MMQ411:MMW411"/>
    <mergeCell ref="MMX411:MND411"/>
    <mergeCell ref="MNE411:MNK411"/>
    <mergeCell ref="MNL411:MNR411"/>
    <mergeCell ref="MLA411:MLG411"/>
    <mergeCell ref="MLH411:MLN411"/>
    <mergeCell ref="MLO411:MLU411"/>
    <mergeCell ref="MLV411:MMB411"/>
    <mergeCell ref="MMC411:MMI411"/>
    <mergeCell ref="MJR411:MJX411"/>
    <mergeCell ref="MJY411:MKE411"/>
    <mergeCell ref="MKF411:MKL411"/>
    <mergeCell ref="MKM411:MKS411"/>
    <mergeCell ref="MKT411:MKZ411"/>
    <mergeCell ref="MII411:MIO411"/>
    <mergeCell ref="MIP411:MIV411"/>
    <mergeCell ref="MIW411:MJC411"/>
    <mergeCell ref="MJD411:MJJ411"/>
    <mergeCell ref="MJK411:MJQ411"/>
    <mergeCell ref="MGZ411:MHF411"/>
    <mergeCell ref="MHG411:MHM411"/>
    <mergeCell ref="MHN411:MHT411"/>
    <mergeCell ref="MHU411:MIA411"/>
    <mergeCell ref="MIB411:MIH411"/>
    <mergeCell ref="MFQ411:MFW411"/>
    <mergeCell ref="MFX411:MGD411"/>
    <mergeCell ref="MGE411:MGK411"/>
    <mergeCell ref="MGL411:MGR411"/>
    <mergeCell ref="MGS411:MGY411"/>
    <mergeCell ref="MEH411:MEN411"/>
    <mergeCell ref="MEO411:MEU411"/>
    <mergeCell ref="MEV411:MFB411"/>
    <mergeCell ref="MFC411:MFI411"/>
    <mergeCell ref="MFJ411:MFP411"/>
    <mergeCell ref="MCY411:MDE411"/>
    <mergeCell ref="MDF411:MDL411"/>
    <mergeCell ref="MDM411:MDS411"/>
    <mergeCell ref="MDT411:MDZ411"/>
    <mergeCell ref="MEA411:MEG411"/>
    <mergeCell ref="MBP411:MBV411"/>
    <mergeCell ref="MBW411:MCC411"/>
    <mergeCell ref="MCD411:MCJ411"/>
    <mergeCell ref="MCK411:MCQ411"/>
    <mergeCell ref="MCR411:MCX411"/>
    <mergeCell ref="MAG411:MAM411"/>
    <mergeCell ref="MAN411:MAT411"/>
    <mergeCell ref="MAU411:MBA411"/>
    <mergeCell ref="MBB411:MBH411"/>
    <mergeCell ref="MBI411:MBO411"/>
    <mergeCell ref="LYX411:LZD411"/>
    <mergeCell ref="LZE411:LZK411"/>
    <mergeCell ref="LZL411:LZR411"/>
    <mergeCell ref="LZS411:LZY411"/>
    <mergeCell ref="LZZ411:MAF411"/>
    <mergeCell ref="LXO411:LXU411"/>
    <mergeCell ref="LXV411:LYB411"/>
    <mergeCell ref="LYC411:LYI411"/>
    <mergeCell ref="LYJ411:LYP411"/>
    <mergeCell ref="LYQ411:LYW411"/>
    <mergeCell ref="LWF411:LWL411"/>
    <mergeCell ref="LWM411:LWS411"/>
    <mergeCell ref="LWT411:LWZ411"/>
    <mergeCell ref="LXA411:LXG411"/>
    <mergeCell ref="LXH411:LXN411"/>
    <mergeCell ref="LUW411:LVC411"/>
    <mergeCell ref="LVD411:LVJ411"/>
    <mergeCell ref="LVK411:LVQ411"/>
    <mergeCell ref="LVR411:LVX411"/>
    <mergeCell ref="LVY411:LWE411"/>
    <mergeCell ref="LTN411:LTT411"/>
    <mergeCell ref="LTU411:LUA411"/>
    <mergeCell ref="LUB411:LUH411"/>
    <mergeCell ref="LUI411:LUO411"/>
    <mergeCell ref="LUP411:LUV411"/>
    <mergeCell ref="LSE411:LSK411"/>
    <mergeCell ref="LSL411:LSR411"/>
    <mergeCell ref="LSS411:LSY411"/>
    <mergeCell ref="LSZ411:LTF411"/>
    <mergeCell ref="LTG411:LTM411"/>
    <mergeCell ref="LQV411:LRB411"/>
    <mergeCell ref="LRC411:LRI411"/>
    <mergeCell ref="LRJ411:LRP411"/>
    <mergeCell ref="LRQ411:LRW411"/>
    <mergeCell ref="LRX411:LSD411"/>
    <mergeCell ref="LPM411:LPS411"/>
    <mergeCell ref="LPT411:LPZ411"/>
    <mergeCell ref="LQA411:LQG411"/>
    <mergeCell ref="LQH411:LQN411"/>
    <mergeCell ref="LQO411:LQU411"/>
    <mergeCell ref="LOD411:LOJ411"/>
    <mergeCell ref="LOK411:LOQ411"/>
    <mergeCell ref="LOR411:LOX411"/>
    <mergeCell ref="LOY411:LPE411"/>
    <mergeCell ref="LPF411:LPL411"/>
    <mergeCell ref="LMU411:LNA411"/>
    <mergeCell ref="LNB411:LNH411"/>
    <mergeCell ref="LNI411:LNO411"/>
    <mergeCell ref="LNP411:LNV411"/>
    <mergeCell ref="LNW411:LOC411"/>
    <mergeCell ref="LLL411:LLR411"/>
    <mergeCell ref="LLS411:LLY411"/>
    <mergeCell ref="LLZ411:LMF411"/>
    <mergeCell ref="LMG411:LMM411"/>
    <mergeCell ref="LMN411:LMT411"/>
    <mergeCell ref="LKC411:LKI411"/>
    <mergeCell ref="LKJ411:LKP411"/>
    <mergeCell ref="LKQ411:LKW411"/>
    <mergeCell ref="LKX411:LLD411"/>
    <mergeCell ref="LLE411:LLK411"/>
    <mergeCell ref="LIT411:LIZ411"/>
    <mergeCell ref="LJA411:LJG411"/>
    <mergeCell ref="LJH411:LJN411"/>
    <mergeCell ref="LJO411:LJU411"/>
    <mergeCell ref="LJV411:LKB411"/>
    <mergeCell ref="LHK411:LHQ411"/>
    <mergeCell ref="LHR411:LHX411"/>
    <mergeCell ref="LHY411:LIE411"/>
    <mergeCell ref="LIF411:LIL411"/>
    <mergeCell ref="LIM411:LIS411"/>
    <mergeCell ref="LGB411:LGH411"/>
    <mergeCell ref="LGI411:LGO411"/>
    <mergeCell ref="LGP411:LGV411"/>
    <mergeCell ref="LGW411:LHC411"/>
    <mergeCell ref="LHD411:LHJ411"/>
    <mergeCell ref="LES411:LEY411"/>
    <mergeCell ref="LEZ411:LFF411"/>
    <mergeCell ref="LFG411:LFM411"/>
    <mergeCell ref="LFN411:LFT411"/>
    <mergeCell ref="LFU411:LGA411"/>
    <mergeCell ref="LDJ411:LDP411"/>
    <mergeCell ref="LDQ411:LDW411"/>
    <mergeCell ref="LDX411:LED411"/>
    <mergeCell ref="LEE411:LEK411"/>
    <mergeCell ref="LEL411:LER411"/>
    <mergeCell ref="LCA411:LCG411"/>
    <mergeCell ref="LCH411:LCN411"/>
    <mergeCell ref="LCO411:LCU411"/>
    <mergeCell ref="LCV411:LDB411"/>
    <mergeCell ref="LDC411:LDI411"/>
    <mergeCell ref="LAR411:LAX411"/>
    <mergeCell ref="LAY411:LBE411"/>
    <mergeCell ref="LBF411:LBL411"/>
    <mergeCell ref="LBM411:LBS411"/>
    <mergeCell ref="LBT411:LBZ411"/>
    <mergeCell ref="KZI411:KZO411"/>
    <mergeCell ref="KZP411:KZV411"/>
    <mergeCell ref="KZW411:LAC411"/>
    <mergeCell ref="LAD411:LAJ411"/>
    <mergeCell ref="LAK411:LAQ411"/>
    <mergeCell ref="KXZ411:KYF411"/>
    <mergeCell ref="KYG411:KYM411"/>
    <mergeCell ref="KYN411:KYT411"/>
    <mergeCell ref="KYU411:KZA411"/>
    <mergeCell ref="KZB411:KZH411"/>
    <mergeCell ref="KWQ411:KWW411"/>
    <mergeCell ref="KWX411:KXD411"/>
    <mergeCell ref="KXE411:KXK411"/>
    <mergeCell ref="KXL411:KXR411"/>
    <mergeCell ref="KXS411:KXY411"/>
    <mergeCell ref="KVH411:KVN411"/>
    <mergeCell ref="KVO411:KVU411"/>
    <mergeCell ref="KVV411:KWB411"/>
    <mergeCell ref="KWC411:KWI411"/>
    <mergeCell ref="KWJ411:KWP411"/>
    <mergeCell ref="KTY411:KUE411"/>
    <mergeCell ref="KUF411:KUL411"/>
    <mergeCell ref="KUM411:KUS411"/>
    <mergeCell ref="KUT411:KUZ411"/>
    <mergeCell ref="KVA411:KVG411"/>
    <mergeCell ref="KSP411:KSV411"/>
    <mergeCell ref="KSW411:KTC411"/>
    <mergeCell ref="KTD411:KTJ411"/>
    <mergeCell ref="KTK411:KTQ411"/>
    <mergeCell ref="KTR411:KTX411"/>
    <mergeCell ref="KRG411:KRM411"/>
    <mergeCell ref="KRN411:KRT411"/>
    <mergeCell ref="KRU411:KSA411"/>
    <mergeCell ref="KSB411:KSH411"/>
    <mergeCell ref="KSI411:KSO411"/>
    <mergeCell ref="KPX411:KQD411"/>
    <mergeCell ref="KQE411:KQK411"/>
    <mergeCell ref="KQL411:KQR411"/>
    <mergeCell ref="KQS411:KQY411"/>
    <mergeCell ref="KQZ411:KRF411"/>
    <mergeCell ref="KOO411:KOU411"/>
    <mergeCell ref="KOV411:KPB411"/>
    <mergeCell ref="KPC411:KPI411"/>
    <mergeCell ref="KPJ411:KPP411"/>
    <mergeCell ref="KPQ411:KPW411"/>
    <mergeCell ref="KNF411:KNL411"/>
    <mergeCell ref="KNM411:KNS411"/>
    <mergeCell ref="KNT411:KNZ411"/>
    <mergeCell ref="KOA411:KOG411"/>
    <mergeCell ref="KOH411:KON411"/>
    <mergeCell ref="KLW411:KMC411"/>
    <mergeCell ref="KMD411:KMJ411"/>
    <mergeCell ref="KMK411:KMQ411"/>
    <mergeCell ref="KMR411:KMX411"/>
    <mergeCell ref="KMY411:KNE411"/>
    <mergeCell ref="KKN411:KKT411"/>
    <mergeCell ref="KKU411:KLA411"/>
    <mergeCell ref="KLB411:KLH411"/>
    <mergeCell ref="KLI411:KLO411"/>
    <mergeCell ref="KLP411:KLV411"/>
    <mergeCell ref="KJE411:KJK411"/>
    <mergeCell ref="KJL411:KJR411"/>
    <mergeCell ref="KJS411:KJY411"/>
    <mergeCell ref="KJZ411:KKF411"/>
    <mergeCell ref="KKG411:KKM411"/>
    <mergeCell ref="KHV411:KIB411"/>
    <mergeCell ref="KIC411:KII411"/>
    <mergeCell ref="KIJ411:KIP411"/>
    <mergeCell ref="KIQ411:KIW411"/>
    <mergeCell ref="KIX411:KJD411"/>
    <mergeCell ref="KGM411:KGS411"/>
    <mergeCell ref="KGT411:KGZ411"/>
    <mergeCell ref="KHA411:KHG411"/>
    <mergeCell ref="KHH411:KHN411"/>
    <mergeCell ref="KHO411:KHU411"/>
    <mergeCell ref="KFD411:KFJ411"/>
    <mergeCell ref="KFK411:KFQ411"/>
    <mergeCell ref="KFR411:KFX411"/>
    <mergeCell ref="KFY411:KGE411"/>
    <mergeCell ref="KGF411:KGL411"/>
    <mergeCell ref="KDU411:KEA411"/>
    <mergeCell ref="KEB411:KEH411"/>
    <mergeCell ref="KEI411:KEO411"/>
    <mergeCell ref="KEP411:KEV411"/>
    <mergeCell ref="KEW411:KFC411"/>
    <mergeCell ref="KCL411:KCR411"/>
    <mergeCell ref="KCS411:KCY411"/>
    <mergeCell ref="KCZ411:KDF411"/>
    <mergeCell ref="KDG411:KDM411"/>
    <mergeCell ref="KDN411:KDT411"/>
    <mergeCell ref="KBC411:KBI411"/>
    <mergeCell ref="KBJ411:KBP411"/>
    <mergeCell ref="KBQ411:KBW411"/>
    <mergeCell ref="KBX411:KCD411"/>
    <mergeCell ref="KCE411:KCK411"/>
    <mergeCell ref="JZT411:JZZ411"/>
    <mergeCell ref="KAA411:KAG411"/>
    <mergeCell ref="KAH411:KAN411"/>
    <mergeCell ref="KAO411:KAU411"/>
    <mergeCell ref="KAV411:KBB411"/>
    <mergeCell ref="JYK411:JYQ411"/>
    <mergeCell ref="JYR411:JYX411"/>
    <mergeCell ref="JYY411:JZE411"/>
    <mergeCell ref="JZF411:JZL411"/>
    <mergeCell ref="JZM411:JZS411"/>
    <mergeCell ref="JXB411:JXH411"/>
    <mergeCell ref="JXI411:JXO411"/>
    <mergeCell ref="JXP411:JXV411"/>
    <mergeCell ref="JXW411:JYC411"/>
    <mergeCell ref="JYD411:JYJ411"/>
    <mergeCell ref="JVS411:JVY411"/>
    <mergeCell ref="JVZ411:JWF411"/>
    <mergeCell ref="JWG411:JWM411"/>
    <mergeCell ref="JWN411:JWT411"/>
    <mergeCell ref="JWU411:JXA411"/>
    <mergeCell ref="JUJ411:JUP411"/>
    <mergeCell ref="JUQ411:JUW411"/>
    <mergeCell ref="JUX411:JVD411"/>
    <mergeCell ref="JVE411:JVK411"/>
    <mergeCell ref="JVL411:JVR411"/>
    <mergeCell ref="JTA411:JTG411"/>
    <mergeCell ref="JTH411:JTN411"/>
    <mergeCell ref="JTO411:JTU411"/>
    <mergeCell ref="JTV411:JUB411"/>
    <mergeCell ref="JUC411:JUI411"/>
    <mergeCell ref="JRR411:JRX411"/>
    <mergeCell ref="JRY411:JSE411"/>
    <mergeCell ref="JSF411:JSL411"/>
    <mergeCell ref="JSM411:JSS411"/>
    <mergeCell ref="JST411:JSZ411"/>
    <mergeCell ref="JQI411:JQO411"/>
    <mergeCell ref="JQP411:JQV411"/>
    <mergeCell ref="JQW411:JRC411"/>
    <mergeCell ref="JRD411:JRJ411"/>
    <mergeCell ref="JRK411:JRQ411"/>
    <mergeCell ref="JOZ411:JPF411"/>
    <mergeCell ref="JPG411:JPM411"/>
    <mergeCell ref="JPN411:JPT411"/>
    <mergeCell ref="JPU411:JQA411"/>
    <mergeCell ref="JQB411:JQH411"/>
    <mergeCell ref="JNQ411:JNW411"/>
    <mergeCell ref="JNX411:JOD411"/>
    <mergeCell ref="JOE411:JOK411"/>
    <mergeCell ref="JOL411:JOR411"/>
    <mergeCell ref="JOS411:JOY411"/>
    <mergeCell ref="JMH411:JMN411"/>
    <mergeCell ref="JMO411:JMU411"/>
    <mergeCell ref="JMV411:JNB411"/>
    <mergeCell ref="JNC411:JNI411"/>
    <mergeCell ref="JNJ411:JNP411"/>
    <mergeCell ref="JKY411:JLE411"/>
    <mergeCell ref="JLF411:JLL411"/>
    <mergeCell ref="JLM411:JLS411"/>
    <mergeCell ref="JLT411:JLZ411"/>
    <mergeCell ref="JMA411:JMG411"/>
    <mergeCell ref="JJP411:JJV411"/>
    <mergeCell ref="JJW411:JKC411"/>
    <mergeCell ref="JKD411:JKJ411"/>
    <mergeCell ref="JKK411:JKQ411"/>
    <mergeCell ref="JKR411:JKX411"/>
    <mergeCell ref="JIG411:JIM411"/>
    <mergeCell ref="JIN411:JIT411"/>
    <mergeCell ref="JIU411:JJA411"/>
    <mergeCell ref="JJB411:JJH411"/>
    <mergeCell ref="JJI411:JJO411"/>
    <mergeCell ref="JGX411:JHD411"/>
    <mergeCell ref="JHE411:JHK411"/>
    <mergeCell ref="JHL411:JHR411"/>
    <mergeCell ref="JHS411:JHY411"/>
    <mergeCell ref="JHZ411:JIF411"/>
    <mergeCell ref="JFO411:JFU411"/>
    <mergeCell ref="JFV411:JGB411"/>
    <mergeCell ref="JGC411:JGI411"/>
    <mergeCell ref="JGJ411:JGP411"/>
    <mergeCell ref="JGQ411:JGW411"/>
    <mergeCell ref="JEF411:JEL411"/>
    <mergeCell ref="JEM411:JES411"/>
    <mergeCell ref="JET411:JEZ411"/>
    <mergeCell ref="JFA411:JFG411"/>
    <mergeCell ref="JFH411:JFN411"/>
    <mergeCell ref="JCW411:JDC411"/>
    <mergeCell ref="JDD411:JDJ411"/>
    <mergeCell ref="JDK411:JDQ411"/>
    <mergeCell ref="JDR411:JDX411"/>
    <mergeCell ref="JDY411:JEE411"/>
    <mergeCell ref="JBN411:JBT411"/>
    <mergeCell ref="JBU411:JCA411"/>
    <mergeCell ref="JCB411:JCH411"/>
    <mergeCell ref="JCI411:JCO411"/>
    <mergeCell ref="JCP411:JCV411"/>
    <mergeCell ref="JAE411:JAK411"/>
    <mergeCell ref="JAL411:JAR411"/>
    <mergeCell ref="JAS411:JAY411"/>
    <mergeCell ref="JAZ411:JBF411"/>
    <mergeCell ref="JBG411:JBM411"/>
    <mergeCell ref="IYV411:IZB411"/>
    <mergeCell ref="IZC411:IZI411"/>
    <mergeCell ref="IZJ411:IZP411"/>
    <mergeCell ref="IZQ411:IZW411"/>
    <mergeCell ref="IZX411:JAD411"/>
    <mergeCell ref="IXM411:IXS411"/>
    <mergeCell ref="IXT411:IXZ411"/>
    <mergeCell ref="IYA411:IYG411"/>
    <mergeCell ref="IYH411:IYN411"/>
    <mergeCell ref="IYO411:IYU411"/>
    <mergeCell ref="IWD411:IWJ411"/>
    <mergeCell ref="IWK411:IWQ411"/>
    <mergeCell ref="IWR411:IWX411"/>
    <mergeCell ref="IWY411:IXE411"/>
    <mergeCell ref="IXF411:IXL411"/>
    <mergeCell ref="IUU411:IVA411"/>
    <mergeCell ref="IVB411:IVH411"/>
    <mergeCell ref="IVI411:IVO411"/>
    <mergeCell ref="IVP411:IVV411"/>
    <mergeCell ref="IVW411:IWC411"/>
    <mergeCell ref="ITL411:ITR411"/>
    <mergeCell ref="ITS411:ITY411"/>
    <mergeCell ref="ITZ411:IUF411"/>
    <mergeCell ref="IUG411:IUM411"/>
    <mergeCell ref="IUN411:IUT411"/>
    <mergeCell ref="ISC411:ISI411"/>
    <mergeCell ref="ISJ411:ISP411"/>
    <mergeCell ref="ISQ411:ISW411"/>
    <mergeCell ref="ISX411:ITD411"/>
    <mergeCell ref="ITE411:ITK411"/>
    <mergeCell ref="IQT411:IQZ411"/>
    <mergeCell ref="IRA411:IRG411"/>
    <mergeCell ref="IRH411:IRN411"/>
    <mergeCell ref="IRO411:IRU411"/>
    <mergeCell ref="IRV411:ISB411"/>
    <mergeCell ref="IPK411:IPQ411"/>
    <mergeCell ref="IPR411:IPX411"/>
    <mergeCell ref="IPY411:IQE411"/>
    <mergeCell ref="IQF411:IQL411"/>
    <mergeCell ref="IQM411:IQS411"/>
    <mergeCell ref="IOB411:IOH411"/>
    <mergeCell ref="IOI411:IOO411"/>
    <mergeCell ref="IOP411:IOV411"/>
    <mergeCell ref="IOW411:IPC411"/>
    <mergeCell ref="IPD411:IPJ411"/>
    <mergeCell ref="IMS411:IMY411"/>
    <mergeCell ref="IMZ411:INF411"/>
    <mergeCell ref="ING411:INM411"/>
    <mergeCell ref="INN411:INT411"/>
    <mergeCell ref="INU411:IOA411"/>
    <mergeCell ref="ILJ411:ILP411"/>
    <mergeCell ref="ILQ411:ILW411"/>
    <mergeCell ref="ILX411:IMD411"/>
    <mergeCell ref="IME411:IMK411"/>
    <mergeCell ref="IML411:IMR411"/>
    <mergeCell ref="IKA411:IKG411"/>
    <mergeCell ref="IKH411:IKN411"/>
    <mergeCell ref="IKO411:IKU411"/>
    <mergeCell ref="IKV411:ILB411"/>
    <mergeCell ref="ILC411:ILI411"/>
    <mergeCell ref="IIR411:IIX411"/>
    <mergeCell ref="IIY411:IJE411"/>
    <mergeCell ref="IJF411:IJL411"/>
    <mergeCell ref="IJM411:IJS411"/>
    <mergeCell ref="IJT411:IJZ411"/>
    <mergeCell ref="IHI411:IHO411"/>
    <mergeCell ref="IHP411:IHV411"/>
    <mergeCell ref="IHW411:IIC411"/>
    <mergeCell ref="IID411:IIJ411"/>
    <mergeCell ref="IIK411:IIQ411"/>
    <mergeCell ref="IFZ411:IGF411"/>
    <mergeCell ref="IGG411:IGM411"/>
    <mergeCell ref="IGN411:IGT411"/>
    <mergeCell ref="IGU411:IHA411"/>
    <mergeCell ref="IHB411:IHH411"/>
    <mergeCell ref="IEQ411:IEW411"/>
    <mergeCell ref="IEX411:IFD411"/>
    <mergeCell ref="IFE411:IFK411"/>
    <mergeCell ref="IFL411:IFR411"/>
    <mergeCell ref="IFS411:IFY411"/>
    <mergeCell ref="IDH411:IDN411"/>
    <mergeCell ref="IDO411:IDU411"/>
    <mergeCell ref="IDV411:IEB411"/>
    <mergeCell ref="IEC411:IEI411"/>
    <mergeCell ref="IEJ411:IEP411"/>
    <mergeCell ref="IBY411:ICE411"/>
    <mergeCell ref="ICF411:ICL411"/>
    <mergeCell ref="ICM411:ICS411"/>
    <mergeCell ref="ICT411:ICZ411"/>
    <mergeCell ref="IDA411:IDG411"/>
    <mergeCell ref="IAP411:IAV411"/>
    <mergeCell ref="IAW411:IBC411"/>
    <mergeCell ref="IBD411:IBJ411"/>
    <mergeCell ref="IBK411:IBQ411"/>
    <mergeCell ref="IBR411:IBX411"/>
    <mergeCell ref="HZG411:HZM411"/>
    <mergeCell ref="HZN411:HZT411"/>
    <mergeCell ref="HZU411:IAA411"/>
    <mergeCell ref="IAB411:IAH411"/>
    <mergeCell ref="IAI411:IAO411"/>
    <mergeCell ref="HXX411:HYD411"/>
    <mergeCell ref="HYE411:HYK411"/>
    <mergeCell ref="HYL411:HYR411"/>
    <mergeCell ref="HYS411:HYY411"/>
    <mergeCell ref="HYZ411:HZF411"/>
    <mergeCell ref="HWO411:HWU411"/>
    <mergeCell ref="HWV411:HXB411"/>
    <mergeCell ref="HXC411:HXI411"/>
    <mergeCell ref="HXJ411:HXP411"/>
    <mergeCell ref="HXQ411:HXW411"/>
    <mergeCell ref="HVF411:HVL411"/>
    <mergeCell ref="HVM411:HVS411"/>
    <mergeCell ref="HVT411:HVZ411"/>
    <mergeCell ref="HWA411:HWG411"/>
    <mergeCell ref="HWH411:HWN411"/>
    <mergeCell ref="HTW411:HUC411"/>
    <mergeCell ref="HUD411:HUJ411"/>
    <mergeCell ref="HUK411:HUQ411"/>
    <mergeCell ref="HUR411:HUX411"/>
    <mergeCell ref="HUY411:HVE411"/>
    <mergeCell ref="HSN411:HST411"/>
    <mergeCell ref="HSU411:HTA411"/>
    <mergeCell ref="HTB411:HTH411"/>
    <mergeCell ref="HTI411:HTO411"/>
    <mergeCell ref="HTP411:HTV411"/>
    <mergeCell ref="HRE411:HRK411"/>
    <mergeCell ref="HRL411:HRR411"/>
    <mergeCell ref="HRS411:HRY411"/>
    <mergeCell ref="HRZ411:HSF411"/>
    <mergeCell ref="HSG411:HSM411"/>
    <mergeCell ref="HPV411:HQB411"/>
    <mergeCell ref="HQC411:HQI411"/>
    <mergeCell ref="HQJ411:HQP411"/>
    <mergeCell ref="HQQ411:HQW411"/>
    <mergeCell ref="HQX411:HRD411"/>
    <mergeCell ref="HOM411:HOS411"/>
    <mergeCell ref="HOT411:HOZ411"/>
    <mergeCell ref="HPA411:HPG411"/>
    <mergeCell ref="HPH411:HPN411"/>
    <mergeCell ref="HPO411:HPU411"/>
    <mergeCell ref="HND411:HNJ411"/>
    <mergeCell ref="HNK411:HNQ411"/>
    <mergeCell ref="HNR411:HNX411"/>
    <mergeCell ref="HNY411:HOE411"/>
    <mergeCell ref="HOF411:HOL411"/>
    <mergeCell ref="HLU411:HMA411"/>
    <mergeCell ref="HMB411:HMH411"/>
    <mergeCell ref="HMI411:HMO411"/>
    <mergeCell ref="HMP411:HMV411"/>
    <mergeCell ref="HMW411:HNC411"/>
    <mergeCell ref="HKL411:HKR411"/>
    <mergeCell ref="HKS411:HKY411"/>
    <mergeCell ref="HKZ411:HLF411"/>
    <mergeCell ref="HLG411:HLM411"/>
    <mergeCell ref="HLN411:HLT411"/>
    <mergeCell ref="HJC411:HJI411"/>
    <mergeCell ref="HJJ411:HJP411"/>
    <mergeCell ref="HJQ411:HJW411"/>
    <mergeCell ref="HJX411:HKD411"/>
    <mergeCell ref="HKE411:HKK411"/>
    <mergeCell ref="HHT411:HHZ411"/>
    <mergeCell ref="HIA411:HIG411"/>
    <mergeCell ref="HIH411:HIN411"/>
    <mergeCell ref="HIO411:HIU411"/>
    <mergeCell ref="HIV411:HJB411"/>
    <mergeCell ref="HGK411:HGQ411"/>
    <mergeCell ref="HGR411:HGX411"/>
    <mergeCell ref="HGY411:HHE411"/>
    <mergeCell ref="HHF411:HHL411"/>
    <mergeCell ref="HHM411:HHS411"/>
    <mergeCell ref="HFB411:HFH411"/>
    <mergeCell ref="HFI411:HFO411"/>
    <mergeCell ref="HFP411:HFV411"/>
    <mergeCell ref="HFW411:HGC411"/>
    <mergeCell ref="HGD411:HGJ411"/>
    <mergeCell ref="HDS411:HDY411"/>
    <mergeCell ref="HDZ411:HEF411"/>
    <mergeCell ref="HEG411:HEM411"/>
    <mergeCell ref="HEN411:HET411"/>
    <mergeCell ref="HEU411:HFA411"/>
    <mergeCell ref="HCJ411:HCP411"/>
    <mergeCell ref="HCQ411:HCW411"/>
    <mergeCell ref="HCX411:HDD411"/>
    <mergeCell ref="HDE411:HDK411"/>
    <mergeCell ref="HDL411:HDR411"/>
    <mergeCell ref="HBA411:HBG411"/>
    <mergeCell ref="HBH411:HBN411"/>
    <mergeCell ref="HBO411:HBU411"/>
    <mergeCell ref="HBV411:HCB411"/>
    <mergeCell ref="HCC411:HCI411"/>
    <mergeCell ref="GZR411:GZX411"/>
    <mergeCell ref="GZY411:HAE411"/>
    <mergeCell ref="HAF411:HAL411"/>
    <mergeCell ref="HAM411:HAS411"/>
    <mergeCell ref="HAT411:HAZ411"/>
    <mergeCell ref="GYI411:GYO411"/>
    <mergeCell ref="GYP411:GYV411"/>
    <mergeCell ref="GYW411:GZC411"/>
    <mergeCell ref="GZD411:GZJ411"/>
    <mergeCell ref="GZK411:GZQ411"/>
    <mergeCell ref="GWZ411:GXF411"/>
    <mergeCell ref="GXG411:GXM411"/>
    <mergeCell ref="GXN411:GXT411"/>
    <mergeCell ref="GXU411:GYA411"/>
    <mergeCell ref="GYB411:GYH411"/>
    <mergeCell ref="GVQ411:GVW411"/>
    <mergeCell ref="GVX411:GWD411"/>
    <mergeCell ref="GWE411:GWK411"/>
    <mergeCell ref="GWL411:GWR411"/>
    <mergeCell ref="GWS411:GWY411"/>
    <mergeCell ref="GUH411:GUN411"/>
    <mergeCell ref="GUO411:GUU411"/>
    <mergeCell ref="GUV411:GVB411"/>
    <mergeCell ref="GVC411:GVI411"/>
    <mergeCell ref="GVJ411:GVP411"/>
    <mergeCell ref="GSY411:GTE411"/>
    <mergeCell ref="GTF411:GTL411"/>
    <mergeCell ref="GTM411:GTS411"/>
    <mergeCell ref="GTT411:GTZ411"/>
    <mergeCell ref="GUA411:GUG411"/>
    <mergeCell ref="GRP411:GRV411"/>
    <mergeCell ref="GRW411:GSC411"/>
    <mergeCell ref="GSD411:GSJ411"/>
    <mergeCell ref="GSK411:GSQ411"/>
    <mergeCell ref="GSR411:GSX411"/>
    <mergeCell ref="GQG411:GQM411"/>
    <mergeCell ref="GQN411:GQT411"/>
    <mergeCell ref="GQU411:GRA411"/>
    <mergeCell ref="GRB411:GRH411"/>
    <mergeCell ref="GRI411:GRO411"/>
    <mergeCell ref="GOX411:GPD411"/>
    <mergeCell ref="GPE411:GPK411"/>
    <mergeCell ref="GPL411:GPR411"/>
    <mergeCell ref="GPS411:GPY411"/>
    <mergeCell ref="GPZ411:GQF411"/>
    <mergeCell ref="GNO411:GNU411"/>
    <mergeCell ref="GNV411:GOB411"/>
    <mergeCell ref="GOC411:GOI411"/>
    <mergeCell ref="GOJ411:GOP411"/>
    <mergeCell ref="GOQ411:GOW411"/>
    <mergeCell ref="GMF411:GML411"/>
    <mergeCell ref="GMM411:GMS411"/>
    <mergeCell ref="GMT411:GMZ411"/>
    <mergeCell ref="GNA411:GNG411"/>
    <mergeCell ref="GNH411:GNN411"/>
    <mergeCell ref="GKW411:GLC411"/>
    <mergeCell ref="GLD411:GLJ411"/>
    <mergeCell ref="GLK411:GLQ411"/>
    <mergeCell ref="GLR411:GLX411"/>
    <mergeCell ref="GLY411:GME411"/>
    <mergeCell ref="GJN411:GJT411"/>
    <mergeCell ref="GJU411:GKA411"/>
    <mergeCell ref="GKB411:GKH411"/>
    <mergeCell ref="GKI411:GKO411"/>
    <mergeCell ref="GKP411:GKV411"/>
    <mergeCell ref="GIE411:GIK411"/>
    <mergeCell ref="GIL411:GIR411"/>
    <mergeCell ref="GIS411:GIY411"/>
    <mergeCell ref="GIZ411:GJF411"/>
    <mergeCell ref="GJG411:GJM411"/>
    <mergeCell ref="GGV411:GHB411"/>
    <mergeCell ref="GHC411:GHI411"/>
    <mergeCell ref="GHJ411:GHP411"/>
    <mergeCell ref="GHQ411:GHW411"/>
    <mergeCell ref="GHX411:GID411"/>
    <mergeCell ref="GFM411:GFS411"/>
    <mergeCell ref="GFT411:GFZ411"/>
    <mergeCell ref="GGA411:GGG411"/>
    <mergeCell ref="GGH411:GGN411"/>
    <mergeCell ref="GGO411:GGU411"/>
    <mergeCell ref="GED411:GEJ411"/>
    <mergeCell ref="GEK411:GEQ411"/>
    <mergeCell ref="GER411:GEX411"/>
    <mergeCell ref="GEY411:GFE411"/>
    <mergeCell ref="GFF411:GFL411"/>
    <mergeCell ref="GCU411:GDA411"/>
    <mergeCell ref="GDB411:GDH411"/>
    <mergeCell ref="GDI411:GDO411"/>
    <mergeCell ref="GDP411:GDV411"/>
    <mergeCell ref="GDW411:GEC411"/>
    <mergeCell ref="GBL411:GBR411"/>
    <mergeCell ref="GBS411:GBY411"/>
    <mergeCell ref="GBZ411:GCF411"/>
    <mergeCell ref="GCG411:GCM411"/>
    <mergeCell ref="GCN411:GCT411"/>
    <mergeCell ref="GAC411:GAI411"/>
    <mergeCell ref="GAJ411:GAP411"/>
    <mergeCell ref="GAQ411:GAW411"/>
    <mergeCell ref="GAX411:GBD411"/>
    <mergeCell ref="GBE411:GBK411"/>
    <mergeCell ref="FYT411:FYZ411"/>
    <mergeCell ref="FZA411:FZG411"/>
    <mergeCell ref="FZH411:FZN411"/>
    <mergeCell ref="FZO411:FZU411"/>
    <mergeCell ref="FZV411:GAB411"/>
    <mergeCell ref="FXK411:FXQ411"/>
    <mergeCell ref="FXR411:FXX411"/>
    <mergeCell ref="FXY411:FYE411"/>
    <mergeCell ref="FYF411:FYL411"/>
    <mergeCell ref="FYM411:FYS411"/>
    <mergeCell ref="FWB411:FWH411"/>
    <mergeCell ref="FWI411:FWO411"/>
    <mergeCell ref="FWP411:FWV411"/>
    <mergeCell ref="FWW411:FXC411"/>
    <mergeCell ref="FXD411:FXJ411"/>
    <mergeCell ref="FUS411:FUY411"/>
    <mergeCell ref="FUZ411:FVF411"/>
    <mergeCell ref="FVG411:FVM411"/>
    <mergeCell ref="FVN411:FVT411"/>
    <mergeCell ref="FVU411:FWA411"/>
    <mergeCell ref="FTJ411:FTP411"/>
    <mergeCell ref="FTQ411:FTW411"/>
    <mergeCell ref="FTX411:FUD411"/>
    <mergeCell ref="FUE411:FUK411"/>
    <mergeCell ref="FUL411:FUR411"/>
    <mergeCell ref="FSA411:FSG411"/>
    <mergeCell ref="FSH411:FSN411"/>
    <mergeCell ref="FSO411:FSU411"/>
    <mergeCell ref="FSV411:FTB411"/>
    <mergeCell ref="FTC411:FTI411"/>
    <mergeCell ref="FQR411:FQX411"/>
    <mergeCell ref="FQY411:FRE411"/>
    <mergeCell ref="FRF411:FRL411"/>
    <mergeCell ref="FRM411:FRS411"/>
    <mergeCell ref="FRT411:FRZ411"/>
    <mergeCell ref="FPI411:FPO411"/>
    <mergeCell ref="FPP411:FPV411"/>
    <mergeCell ref="FPW411:FQC411"/>
    <mergeCell ref="FQD411:FQJ411"/>
    <mergeCell ref="FQK411:FQQ411"/>
    <mergeCell ref="FNZ411:FOF411"/>
    <mergeCell ref="FOG411:FOM411"/>
    <mergeCell ref="FON411:FOT411"/>
    <mergeCell ref="FOU411:FPA411"/>
    <mergeCell ref="FPB411:FPH411"/>
    <mergeCell ref="FMQ411:FMW411"/>
    <mergeCell ref="FMX411:FND411"/>
    <mergeCell ref="FNE411:FNK411"/>
    <mergeCell ref="FNL411:FNR411"/>
    <mergeCell ref="FNS411:FNY411"/>
    <mergeCell ref="FLH411:FLN411"/>
    <mergeCell ref="FLO411:FLU411"/>
    <mergeCell ref="FLV411:FMB411"/>
    <mergeCell ref="FMC411:FMI411"/>
    <mergeCell ref="FMJ411:FMP411"/>
    <mergeCell ref="FJY411:FKE411"/>
    <mergeCell ref="FKF411:FKL411"/>
    <mergeCell ref="FKM411:FKS411"/>
    <mergeCell ref="FKT411:FKZ411"/>
    <mergeCell ref="FLA411:FLG411"/>
    <mergeCell ref="FIP411:FIV411"/>
    <mergeCell ref="FIW411:FJC411"/>
    <mergeCell ref="FJD411:FJJ411"/>
    <mergeCell ref="FJK411:FJQ411"/>
    <mergeCell ref="FJR411:FJX411"/>
    <mergeCell ref="FHG411:FHM411"/>
    <mergeCell ref="FHN411:FHT411"/>
    <mergeCell ref="FHU411:FIA411"/>
    <mergeCell ref="FIB411:FIH411"/>
    <mergeCell ref="FII411:FIO411"/>
    <mergeCell ref="FFX411:FGD411"/>
    <mergeCell ref="FGE411:FGK411"/>
    <mergeCell ref="FGL411:FGR411"/>
    <mergeCell ref="FGS411:FGY411"/>
    <mergeCell ref="FGZ411:FHF411"/>
    <mergeCell ref="FEO411:FEU411"/>
    <mergeCell ref="FEV411:FFB411"/>
    <mergeCell ref="FFC411:FFI411"/>
    <mergeCell ref="FFJ411:FFP411"/>
    <mergeCell ref="FFQ411:FFW411"/>
    <mergeCell ref="FDF411:FDL411"/>
    <mergeCell ref="FDM411:FDS411"/>
    <mergeCell ref="FDT411:FDZ411"/>
    <mergeCell ref="FEA411:FEG411"/>
    <mergeCell ref="FEH411:FEN411"/>
    <mergeCell ref="FBW411:FCC411"/>
    <mergeCell ref="FCD411:FCJ411"/>
    <mergeCell ref="FCK411:FCQ411"/>
    <mergeCell ref="FCR411:FCX411"/>
    <mergeCell ref="FCY411:FDE411"/>
    <mergeCell ref="FAN411:FAT411"/>
    <mergeCell ref="FAU411:FBA411"/>
    <mergeCell ref="FBB411:FBH411"/>
    <mergeCell ref="FBI411:FBO411"/>
    <mergeCell ref="FBP411:FBV411"/>
    <mergeCell ref="EZE411:EZK411"/>
    <mergeCell ref="EZL411:EZR411"/>
    <mergeCell ref="EZS411:EZY411"/>
    <mergeCell ref="EZZ411:FAF411"/>
    <mergeCell ref="FAG411:FAM411"/>
    <mergeCell ref="EXV411:EYB411"/>
    <mergeCell ref="EYC411:EYI411"/>
    <mergeCell ref="EYJ411:EYP411"/>
    <mergeCell ref="EYQ411:EYW411"/>
    <mergeCell ref="EYX411:EZD411"/>
    <mergeCell ref="EWM411:EWS411"/>
    <mergeCell ref="EWT411:EWZ411"/>
    <mergeCell ref="EXA411:EXG411"/>
    <mergeCell ref="EXH411:EXN411"/>
    <mergeCell ref="EXO411:EXU411"/>
    <mergeCell ref="EVD411:EVJ411"/>
    <mergeCell ref="EVK411:EVQ411"/>
    <mergeCell ref="EVR411:EVX411"/>
    <mergeCell ref="EVY411:EWE411"/>
    <mergeCell ref="EWF411:EWL411"/>
    <mergeCell ref="ETU411:EUA411"/>
    <mergeCell ref="EUB411:EUH411"/>
    <mergeCell ref="EUI411:EUO411"/>
    <mergeCell ref="EUP411:EUV411"/>
    <mergeCell ref="EUW411:EVC411"/>
    <mergeCell ref="ESL411:ESR411"/>
    <mergeCell ref="ESS411:ESY411"/>
    <mergeCell ref="ESZ411:ETF411"/>
    <mergeCell ref="ETG411:ETM411"/>
    <mergeCell ref="ETN411:ETT411"/>
    <mergeCell ref="ERC411:ERI411"/>
    <mergeCell ref="ERJ411:ERP411"/>
    <mergeCell ref="ERQ411:ERW411"/>
    <mergeCell ref="ERX411:ESD411"/>
    <mergeCell ref="ESE411:ESK411"/>
    <mergeCell ref="EPT411:EPZ411"/>
    <mergeCell ref="EQA411:EQG411"/>
    <mergeCell ref="EQH411:EQN411"/>
    <mergeCell ref="EQO411:EQU411"/>
    <mergeCell ref="EQV411:ERB411"/>
    <mergeCell ref="EOK411:EOQ411"/>
    <mergeCell ref="EOR411:EOX411"/>
    <mergeCell ref="EOY411:EPE411"/>
    <mergeCell ref="EPF411:EPL411"/>
    <mergeCell ref="EPM411:EPS411"/>
    <mergeCell ref="ENB411:ENH411"/>
    <mergeCell ref="ENI411:ENO411"/>
    <mergeCell ref="ENP411:ENV411"/>
    <mergeCell ref="ENW411:EOC411"/>
    <mergeCell ref="EOD411:EOJ411"/>
    <mergeCell ref="ELS411:ELY411"/>
    <mergeCell ref="ELZ411:EMF411"/>
    <mergeCell ref="EMG411:EMM411"/>
    <mergeCell ref="EMN411:EMT411"/>
    <mergeCell ref="EMU411:ENA411"/>
    <mergeCell ref="EKJ411:EKP411"/>
    <mergeCell ref="EKQ411:EKW411"/>
    <mergeCell ref="EKX411:ELD411"/>
    <mergeCell ref="ELE411:ELK411"/>
    <mergeCell ref="ELL411:ELR411"/>
    <mergeCell ref="EJA411:EJG411"/>
    <mergeCell ref="EJH411:EJN411"/>
    <mergeCell ref="EJO411:EJU411"/>
    <mergeCell ref="EJV411:EKB411"/>
    <mergeCell ref="EKC411:EKI411"/>
    <mergeCell ref="EHR411:EHX411"/>
    <mergeCell ref="EHY411:EIE411"/>
    <mergeCell ref="EIF411:EIL411"/>
    <mergeCell ref="EIM411:EIS411"/>
    <mergeCell ref="EIT411:EIZ411"/>
    <mergeCell ref="EGI411:EGO411"/>
    <mergeCell ref="EGP411:EGV411"/>
    <mergeCell ref="EGW411:EHC411"/>
    <mergeCell ref="EHD411:EHJ411"/>
    <mergeCell ref="EHK411:EHQ411"/>
    <mergeCell ref="EEZ411:EFF411"/>
    <mergeCell ref="EFG411:EFM411"/>
    <mergeCell ref="EFN411:EFT411"/>
    <mergeCell ref="EFU411:EGA411"/>
    <mergeCell ref="EGB411:EGH411"/>
    <mergeCell ref="EDQ411:EDW411"/>
    <mergeCell ref="EDX411:EED411"/>
    <mergeCell ref="EEE411:EEK411"/>
    <mergeCell ref="EEL411:EER411"/>
    <mergeCell ref="EES411:EEY411"/>
    <mergeCell ref="ECH411:ECN411"/>
    <mergeCell ref="ECO411:ECU411"/>
    <mergeCell ref="ECV411:EDB411"/>
    <mergeCell ref="EDC411:EDI411"/>
    <mergeCell ref="EDJ411:EDP411"/>
    <mergeCell ref="EAY411:EBE411"/>
    <mergeCell ref="EBF411:EBL411"/>
    <mergeCell ref="EBM411:EBS411"/>
    <mergeCell ref="EBT411:EBZ411"/>
    <mergeCell ref="ECA411:ECG411"/>
    <mergeCell ref="DZP411:DZV411"/>
    <mergeCell ref="DZW411:EAC411"/>
    <mergeCell ref="EAD411:EAJ411"/>
    <mergeCell ref="EAK411:EAQ411"/>
    <mergeCell ref="EAR411:EAX411"/>
    <mergeCell ref="DYG411:DYM411"/>
    <mergeCell ref="DYN411:DYT411"/>
    <mergeCell ref="DYU411:DZA411"/>
    <mergeCell ref="DZB411:DZH411"/>
    <mergeCell ref="DZI411:DZO411"/>
    <mergeCell ref="DWX411:DXD411"/>
    <mergeCell ref="DXE411:DXK411"/>
    <mergeCell ref="DXL411:DXR411"/>
    <mergeCell ref="DXS411:DXY411"/>
    <mergeCell ref="DXZ411:DYF411"/>
    <mergeCell ref="DVO411:DVU411"/>
    <mergeCell ref="DVV411:DWB411"/>
    <mergeCell ref="DWC411:DWI411"/>
    <mergeCell ref="DWJ411:DWP411"/>
    <mergeCell ref="DWQ411:DWW411"/>
    <mergeCell ref="DUF411:DUL411"/>
    <mergeCell ref="DUM411:DUS411"/>
    <mergeCell ref="DUT411:DUZ411"/>
    <mergeCell ref="DVA411:DVG411"/>
    <mergeCell ref="DVH411:DVN411"/>
    <mergeCell ref="DSW411:DTC411"/>
    <mergeCell ref="DTD411:DTJ411"/>
    <mergeCell ref="DTK411:DTQ411"/>
    <mergeCell ref="DTR411:DTX411"/>
    <mergeCell ref="DTY411:DUE411"/>
    <mergeCell ref="DRN411:DRT411"/>
    <mergeCell ref="DRU411:DSA411"/>
    <mergeCell ref="DSB411:DSH411"/>
    <mergeCell ref="DSI411:DSO411"/>
    <mergeCell ref="DSP411:DSV411"/>
    <mergeCell ref="DQE411:DQK411"/>
    <mergeCell ref="DQL411:DQR411"/>
    <mergeCell ref="DQS411:DQY411"/>
    <mergeCell ref="DQZ411:DRF411"/>
    <mergeCell ref="DRG411:DRM411"/>
    <mergeCell ref="DOV411:DPB411"/>
    <mergeCell ref="DPC411:DPI411"/>
    <mergeCell ref="DPJ411:DPP411"/>
    <mergeCell ref="DPQ411:DPW411"/>
    <mergeCell ref="DPX411:DQD411"/>
    <mergeCell ref="DNM411:DNS411"/>
    <mergeCell ref="DNT411:DNZ411"/>
    <mergeCell ref="DOA411:DOG411"/>
    <mergeCell ref="DOH411:DON411"/>
    <mergeCell ref="DOO411:DOU411"/>
    <mergeCell ref="DMD411:DMJ411"/>
    <mergeCell ref="DMK411:DMQ411"/>
    <mergeCell ref="DMR411:DMX411"/>
    <mergeCell ref="DMY411:DNE411"/>
    <mergeCell ref="DNF411:DNL411"/>
    <mergeCell ref="DKU411:DLA411"/>
    <mergeCell ref="DLB411:DLH411"/>
    <mergeCell ref="DLI411:DLO411"/>
    <mergeCell ref="DLP411:DLV411"/>
    <mergeCell ref="DLW411:DMC411"/>
    <mergeCell ref="DJL411:DJR411"/>
    <mergeCell ref="DJS411:DJY411"/>
    <mergeCell ref="DJZ411:DKF411"/>
    <mergeCell ref="DKG411:DKM411"/>
    <mergeCell ref="DKN411:DKT411"/>
    <mergeCell ref="DIC411:DII411"/>
    <mergeCell ref="DIJ411:DIP411"/>
    <mergeCell ref="DIQ411:DIW411"/>
    <mergeCell ref="DIX411:DJD411"/>
    <mergeCell ref="DJE411:DJK411"/>
    <mergeCell ref="DGT411:DGZ411"/>
    <mergeCell ref="DHA411:DHG411"/>
    <mergeCell ref="DHH411:DHN411"/>
    <mergeCell ref="DHO411:DHU411"/>
    <mergeCell ref="DHV411:DIB411"/>
    <mergeCell ref="DFK411:DFQ411"/>
    <mergeCell ref="DFR411:DFX411"/>
    <mergeCell ref="DFY411:DGE411"/>
    <mergeCell ref="DGF411:DGL411"/>
    <mergeCell ref="DGM411:DGS411"/>
    <mergeCell ref="DEB411:DEH411"/>
    <mergeCell ref="DEI411:DEO411"/>
    <mergeCell ref="DEP411:DEV411"/>
    <mergeCell ref="DEW411:DFC411"/>
    <mergeCell ref="DFD411:DFJ411"/>
    <mergeCell ref="DCS411:DCY411"/>
    <mergeCell ref="DCZ411:DDF411"/>
    <mergeCell ref="DDG411:DDM411"/>
    <mergeCell ref="DDN411:DDT411"/>
    <mergeCell ref="DDU411:DEA411"/>
    <mergeCell ref="DBJ411:DBP411"/>
    <mergeCell ref="DBQ411:DBW411"/>
    <mergeCell ref="DBX411:DCD411"/>
    <mergeCell ref="DCE411:DCK411"/>
    <mergeCell ref="DCL411:DCR411"/>
    <mergeCell ref="DAA411:DAG411"/>
    <mergeCell ref="DAH411:DAN411"/>
    <mergeCell ref="DAO411:DAU411"/>
    <mergeCell ref="DAV411:DBB411"/>
    <mergeCell ref="DBC411:DBI411"/>
    <mergeCell ref="CYR411:CYX411"/>
    <mergeCell ref="CYY411:CZE411"/>
    <mergeCell ref="CZF411:CZL411"/>
    <mergeCell ref="CZM411:CZS411"/>
    <mergeCell ref="CZT411:CZZ411"/>
    <mergeCell ref="CXI411:CXO411"/>
    <mergeCell ref="CXP411:CXV411"/>
    <mergeCell ref="CXW411:CYC411"/>
    <mergeCell ref="CYD411:CYJ411"/>
    <mergeCell ref="CYK411:CYQ411"/>
    <mergeCell ref="CVZ411:CWF411"/>
    <mergeCell ref="CWG411:CWM411"/>
    <mergeCell ref="CWN411:CWT411"/>
    <mergeCell ref="CWU411:CXA411"/>
    <mergeCell ref="CXB411:CXH411"/>
    <mergeCell ref="CUQ411:CUW411"/>
    <mergeCell ref="CUX411:CVD411"/>
    <mergeCell ref="CVE411:CVK411"/>
    <mergeCell ref="CVL411:CVR411"/>
    <mergeCell ref="CVS411:CVY411"/>
    <mergeCell ref="CTH411:CTN411"/>
    <mergeCell ref="CTO411:CTU411"/>
    <mergeCell ref="CTV411:CUB411"/>
    <mergeCell ref="CUC411:CUI411"/>
    <mergeCell ref="CUJ411:CUP411"/>
    <mergeCell ref="CRY411:CSE411"/>
    <mergeCell ref="CSF411:CSL411"/>
    <mergeCell ref="CSM411:CSS411"/>
    <mergeCell ref="CST411:CSZ411"/>
    <mergeCell ref="CTA411:CTG411"/>
    <mergeCell ref="CQP411:CQV411"/>
    <mergeCell ref="CQW411:CRC411"/>
    <mergeCell ref="CRD411:CRJ411"/>
    <mergeCell ref="CRK411:CRQ411"/>
    <mergeCell ref="CRR411:CRX411"/>
    <mergeCell ref="CPG411:CPM411"/>
    <mergeCell ref="CPN411:CPT411"/>
    <mergeCell ref="CPU411:CQA411"/>
    <mergeCell ref="CQB411:CQH411"/>
    <mergeCell ref="CQI411:CQO411"/>
    <mergeCell ref="CNX411:COD411"/>
    <mergeCell ref="COE411:COK411"/>
    <mergeCell ref="COL411:COR411"/>
    <mergeCell ref="COS411:COY411"/>
    <mergeCell ref="COZ411:CPF411"/>
    <mergeCell ref="CMO411:CMU411"/>
    <mergeCell ref="CMV411:CNB411"/>
    <mergeCell ref="CNC411:CNI411"/>
    <mergeCell ref="CNJ411:CNP411"/>
    <mergeCell ref="CNQ411:CNW411"/>
    <mergeCell ref="CLF411:CLL411"/>
    <mergeCell ref="CLM411:CLS411"/>
    <mergeCell ref="CLT411:CLZ411"/>
    <mergeCell ref="CMA411:CMG411"/>
    <mergeCell ref="CMH411:CMN411"/>
    <mergeCell ref="CJW411:CKC411"/>
    <mergeCell ref="CKD411:CKJ411"/>
    <mergeCell ref="CKK411:CKQ411"/>
    <mergeCell ref="CKR411:CKX411"/>
    <mergeCell ref="CKY411:CLE411"/>
    <mergeCell ref="CIN411:CIT411"/>
    <mergeCell ref="CIU411:CJA411"/>
    <mergeCell ref="CJB411:CJH411"/>
    <mergeCell ref="CJI411:CJO411"/>
    <mergeCell ref="CJP411:CJV411"/>
    <mergeCell ref="CHE411:CHK411"/>
    <mergeCell ref="CHL411:CHR411"/>
    <mergeCell ref="CHS411:CHY411"/>
    <mergeCell ref="CHZ411:CIF411"/>
    <mergeCell ref="CIG411:CIM411"/>
    <mergeCell ref="CFV411:CGB411"/>
    <mergeCell ref="CGC411:CGI411"/>
    <mergeCell ref="CGJ411:CGP411"/>
    <mergeCell ref="CGQ411:CGW411"/>
    <mergeCell ref="CGX411:CHD411"/>
    <mergeCell ref="CEM411:CES411"/>
    <mergeCell ref="CET411:CEZ411"/>
    <mergeCell ref="CFA411:CFG411"/>
    <mergeCell ref="CFH411:CFN411"/>
    <mergeCell ref="CFO411:CFU411"/>
    <mergeCell ref="CDD411:CDJ411"/>
    <mergeCell ref="CDK411:CDQ411"/>
    <mergeCell ref="CDR411:CDX411"/>
    <mergeCell ref="CDY411:CEE411"/>
    <mergeCell ref="CEF411:CEL411"/>
    <mergeCell ref="CBU411:CCA411"/>
    <mergeCell ref="CCB411:CCH411"/>
    <mergeCell ref="CCI411:CCO411"/>
    <mergeCell ref="CCP411:CCV411"/>
    <mergeCell ref="CCW411:CDC411"/>
    <mergeCell ref="CAL411:CAR411"/>
    <mergeCell ref="CAS411:CAY411"/>
    <mergeCell ref="CAZ411:CBF411"/>
    <mergeCell ref="CBG411:CBM411"/>
    <mergeCell ref="CBN411:CBT411"/>
    <mergeCell ref="BZC411:BZI411"/>
    <mergeCell ref="BZJ411:BZP411"/>
    <mergeCell ref="BZQ411:BZW411"/>
    <mergeCell ref="BZX411:CAD411"/>
    <mergeCell ref="CAE411:CAK411"/>
    <mergeCell ref="BXT411:BXZ411"/>
    <mergeCell ref="BYA411:BYG411"/>
    <mergeCell ref="BYH411:BYN411"/>
    <mergeCell ref="BYO411:BYU411"/>
    <mergeCell ref="BYV411:BZB411"/>
    <mergeCell ref="BWK411:BWQ411"/>
    <mergeCell ref="BWR411:BWX411"/>
    <mergeCell ref="BWY411:BXE411"/>
    <mergeCell ref="BXF411:BXL411"/>
    <mergeCell ref="BXM411:BXS411"/>
    <mergeCell ref="BVB411:BVH411"/>
    <mergeCell ref="BVI411:BVO411"/>
    <mergeCell ref="BVP411:BVV411"/>
    <mergeCell ref="BVW411:BWC411"/>
    <mergeCell ref="BWD411:BWJ411"/>
    <mergeCell ref="BTS411:BTY411"/>
    <mergeCell ref="BTZ411:BUF411"/>
    <mergeCell ref="BUG411:BUM411"/>
    <mergeCell ref="BUN411:BUT411"/>
    <mergeCell ref="BUU411:BVA411"/>
    <mergeCell ref="BSJ411:BSP411"/>
    <mergeCell ref="BSQ411:BSW411"/>
    <mergeCell ref="BSX411:BTD411"/>
    <mergeCell ref="BTE411:BTK411"/>
    <mergeCell ref="BTL411:BTR411"/>
    <mergeCell ref="BRA411:BRG411"/>
    <mergeCell ref="BRH411:BRN411"/>
    <mergeCell ref="BRO411:BRU411"/>
    <mergeCell ref="BRV411:BSB411"/>
    <mergeCell ref="BSC411:BSI411"/>
    <mergeCell ref="BPR411:BPX411"/>
    <mergeCell ref="BPY411:BQE411"/>
    <mergeCell ref="BQF411:BQL411"/>
    <mergeCell ref="BQM411:BQS411"/>
    <mergeCell ref="BQT411:BQZ411"/>
    <mergeCell ref="BOI411:BOO411"/>
    <mergeCell ref="BOP411:BOV411"/>
    <mergeCell ref="BOW411:BPC411"/>
    <mergeCell ref="BPD411:BPJ411"/>
    <mergeCell ref="BPK411:BPQ411"/>
    <mergeCell ref="BMZ411:BNF411"/>
    <mergeCell ref="BNG411:BNM411"/>
    <mergeCell ref="BNN411:BNT411"/>
    <mergeCell ref="BNU411:BOA411"/>
    <mergeCell ref="BOB411:BOH411"/>
    <mergeCell ref="BLQ411:BLW411"/>
    <mergeCell ref="BLX411:BMD411"/>
    <mergeCell ref="BME411:BMK411"/>
    <mergeCell ref="BML411:BMR411"/>
    <mergeCell ref="BMS411:BMY411"/>
    <mergeCell ref="BKH411:BKN411"/>
    <mergeCell ref="BKO411:BKU411"/>
    <mergeCell ref="BKV411:BLB411"/>
    <mergeCell ref="BLC411:BLI411"/>
    <mergeCell ref="BLJ411:BLP411"/>
    <mergeCell ref="BIY411:BJE411"/>
    <mergeCell ref="BJF411:BJL411"/>
    <mergeCell ref="BJM411:BJS411"/>
    <mergeCell ref="BJT411:BJZ411"/>
    <mergeCell ref="BKA411:BKG411"/>
    <mergeCell ref="BHP411:BHV411"/>
    <mergeCell ref="BHW411:BIC411"/>
    <mergeCell ref="BID411:BIJ411"/>
    <mergeCell ref="BIK411:BIQ411"/>
    <mergeCell ref="BIR411:BIX411"/>
    <mergeCell ref="BGG411:BGM411"/>
    <mergeCell ref="BGN411:BGT411"/>
    <mergeCell ref="BGU411:BHA411"/>
    <mergeCell ref="BHB411:BHH411"/>
    <mergeCell ref="BHI411:BHO411"/>
    <mergeCell ref="BEX411:BFD411"/>
    <mergeCell ref="BFE411:BFK411"/>
    <mergeCell ref="BFL411:BFR411"/>
    <mergeCell ref="BFS411:BFY411"/>
    <mergeCell ref="BFZ411:BGF411"/>
    <mergeCell ref="BDO411:BDU411"/>
    <mergeCell ref="BDV411:BEB411"/>
    <mergeCell ref="BEC411:BEI411"/>
    <mergeCell ref="BEJ411:BEP411"/>
    <mergeCell ref="BEQ411:BEW411"/>
    <mergeCell ref="BCF411:BCL411"/>
    <mergeCell ref="BCM411:BCS411"/>
    <mergeCell ref="BCT411:BCZ411"/>
    <mergeCell ref="BDA411:BDG411"/>
    <mergeCell ref="BDH411:BDN411"/>
    <mergeCell ref="BAW411:BBC411"/>
    <mergeCell ref="BBD411:BBJ411"/>
    <mergeCell ref="BBK411:BBQ411"/>
    <mergeCell ref="BBR411:BBX411"/>
    <mergeCell ref="BBY411:BCE411"/>
    <mergeCell ref="AZN411:AZT411"/>
    <mergeCell ref="AZU411:BAA411"/>
    <mergeCell ref="BAB411:BAH411"/>
    <mergeCell ref="BAI411:BAO411"/>
    <mergeCell ref="BAP411:BAV411"/>
    <mergeCell ref="AYE411:AYK411"/>
    <mergeCell ref="AYL411:AYR411"/>
    <mergeCell ref="AYS411:AYY411"/>
    <mergeCell ref="AYZ411:AZF411"/>
    <mergeCell ref="AZG411:AZM411"/>
    <mergeCell ref="AWV411:AXB411"/>
    <mergeCell ref="AXC411:AXI411"/>
    <mergeCell ref="AXJ411:AXP411"/>
    <mergeCell ref="AXQ411:AXW411"/>
    <mergeCell ref="AXX411:AYD411"/>
    <mergeCell ref="AVM411:AVS411"/>
    <mergeCell ref="AVT411:AVZ411"/>
    <mergeCell ref="AWA411:AWG411"/>
    <mergeCell ref="AWH411:AWN411"/>
    <mergeCell ref="AWO411:AWU411"/>
    <mergeCell ref="AUD411:AUJ411"/>
    <mergeCell ref="AUK411:AUQ411"/>
    <mergeCell ref="AUR411:AUX411"/>
    <mergeCell ref="AUY411:AVE411"/>
    <mergeCell ref="AVF411:AVL411"/>
    <mergeCell ref="ASU411:ATA411"/>
    <mergeCell ref="ATB411:ATH411"/>
    <mergeCell ref="ATI411:ATO411"/>
    <mergeCell ref="ATP411:ATV411"/>
    <mergeCell ref="ATW411:AUC411"/>
    <mergeCell ref="ARL411:ARR411"/>
    <mergeCell ref="ARS411:ARY411"/>
    <mergeCell ref="ARZ411:ASF411"/>
    <mergeCell ref="ASG411:ASM411"/>
    <mergeCell ref="ASN411:AST411"/>
    <mergeCell ref="AQC411:AQI411"/>
    <mergeCell ref="AQJ411:AQP411"/>
    <mergeCell ref="AQQ411:AQW411"/>
    <mergeCell ref="AQX411:ARD411"/>
    <mergeCell ref="ARE411:ARK411"/>
    <mergeCell ref="AOT411:AOZ411"/>
    <mergeCell ref="APA411:APG411"/>
    <mergeCell ref="APH411:APN411"/>
    <mergeCell ref="APO411:APU411"/>
    <mergeCell ref="APV411:AQB411"/>
    <mergeCell ref="ANK411:ANQ411"/>
    <mergeCell ref="ANR411:ANX411"/>
    <mergeCell ref="ANY411:AOE411"/>
    <mergeCell ref="AOF411:AOL411"/>
    <mergeCell ref="AOM411:AOS411"/>
    <mergeCell ref="AMB411:AMH411"/>
    <mergeCell ref="AMI411:AMO411"/>
    <mergeCell ref="AMP411:AMV411"/>
    <mergeCell ref="AMW411:ANC411"/>
    <mergeCell ref="AND411:ANJ411"/>
    <mergeCell ref="AKS411:AKY411"/>
    <mergeCell ref="AKZ411:ALF411"/>
    <mergeCell ref="ALG411:ALM411"/>
    <mergeCell ref="ALN411:ALT411"/>
    <mergeCell ref="ALU411:AMA411"/>
    <mergeCell ref="AJJ411:AJP411"/>
    <mergeCell ref="AJQ411:AJW411"/>
    <mergeCell ref="AJX411:AKD411"/>
    <mergeCell ref="AKE411:AKK411"/>
    <mergeCell ref="AKL411:AKR411"/>
    <mergeCell ref="AIA411:AIG411"/>
    <mergeCell ref="AIH411:AIN411"/>
    <mergeCell ref="AIO411:AIU411"/>
    <mergeCell ref="AIV411:AJB411"/>
    <mergeCell ref="AJC411:AJI411"/>
    <mergeCell ref="AGR411:AGX411"/>
    <mergeCell ref="AGY411:AHE411"/>
    <mergeCell ref="AHF411:AHL411"/>
    <mergeCell ref="AHM411:AHS411"/>
    <mergeCell ref="AHT411:AHZ411"/>
    <mergeCell ref="AFI411:AFO411"/>
    <mergeCell ref="AFP411:AFV411"/>
    <mergeCell ref="AFW411:AGC411"/>
    <mergeCell ref="AGD411:AGJ411"/>
    <mergeCell ref="AGK411:AGQ411"/>
    <mergeCell ref="ADZ411:AEF411"/>
    <mergeCell ref="AEG411:AEM411"/>
    <mergeCell ref="AEN411:AET411"/>
    <mergeCell ref="AEU411:AFA411"/>
    <mergeCell ref="AFB411:AFH411"/>
    <mergeCell ref="ACQ411:ACW411"/>
    <mergeCell ref="ACX411:ADD411"/>
    <mergeCell ref="ADE411:ADK411"/>
    <mergeCell ref="ADL411:ADR411"/>
    <mergeCell ref="ADS411:ADY411"/>
    <mergeCell ref="ABH411:ABN411"/>
    <mergeCell ref="ABO411:ABU411"/>
    <mergeCell ref="ABV411:ACB411"/>
    <mergeCell ref="ACC411:ACI411"/>
    <mergeCell ref="ACJ411:ACP411"/>
    <mergeCell ref="ZY411:AAE411"/>
    <mergeCell ref="AAF411:AAL411"/>
    <mergeCell ref="AAM411:AAS411"/>
    <mergeCell ref="AAT411:AAZ411"/>
    <mergeCell ref="ABA411:ABG411"/>
    <mergeCell ref="YP411:YV411"/>
    <mergeCell ref="YW411:ZC411"/>
    <mergeCell ref="ZD411:ZJ411"/>
    <mergeCell ref="ZK411:ZQ411"/>
    <mergeCell ref="ZR411:ZX411"/>
    <mergeCell ref="XG411:XM411"/>
    <mergeCell ref="XN411:XT411"/>
    <mergeCell ref="XU411:YA411"/>
    <mergeCell ref="YB411:YH411"/>
    <mergeCell ref="YI411:YO411"/>
    <mergeCell ref="VX411:WD411"/>
    <mergeCell ref="WE411:WK411"/>
    <mergeCell ref="WL411:WR411"/>
    <mergeCell ref="WS411:WY411"/>
    <mergeCell ref="WZ411:XF411"/>
    <mergeCell ref="UO411:UU411"/>
    <mergeCell ref="UV411:VB411"/>
    <mergeCell ref="VC411:VI411"/>
    <mergeCell ref="VJ411:VP411"/>
    <mergeCell ref="VQ411:VW411"/>
    <mergeCell ref="TF411:TL411"/>
    <mergeCell ref="TM411:TS411"/>
    <mergeCell ref="TT411:TZ411"/>
    <mergeCell ref="UA411:UG411"/>
    <mergeCell ref="UH411:UN411"/>
    <mergeCell ref="RW411:SC411"/>
    <mergeCell ref="SD411:SJ411"/>
    <mergeCell ref="SK411:SQ411"/>
    <mergeCell ref="SR411:SX411"/>
    <mergeCell ref="SY411:TE411"/>
    <mergeCell ref="QN411:QT411"/>
    <mergeCell ref="QU411:RA411"/>
    <mergeCell ref="RB411:RH411"/>
    <mergeCell ref="RI411:RO411"/>
    <mergeCell ref="RP411:RV411"/>
    <mergeCell ref="PE411:PK411"/>
    <mergeCell ref="PL411:PR411"/>
    <mergeCell ref="PS411:PY411"/>
    <mergeCell ref="PZ411:QF411"/>
    <mergeCell ref="QG411:QM411"/>
    <mergeCell ref="NV411:OB411"/>
    <mergeCell ref="OC411:OI411"/>
    <mergeCell ref="OJ411:OP411"/>
    <mergeCell ref="OQ411:OW411"/>
    <mergeCell ref="OX411:PD411"/>
    <mergeCell ref="MM411:MS411"/>
    <mergeCell ref="MT411:MZ411"/>
    <mergeCell ref="NA411:NG411"/>
    <mergeCell ref="NH411:NN411"/>
    <mergeCell ref="NO411:NU411"/>
    <mergeCell ref="LD411:LJ411"/>
    <mergeCell ref="LK411:LQ411"/>
    <mergeCell ref="LR411:LX411"/>
    <mergeCell ref="LY411:ME411"/>
    <mergeCell ref="MF411:ML411"/>
    <mergeCell ref="JU411:KA411"/>
    <mergeCell ref="KB411:KH411"/>
    <mergeCell ref="KI411:KO411"/>
    <mergeCell ref="KP411:KV411"/>
    <mergeCell ref="KW411:LC411"/>
    <mergeCell ref="IL411:IR411"/>
    <mergeCell ref="IS411:IY411"/>
    <mergeCell ref="IZ411:JF411"/>
    <mergeCell ref="JG411:JM411"/>
    <mergeCell ref="JN411:JT411"/>
    <mergeCell ref="HC411:HI411"/>
    <mergeCell ref="HJ411:HP411"/>
    <mergeCell ref="HQ411:HW411"/>
    <mergeCell ref="HX411:ID411"/>
    <mergeCell ref="IE411:IK411"/>
    <mergeCell ref="FT411:FZ411"/>
    <mergeCell ref="GA411:GG411"/>
    <mergeCell ref="GH411:GN411"/>
    <mergeCell ref="GO411:GU411"/>
    <mergeCell ref="GV411:HB411"/>
    <mergeCell ref="EK411:EQ411"/>
    <mergeCell ref="ER411:EX411"/>
    <mergeCell ref="EY411:FE411"/>
    <mergeCell ref="FF411:FL411"/>
    <mergeCell ref="FM411:FS411"/>
    <mergeCell ref="DB411:DH411"/>
    <mergeCell ref="DI411:DO411"/>
    <mergeCell ref="DP411:DV411"/>
    <mergeCell ref="DW411:EC411"/>
    <mergeCell ref="ED411:EJ411"/>
    <mergeCell ref="BS411:BY411"/>
    <mergeCell ref="BZ411:CF411"/>
    <mergeCell ref="CG411:CM411"/>
    <mergeCell ref="CN411:CT411"/>
    <mergeCell ref="CU411:DA411"/>
    <mergeCell ref="AJ411:AP411"/>
    <mergeCell ref="AQ411:AW411"/>
    <mergeCell ref="AX411:BD411"/>
    <mergeCell ref="BE411:BK411"/>
    <mergeCell ref="BL411:BR411"/>
    <mergeCell ref="A411:G411"/>
    <mergeCell ref="O411:U411"/>
    <mergeCell ref="V411:AB411"/>
    <mergeCell ref="AC411:AI411"/>
    <mergeCell ref="A412:D412"/>
    <mergeCell ref="A75:G75"/>
    <mergeCell ref="A90:G90"/>
    <mergeCell ref="A103:G103"/>
    <mergeCell ref="A115:G115"/>
    <mergeCell ref="A130:G130"/>
    <mergeCell ref="A143:G143"/>
    <mergeCell ref="A153:G153"/>
    <mergeCell ref="A315:G315"/>
    <mergeCell ref="A325:G325"/>
    <mergeCell ref="A182:G182"/>
    <mergeCell ref="A197:G197"/>
    <mergeCell ref="A393:G393"/>
    <mergeCell ref="A377:G377"/>
    <mergeCell ref="A173:G173"/>
    <mergeCell ref="A362:G362"/>
    <mergeCell ref="A252:G252"/>
    <mergeCell ref="A349:G349"/>
    <mergeCell ref="A291:G291"/>
    <mergeCell ref="A306:G306"/>
    <mergeCell ref="A214:G214"/>
    <mergeCell ref="A226:G226"/>
    <mergeCell ref="A241:G241"/>
    <mergeCell ref="A263:G263"/>
    <mergeCell ref="A272:G272"/>
    <mergeCell ref="A337:G337"/>
    <mergeCell ref="A402:G402"/>
    <mergeCell ref="A162:G162"/>
    <mergeCell ref="A22:D22"/>
    <mergeCell ref="A36:D36"/>
    <mergeCell ref="A50:D50"/>
    <mergeCell ref="A64:D64"/>
    <mergeCell ref="O402:U402"/>
    <mergeCell ref="V402:AB402"/>
    <mergeCell ref="AC402:AI402"/>
    <mergeCell ref="AJ402:AP402"/>
    <mergeCell ref="AQ402:AW402"/>
    <mergeCell ref="AX402:BD402"/>
    <mergeCell ref="BE402:BK402"/>
    <mergeCell ref="BL402:BR402"/>
    <mergeCell ref="BS402:BY402"/>
    <mergeCell ref="BZ402:CF402"/>
    <mergeCell ref="CG402:CM402"/>
    <mergeCell ref="CN402:CT402"/>
    <mergeCell ref="CU402:DA402"/>
    <mergeCell ref="DB402:DH402"/>
    <mergeCell ref="DI402:DO402"/>
    <mergeCell ref="DP402:DV402"/>
    <mergeCell ref="ER409:EX409"/>
    <mergeCell ref="DW402:EC402"/>
    <mergeCell ref="ED402:EJ402"/>
    <mergeCell ref="EK402:EQ402"/>
    <mergeCell ref="ER402:EX402"/>
    <mergeCell ref="EY402:FE402"/>
    <mergeCell ref="FF402:FL402"/>
    <mergeCell ref="FM402:FS402"/>
    <mergeCell ref="FT402:FZ402"/>
    <mergeCell ref="GA402:GG402"/>
    <mergeCell ref="GH402:GN402"/>
    <mergeCell ref="GO402:GU402"/>
    <mergeCell ref="GV402:HB402"/>
    <mergeCell ref="HC402:HI402"/>
    <mergeCell ref="EY409:FE409"/>
    <mergeCell ref="FF409:FL409"/>
    <mergeCell ref="FM409:FS409"/>
    <mergeCell ref="FT409:FZ409"/>
    <mergeCell ref="GA409:GG409"/>
    <mergeCell ref="GH409:GN409"/>
    <mergeCell ref="GO409:GU409"/>
    <mergeCell ref="GV409:HB409"/>
    <mergeCell ref="HC409:HI409"/>
    <mergeCell ref="HJ402:HP402"/>
    <mergeCell ref="HQ402:HW402"/>
    <mergeCell ref="HX402:ID402"/>
    <mergeCell ref="IE402:IK402"/>
    <mergeCell ref="IL402:IR402"/>
    <mergeCell ref="IS402:IY402"/>
    <mergeCell ref="IZ402:JF402"/>
    <mergeCell ref="JG402:JM402"/>
    <mergeCell ref="JN402:JT402"/>
    <mergeCell ref="JU402:KA402"/>
    <mergeCell ref="KB402:KH402"/>
    <mergeCell ref="KI402:KO402"/>
    <mergeCell ref="KP402:KV402"/>
    <mergeCell ref="KW402:LC402"/>
    <mergeCell ref="LD402:LJ402"/>
    <mergeCell ref="LK402:LQ402"/>
    <mergeCell ref="LR402:LX402"/>
    <mergeCell ref="LY402:ME402"/>
    <mergeCell ref="MF402:ML402"/>
    <mergeCell ref="MM402:MS402"/>
    <mergeCell ref="MT402:MZ402"/>
    <mergeCell ref="NA402:NG402"/>
    <mergeCell ref="NH402:NN402"/>
    <mergeCell ref="NO402:NU402"/>
    <mergeCell ref="NV402:OB402"/>
    <mergeCell ref="OC402:OI402"/>
    <mergeCell ref="OJ402:OP402"/>
    <mergeCell ref="OQ402:OW402"/>
    <mergeCell ref="OX402:PD402"/>
    <mergeCell ref="PE402:PK402"/>
    <mergeCell ref="PL402:PR402"/>
    <mergeCell ref="PS402:PY402"/>
    <mergeCell ref="PZ402:QF402"/>
    <mergeCell ref="QG402:QM402"/>
    <mergeCell ref="QN402:QT402"/>
    <mergeCell ref="QU402:RA402"/>
    <mergeCell ref="RB402:RH402"/>
    <mergeCell ref="RI402:RO402"/>
    <mergeCell ref="RP402:RV402"/>
    <mergeCell ref="RW402:SC402"/>
    <mergeCell ref="SD402:SJ402"/>
    <mergeCell ref="SK402:SQ402"/>
    <mergeCell ref="SR402:SX402"/>
    <mergeCell ref="SY402:TE402"/>
    <mergeCell ref="TF402:TL402"/>
    <mergeCell ref="TM402:TS402"/>
    <mergeCell ref="TT402:TZ402"/>
    <mergeCell ref="UA402:UG402"/>
    <mergeCell ref="UH402:UN402"/>
    <mergeCell ref="UO402:UU402"/>
    <mergeCell ref="UV402:VB402"/>
    <mergeCell ref="VC402:VI402"/>
    <mergeCell ref="VJ402:VP402"/>
    <mergeCell ref="VQ402:VW402"/>
    <mergeCell ref="VX402:WD402"/>
    <mergeCell ref="WE402:WK402"/>
    <mergeCell ref="WL402:WR402"/>
    <mergeCell ref="WS402:WY402"/>
    <mergeCell ref="WZ402:XF402"/>
    <mergeCell ref="XG402:XM402"/>
    <mergeCell ref="XN402:XT402"/>
    <mergeCell ref="XU402:YA402"/>
    <mergeCell ref="YB402:YH402"/>
    <mergeCell ref="YI402:YO402"/>
    <mergeCell ref="YP402:YV402"/>
    <mergeCell ref="YW402:ZC402"/>
    <mergeCell ref="ZD402:ZJ402"/>
    <mergeCell ref="ZK402:ZQ402"/>
    <mergeCell ref="ZR402:ZX402"/>
    <mergeCell ref="ZY402:AAE402"/>
    <mergeCell ref="AAF402:AAL402"/>
    <mergeCell ref="AAM402:AAS402"/>
    <mergeCell ref="AAT402:AAZ402"/>
    <mergeCell ref="ABA402:ABG402"/>
    <mergeCell ref="ABH402:ABN402"/>
    <mergeCell ref="ABO402:ABU402"/>
    <mergeCell ref="ABV402:ACB402"/>
    <mergeCell ref="ACC402:ACI402"/>
    <mergeCell ref="ACJ402:ACP402"/>
    <mergeCell ref="ACQ402:ACW402"/>
    <mergeCell ref="ACX402:ADD402"/>
    <mergeCell ref="ADE402:ADK402"/>
    <mergeCell ref="ADL402:ADR402"/>
    <mergeCell ref="ADS402:ADY402"/>
    <mergeCell ref="ADZ402:AEF402"/>
    <mergeCell ref="AEG402:AEM402"/>
    <mergeCell ref="AEN402:AET402"/>
    <mergeCell ref="AEU402:AFA402"/>
    <mergeCell ref="AFB402:AFH402"/>
    <mergeCell ref="AFI402:AFO402"/>
    <mergeCell ref="AFP402:AFV402"/>
    <mergeCell ref="AFW402:AGC402"/>
    <mergeCell ref="AGD402:AGJ402"/>
    <mergeCell ref="AGK402:AGQ402"/>
    <mergeCell ref="AGR402:AGX402"/>
    <mergeCell ref="AGY402:AHE402"/>
    <mergeCell ref="AHF402:AHL402"/>
    <mergeCell ref="AHM402:AHS402"/>
    <mergeCell ref="AHT402:AHZ402"/>
    <mergeCell ref="AIA402:AIG402"/>
    <mergeCell ref="AIH402:AIN402"/>
    <mergeCell ref="AIO402:AIU402"/>
    <mergeCell ref="AIV402:AJB402"/>
    <mergeCell ref="AJC402:AJI402"/>
    <mergeCell ref="AJJ402:AJP402"/>
    <mergeCell ref="AJQ402:AJW402"/>
    <mergeCell ref="AJX402:AKD402"/>
    <mergeCell ref="AKE402:AKK402"/>
    <mergeCell ref="AKL402:AKR402"/>
    <mergeCell ref="AKS402:AKY402"/>
    <mergeCell ref="AKZ402:ALF402"/>
    <mergeCell ref="ALG402:ALM402"/>
    <mergeCell ref="ALN402:ALT402"/>
    <mergeCell ref="ALU402:AMA402"/>
    <mergeCell ref="AMB402:AMH402"/>
    <mergeCell ref="AMI402:AMO402"/>
    <mergeCell ref="AMP402:AMV402"/>
    <mergeCell ref="AMW402:ANC402"/>
    <mergeCell ref="AND402:ANJ402"/>
    <mergeCell ref="ANK402:ANQ402"/>
    <mergeCell ref="ANR402:ANX402"/>
    <mergeCell ref="ANY402:AOE402"/>
    <mergeCell ref="AOF402:AOL402"/>
    <mergeCell ref="AOM402:AOS402"/>
    <mergeCell ref="AOT402:AOZ402"/>
    <mergeCell ref="APA402:APG402"/>
    <mergeCell ref="APH402:APN402"/>
    <mergeCell ref="APO402:APU402"/>
    <mergeCell ref="APV402:AQB402"/>
    <mergeCell ref="AQC402:AQI402"/>
    <mergeCell ref="AQJ402:AQP402"/>
    <mergeCell ref="AQQ402:AQW402"/>
    <mergeCell ref="AQX402:ARD402"/>
    <mergeCell ref="ARE402:ARK402"/>
    <mergeCell ref="ARL402:ARR402"/>
    <mergeCell ref="ARS402:ARY402"/>
    <mergeCell ref="ARZ402:ASF402"/>
    <mergeCell ref="ASG402:ASM402"/>
    <mergeCell ref="ASN402:AST402"/>
    <mergeCell ref="ASU402:ATA402"/>
    <mergeCell ref="ATB402:ATH402"/>
    <mergeCell ref="ATI402:ATO402"/>
    <mergeCell ref="ATP402:ATV402"/>
    <mergeCell ref="ATW402:AUC402"/>
    <mergeCell ref="AUD402:AUJ402"/>
    <mergeCell ref="AUK402:AUQ402"/>
    <mergeCell ref="AUR402:AUX402"/>
    <mergeCell ref="AUY402:AVE402"/>
    <mergeCell ref="AVF402:AVL402"/>
    <mergeCell ref="AVM402:AVS402"/>
    <mergeCell ref="AVT402:AVZ402"/>
    <mergeCell ref="AWA402:AWG402"/>
    <mergeCell ref="AWH402:AWN402"/>
    <mergeCell ref="AWO402:AWU402"/>
    <mergeCell ref="AWV402:AXB402"/>
    <mergeCell ref="AXC402:AXI402"/>
    <mergeCell ref="AXJ402:AXP402"/>
    <mergeCell ref="AXQ402:AXW402"/>
    <mergeCell ref="AXX402:AYD402"/>
    <mergeCell ref="AYE402:AYK402"/>
    <mergeCell ref="AYL402:AYR402"/>
    <mergeCell ref="AYS402:AYY402"/>
    <mergeCell ref="AYZ402:AZF402"/>
    <mergeCell ref="AZG402:AZM402"/>
    <mergeCell ref="AZN402:AZT402"/>
    <mergeCell ref="AZU402:BAA402"/>
    <mergeCell ref="BAB402:BAH402"/>
    <mergeCell ref="BAI402:BAO402"/>
    <mergeCell ref="BAP402:BAV402"/>
    <mergeCell ref="BAW402:BBC402"/>
    <mergeCell ref="BBD402:BBJ402"/>
    <mergeCell ref="BBK402:BBQ402"/>
    <mergeCell ref="BBR402:BBX402"/>
    <mergeCell ref="BBY402:BCE402"/>
    <mergeCell ref="BCF402:BCL402"/>
    <mergeCell ref="BCM402:BCS402"/>
    <mergeCell ref="BCT402:BCZ402"/>
    <mergeCell ref="BDA402:BDG402"/>
    <mergeCell ref="BDH402:BDN402"/>
    <mergeCell ref="BDO402:BDU402"/>
    <mergeCell ref="BDV402:BEB402"/>
    <mergeCell ref="BEC402:BEI402"/>
    <mergeCell ref="BEJ402:BEP402"/>
    <mergeCell ref="BEQ402:BEW402"/>
    <mergeCell ref="BEX402:BFD402"/>
    <mergeCell ref="BFE402:BFK402"/>
    <mergeCell ref="BFL402:BFR402"/>
    <mergeCell ref="BFS402:BFY402"/>
    <mergeCell ref="BFZ402:BGF402"/>
    <mergeCell ref="BGG402:BGM402"/>
    <mergeCell ref="BGN402:BGT402"/>
    <mergeCell ref="BGU402:BHA402"/>
    <mergeCell ref="BHB402:BHH402"/>
    <mergeCell ref="BHI402:BHO402"/>
    <mergeCell ref="BHP402:BHV402"/>
    <mergeCell ref="BHW402:BIC402"/>
    <mergeCell ref="BID402:BIJ402"/>
    <mergeCell ref="BIK402:BIQ402"/>
    <mergeCell ref="BIR402:BIX402"/>
    <mergeCell ref="BIY402:BJE402"/>
    <mergeCell ref="BJF402:BJL402"/>
    <mergeCell ref="BJM402:BJS402"/>
    <mergeCell ref="BJT402:BJZ402"/>
    <mergeCell ref="BKA402:BKG402"/>
    <mergeCell ref="BKH402:BKN402"/>
    <mergeCell ref="BKO402:BKU402"/>
    <mergeCell ref="BKV402:BLB402"/>
    <mergeCell ref="BLC402:BLI402"/>
    <mergeCell ref="BLJ402:BLP402"/>
    <mergeCell ref="BLQ402:BLW402"/>
    <mergeCell ref="BLX402:BMD402"/>
    <mergeCell ref="BME402:BMK402"/>
    <mergeCell ref="BML402:BMR402"/>
    <mergeCell ref="BMS402:BMY402"/>
    <mergeCell ref="BMZ402:BNF402"/>
    <mergeCell ref="BNG402:BNM402"/>
    <mergeCell ref="BNN402:BNT402"/>
    <mergeCell ref="BNU402:BOA402"/>
    <mergeCell ref="BOB402:BOH402"/>
    <mergeCell ref="BOI402:BOO402"/>
    <mergeCell ref="BOP402:BOV402"/>
    <mergeCell ref="BOW402:BPC402"/>
    <mergeCell ref="BPD402:BPJ402"/>
    <mergeCell ref="BPK402:BPQ402"/>
    <mergeCell ref="BPR402:BPX402"/>
    <mergeCell ref="BPY402:BQE402"/>
    <mergeCell ref="BQF402:BQL402"/>
    <mergeCell ref="BQM402:BQS402"/>
    <mergeCell ref="BQT402:BQZ402"/>
    <mergeCell ref="BRA402:BRG402"/>
    <mergeCell ref="BRH402:BRN402"/>
    <mergeCell ref="BRO402:BRU402"/>
    <mergeCell ref="BRV402:BSB402"/>
    <mergeCell ref="BSC402:BSI402"/>
    <mergeCell ref="BSJ402:BSP402"/>
    <mergeCell ref="BSQ402:BSW402"/>
    <mergeCell ref="BSX402:BTD402"/>
    <mergeCell ref="BTE402:BTK402"/>
    <mergeCell ref="BTL402:BTR402"/>
    <mergeCell ref="BTS402:BTY402"/>
    <mergeCell ref="BTZ402:BUF402"/>
    <mergeCell ref="BUG402:BUM402"/>
    <mergeCell ref="BUN402:BUT402"/>
    <mergeCell ref="BUU402:BVA402"/>
    <mergeCell ref="BVB402:BVH402"/>
    <mergeCell ref="BVI402:BVO402"/>
    <mergeCell ref="BVP402:BVV402"/>
    <mergeCell ref="BVW402:BWC402"/>
    <mergeCell ref="BWD402:BWJ402"/>
    <mergeCell ref="BWK402:BWQ402"/>
    <mergeCell ref="BWR402:BWX402"/>
    <mergeCell ref="BWY402:BXE402"/>
    <mergeCell ref="BXF402:BXL402"/>
    <mergeCell ref="BXM402:BXS402"/>
    <mergeCell ref="BXT402:BXZ402"/>
    <mergeCell ref="BYA402:BYG402"/>
    <mergeCell ref="BYH402:BYN402"/>
    <mergeCell ref="BYO402:BYU402"/>
    <mergeCell ref="BYV402:BZB402"/>
    <mergeCell ref="BZC402:BZI402"/>
    <mergeCell ref="BZJ402:BZP402"/>
    <mergeCell ref="BZQ402:BZW402"/>
    <mergeCell ref="BZX402:CAD402"/>
    <mergeCell ref="CAE402:CAK402"/>
    <mergeCell ref="CAL402:CAR402"/>
    <mergeCell ref="CAS402:CAY402"/>
    <mergeCell ref="CAZ402:CBF402"/>
    <mergeCell ref="CBG402:CBM402"/>
    <mergeCell ref="CBN402:CBT402"/>
    <mergeCell ref="CBU402:CCA402"/>
    <mergeCell ref="CCB402:CCH402"/>
    <mergeCell ref="CCI402:CCO402"/>
    <mergeCell ref="CCP402:CCV402"/>
    <mergeCell ref="CCW402:CDC402"/>
    <mergeCell ref="CDD402:CDJ402"/>
    <mergeCell ref="CDK402:CDQ402"/>
    <mergeCell ref="CDR402:CDX402"/>
    <mergeCell ref="CDY402:CEE402"/>
    <mergeCell ref="CEF402:CEL402"/>
    <mergeCell ref="CEM402:CES402"/>
    <mergeCell ref="CET402:CEZ402"/>
    <mergeCell ref="CFA402:CFG402"/>
    <mergeCell ref="CFH402:CFN402"/>
    <mergeCell ref="CFO402:CFU402"/>
    <mergeCell ref="CFV402:CGB402"/>
    <mergeCell ref="CGC402:CGI402"/>
    <mergeCell ref="CGJ402:CGP402"/>
    <mergeCell ref="CGQ402:CGW402"/>
    <mergeCell ref="CGX402:CHD402"/>
    <mergeCell ref="CHE402:CHK402"/>
    <mergeCell ref="CHL402:CHR402"/>
    <mergeCell ref="CHS402:CHY402"/>
    <mergeCell ref="CHZ402:CIF402"/>
    <mergeCell ref="CIG402:CIM402"/>
    <mergeCell ref="CIN402:CIT402"/>
    <mergeCell ref="CIU402:CJA402"/>
    <mergeCell ref="CJB402:CJH402"/>
    <mergeCell ref="CJI402:CJO402"/>
    <mergeCell ref="CJP402:CJV402"/>
    <mergeCell ref="CJW402:CKC402"/>
    <mergeCell ref="CKD402:CKJ402"/>
    <mergeCell ref="CKK402:CKQ402"/>
    <mergeCell ref="CKR402:CKX402"/>
    <mergeCell ref="CKY402:CLE402"/>
    <mergeCell ref="CLF402:CLL402"/>
    <mergeCell ref="CLM402:CLS402"/>
    <mergeCell ref="CLT402:CLZ402"/>
    <mergeCell ref="CMA402:CMG402"/>
    <mergeCell ref="CMH402:CMN402"/>
    <mergeCell ref="CMO402:CMU402"/>
    <mergeCell ref="CMV402:CNB402"/>
    <mergeCell ref="CNC402:CNI402"/>
    <mergeCell ref="CNJ402:CNP402"/>
    <mergeCell ref="CNQ402:CNW402"/>
    <mergeCell ref="CNX402:COD402"/>
    <mergeCell ref="COE402:COK402"/>
    <mergeCell ref="COL402:COR402"/>
    <mergeCell ref="COS402:COY402"/>
    <mergeCell ref="COZ402:CPF402"/>
    <mergeCell ref="CPG402:CPM402"/>
    <mergeCell ref="CPN402:CPT402"/>
    <mergeCell ref="CPU402:CQA402"/>
    <mergeCell ref="CQB402:CQH402"/>
    <mergeCell ref="CQI402:CQO402"/>
    <mergeCell ref="CQP402:CQV402"/>
    <mergeCell ref="CQW402:CRC402"/>
    <mergeCell ref="CRD402:CRJ402"/>
    <mergeCell ref="CRK402:CRQ402"/>
    <mergeCell ref="CRR402:CRX402"/>
    <mergeCell ref="CRY402:CSE402"/>
    <mergeCell ref="CSF402:CSL402"/>
    <mergeCell ref="CSM402:CSS402"/>
    <mergeCell ref="CST402:CSZ402"/>
    <mergeCell ref="CTA402:CTG402"/>
    <mergeCell ref="CTH402:CTN402"/>
    <mergeCell ref="CTO402:CTU402"/>
    <mergeCell ref="CTV402:CUB402"/>
    <mergeCell ref="CUC402:CUI402"/>
    <mergeCell ref="CUJ402:CUP402"/>
    <mergeCell ref="CUQ402:CUW402"/>
    <mergeCell ref="CUX402:CVD402"/>
    <mergeCell ref="CVE402:CVK402"/>
    <mergeCell ref="CVL402:CVR402"/>
    <mergeCell ref="CVS402:CVY402"/>
    <mergeCell ref="CVZ402:CWF402"/>
    <mergeCell ref="CWG402:CWM402"/>
    <mergeCell ref="CWN402:CWT402"/>
    <mergeCell ref="CWU402:CXA402"/>
    <mergeCell ref="CXB402:CXH402"/>
    <mergeCell ref="CXI402:CXO402"/>
    <mergeCell ref="CXP402:CXV402"/>
    <mergeCell ref="CXW402:CYC402"/>
    <mergeCell ref="CYD402:CYJ402"/>
    <mergeCell ref="CYK402:CYQ402"/>
    <mergeCell ref="CYR402:CYX402"/>
    <mergeCell ref="CYY402:CZE402"/>
    <mergeCell ref="CZF402:CZL402"/>
    <mergeCell ref="CZM402:CZS402"/>
    <mergeCell ref="CZT402:CZZ402"/>
    <mergeCell ref="DAA402:DAG402"/>
    <mergeCell ref="DAH402:DAN402"/>
    <mergeCell ref="DAO402:DAU402"/>
    <mergeCell ref="DAV402:DBB402"/>
    <mergeCell ref="DBC402:DBI402"/>
    <mergeCell ref="DBJ402:DBP402"/>
    <mergeCell ref="DBQ402:DBW402"/>
    <mergeCell ref="DBX402:DCD402"/>
    <mergeCell ref="DCE402:DCK402"/>
    <mergeCell ref="DCL402:DCR402"/>
    <mergeCell ref="DCS402:DCY402"/>
    <mergeCell ref="DCZ402:DDF402"/>
    <mergeCell ref="DDG402:DDM402"/>
    <mergeCell ref="DDN402:DDT402"/>
    <mergeCell ref="DDU402:DEA402"/>
    <mergeCell ref="DEB402:DEH402"/>
    <mergeCell ref="DEI402:DEO402"/>
    <mergeCell ref="DEP402:DEV402"/>
    <mergeCell ref="DEW402:DFC402"/>
    <mergeCell ref="DFD402:DFJ402"/>
    <mergeCell ref="DFK402:DFQ402"/>
    <mergeCell ref="DFR402:DFX402"/>
    <mergeCell ref="DFY402:DGE402"/>
    <mergeCell ref="DGF402:DGL402"/>
    <mergeCell ref="DGM402:DGS402"/>
    <mergeCell ref="DGT402:DGZ402"/>
    <mergeCell ref="DHA402:DHG402"/>
    <mergeCell ref="DHH402:DHN402"/>
    <mergeCell ref="DHO402:DHU402"/>
    <mergeCell ref="DHV402:DIB402"/>
    <mergeCell ref="DIC402:DII402"/>
    <mergeCell ref="DIJ402:DIP402"/>
    <mergeCell ref="DIQ402:DIW402"/>
    <mergeCell ref="DIX402:DJD402"/>
    <mergeCell ref="DJE402:DJK402"/>
    <mergeCell ref="DJL402:DJR402"/>
    <mergeCell ref="DJS402:DJY402"/>
    <mergeCell ref="DJZ402:DKF402"/>
    <mergeCell ref="DKG402:DKM402"/>
    <mergeCell ref="DKN402:DKT402"/>
    <mergeCell ref="DKU402:DLA402"/>
    <mergeCell ref="DLB402:DLH402"/>
    <mergeCell ref="DLI402:DLO402"/>
    <mergeCell ref="DLP402:DLV402"/>
    <mergeCell ref="DLW402:DMC402"/>
    <mergeCell ref="DMD402:DMJ402"/>
    <mergeCell ref="DMK402:DMQ402"/>
    <mergeCell ref="DMR402:DMX402"/>
    <mergeCell ref="DMY402:DNE402"/>
    <mergeCell ref="DNF402:DNL402"/>
    <mergeCell ref="DNM402:DNS402"/>
    <mergeCell ref="DNT402:DNZ402"/>
    <mergeCell ref="DOA402:DOG402"/>
    <mergeCell ref="DOH402:DON402"/>
    <mergeCell ref="DOO402:DOU402"/>
    <mergeCell ref="DOV402:DPB402"/>
    <mergeCell ref="DPC402:DPI402"/>
    <mergeCell ref="DPJ402:DPP402"/>
    <mergeCell ref="DPQ402:DPW402"/>
    <mergeCell ref="DPX402:DQD402"/>
    <mergeCell ref="DQE402:DQK402"/>
    <mergeCell ref="DQL402:DQR402"/>
    <mergeCell ref="DQS402:DQY402"/>
    <mergeCell ref="DQZ402:DRF402"/>
    <mergeCell ref="DRG402:DRM402"/>
    <mergeCell ref="DRN402:DRT402"/>
    <mergeCell ref="DRU402:DSA402"/>
    <mergeCell ref="DSB402:DSH402"/>
    <mergeCell ref="DSI402:DSO402"/>
    <mergeCell ref="DSP402:DSV402"/>
    <mergeCell ref="DSW402:DTC402"/>
    <mergeCell ref="DTD402:DTJ402"/>
    <mergeCell ref="DTK402:DTQ402"/>
    <mergeCell ref="DTR402:DTX402"/>
    <mergeCell ref="DTY402:DUE402"/>
    <mergeCell ref="DUF402:DUL402"/>
    <mergeCell ref="DUM402:DUS402"/>
    <mergeCell ref="DUT402:DUZ402"/>
    <mergeCell ref="DVA402:DVG402"/>
    <mergeCell ref="DVH402:DVN402"/>
    <mergeCell ref="DVO402:DVU402"/>
    <mergeCell ref="DVV402:DWB402"/>
    <mergeCell ref="DWC402:DWI402"/>
    <mergeCell ref="DWJ402:DWP402"/>
    <mergeCell ref="DWQ402:DWW402"/>
    <mergeCell ref="DWX402:DXD402"/>
    <mergeCell ref="DXE402:DXK402"/>
    <mergeCell ref="DXL402:DXR402"/>
    <mergeCell ref="DXS402:DXY402"/>
    <mergeCell ref="DXZ402:DYF402"/>
    <mergeCell ref="DYG402:DYM402"/>
    <mergeCell ref="DYN402:DYT402"/>
    <mergeCell ref="DYU402:DZA402"/>
    <mergeCell ref="DZB402:DZH402"/>
    <mergeCell ref="DZI402:DZO402"/>
    <mergeCell ref="DZP402:DZV402"/>
    <mergeCell ref="DZW402:EAC402"/>
    <mergeCell ref="EAD402:EAJ402"/>
    <mergeCell ref="EAK402:EAQ402"/>
    <mergeCell ref="EAR402:EAX402"/>
    <mergeCell ref="EAY402:EBE402"/>
    <mergeCell ref="EBF402:EBL402"/>
    <mergeCell ref="EBM402:EBS402"/>
    <mergeCell ref="EBT402:EBZ402"/>
    <mergeCell ref="ECA402:ECG402"/>
    <mergeCell ref="ECH402:ECN402"/>
    <mergeCell ref="ECO402:ECU402"/>
    <mergeCell ref="ECV402:EDB402"/>
    <mergeCell ref="EDC402:EDI402"/>
    <mergeCell ref="EDJ402:EDP402"/>
    <mergeCell ref="EDQ402:EDW402"/>
    <mergeCell ref="EDX402:EED402"/>
    <mergeCell ref="EEE402:EEK402"/>
    <mergeCell ref="EEL402:EER402"/>
    <mergeCell ref="EES402:EEY402"/>
    <mergeCell ref="EEZ402:EFF402"/>
    <mergeCell ref="EFG402:EFM402"/>
    <mergeCell ref="EFN402:EFT402"/>
    <mergeCell ref="EFU402:EGA402"/>
    <mergeCell ref="EGB402:EGH402"/>
    <mergeCell ref="EGI402:EGO402"/>
    <mergeCell ref="EGP402:EGV402"/>
    <mergeCell ref="EGW402:EHC402"/>
    <mergeCell ref="EHD402:EHJ402"/>
    <mergeCell ref="EHK402:EHQ402"/>
    <mergeCell ref="EHR402:EHX402"/>
    <mergeCell ref="EHY402:EIE402"/>
    <mergeCell ref="EIF402:EIL402"/>
    <mergeCell ref="EIM402:EIS402"/>
    <mergeCell ref="EIT402:EIZ402"/>
    <mergeCell ref="EJA402:EJG402"/>
    <mergeCell ref="EJH402:EJN402"/>
    <mergeCell ref="EJO402:EJU402"/>
    <mergeCell ref="EJV402:EKB402"/>
    <mergeCell ref="EKC402:EKI402"/>
    <mergeCell ref="EKJ402:EKP402"/>
    <mergeCell ref="EKQ402:EKW402"/>
    <mergeCell ref="EKX402:ELD402"/>
    <mergeCell ref="ELE402:ELK402"/>
    <mergeCell ref="ELL402:ELR402"/>
    <mergeCell ref="ELS402:ELY402"/>
    <mergeCell ref="ELZ402:EMF402"/>
    <mergeCell ref="EMG402:EMM402"/>
    <mergeCell ref="EMN402:EMT402"/>
    <mergeCell ref="EMU402:ENA402"/>
    <mergeCell ref="ENB402:ENH402"/>
    <mergeCell ref="ENI402:ENO402"/>
    <mergeCell ref="ENP402:ENV402"/>
    <mergeCell ref="ENW402:EOC402"/>
    <mergeCell ref="EOD402:EOJ402"/>
    <mergeCell ref="EOK402:EOQ402"/>
    <mergeCell ref="EOR402:EOX402"/>
    <mergeCell ref="EOY402:EPE402"/>
    <mergeCell ref="EPF402:EPL402"/>
    <mergeCell ref="EPM402:EPS402"/>
    <mergeCell ref="EPT402:EPZ402"/>
    <mergeCell ref="EQA402:EQG402"/>
    <mergeCell ref="EQH402:EQN402"/>
    <mergeCell ref="EQO402:EQU402"/>
    <mergeCell ref="EQV402:ERB402"/>
    <mergeCell ref="ERC402:ERI402"/>
    <mergeCell ref="ERJ402:ERP402"/>
    <mergeCell ref="ERQ402:ERW402"/>
    <mergeCell ref="ERX402:ESD402"/>
    <mergeCell ref="ESE402:ESK402"/>
    <mergeCell ref="ESL402:ESR402"/>
    <mergeCell ref="ESS402:ESY402"/>
    <mergeCell ref="ESZ402:ETF402"/>
    <mergeCell ref="ETG402:ETM402"/>
    <mergeCell ref="ETN402:ETT402"/>
    <mergeCell ref="ETU402:EUA402"/>
    <mergeCell ref="EUB402:EUH402"/>
    <mergeCell ref="EUI402:EUO402"/>
    <mergeCell ref="EUP402:EUV402"/>
    <mergeCell ref="EUW402:EVC402"/>
    <mergeCell ref="EVD402:EVJ402"/>
    <mergeCell ref="EVK402:EVQ402"/>
    <mergeCell ref="EVR402:EVX402"/>
    <mergeCell ref="EVY402:EWE402"/>
    <mergeCell ref="EWF402:EWL402"/>
    <mergeCell ref="EWM402:EWS402"/>
    <mergeCell ref="EWT402:EWZ402"/>
    <mergeCell ref="EXA402:EXG402"/>
    <mergeCell ref="EXH402:EXN402"/>
    <mergeCell ref="EXO402:EXU402"/>
    <mergeCell ref="EXV402:EYB402"/>
    <mergeCell ref="EYC402:EYI402"/>
    <mergeCell ref="EYJ402:EYP402"/>
    <mergeCell ref="EYQ402:EYW402"/>
    <mergeCell ref="EYX402:EZD402"/>
    <mergeCell ref="EZE402:EZK402"/>
    <mergeCell ref="EZL402:EZR402"/>
    <mergeCell ref="EZS402:EZY402"/>
    <mergeCell ref="EZZ402:FAF402"/>
    <mergeCell ref="FAG402:FAM402"/>
    <mergeCell ref="FAN402:FAT402"/>
    <mergeCell ref="FAU402:FBA402"/>
    <mergeCell ref="FBB402:FBH402"/>
    <mergeCell ref="FBI402:FBO402"/>
    <mergeCell ref="FBP402:FBV402"/>
    <mergeCell ref="FBW402:FCC402"/>
    <mergeCell ref="FCD402:FCJ402"/>
    <mergeCell ref="FCK402:FCQ402"/>
    <mergeCell ref="FCR402:FCX402"/>
    <mergeCell ref="FCY402:FDE402"/>
    <mergeCell ref="FDF402:FDL402"/>
    <mergeCell ref="FDM402:FDS402"/>
    <mergeCell ref="FDT402:FDZ402"/>
    <mergeCell ref="FEA402:FEG402"/>
    <mergeCell ref="FEH402:FEN402"/>
    <mergeCell ref="FEO402:FEU402"/>
    <mergeCell ref="FEV402:FFB402"/>
    <mergeCell ref="FFC402:FFI402"/>
    <mergeCell ref="FFJ402:FFP402"/>
    <mergeCell ref="FFQ402:FFW402"/>
    <mergeCell ref="FFX402:FGD402"/>
    <mergeCell ref="FGE402:FGK402"/>
    <mergeCell ref="FGL402:FGR402"/>
    <mergeCell ref="FGS402:FGY402"/>
    <mergeCell ref="FGZ402:FHF402"/>
    <mergeCell ref="FHG402:FHM402"/>
    <mergeCell ref="FHN402:FHT402"/>
    <mergeCell ref="FHU402:FIA402"/>
    <mergeCell ref="FIB402:FIH402"/>
    <mergeCell ref="FII402:FIO402"/>
    <mergeCell ref="FIP402:FIV402"/>
    <mergeCell ref="FIW402:FJC402"/>
    <mergeCell ref="FJD402:FJJ402"/>
    <mergeCell ref="FJK402:FJQ402"/>
    <mergeCell ref="FJR402:FJX402"/>
    <mergeCell ref="FJY402:FKE402"/>
    <mergeCell ref="FKF402:FKL402"/>
    <mergeCell ref="FKM402:FKS402"/>
    <mergeCell ref="FKT402:FKZ402"/>
    <mergeCell ref="FLA402:FLG402"/>
    <mergeCell ref="FLH402:FLN402"/>
    <mergeCell ref="FLO402:FLU402"/>
    <mergeCell ref="FLV402:FMB402"/>
    <mergeCell ref="FMC402:FMI402"/>
    <mergeCell ref="FMJ402:FMP402"/>
    <mergeCell ref="FMQ402:FMW402"/>
    <mergeCell ref="FMX402:FND402"/>
    <mergeCell ref="FNE402:FNK402"/>
    <mergeCell ref="FNL402:FNR402"/>
    <mergeCell ref="FNS402:FNY402"/>
    <mergeCell ref="FNZ402:FOF402"/>
    <mergeCell ref="FOG402:FOM402"/>
    <mergeCell ref="FON402:FOT402"/>
    <mergeCell ref="FOU402:FPA402"/>
    <mergeCell ref="FPB402:FPH402"/>
    <mergeCell ref="FPI402:FPO402"/>
    <mergeCell ref="FPP402:FPV402"/>
    <mergeCell ref="FPW402:FQC402"/>
    <mergeCell ref="FQD402:FQJ402"/>
    <mergeCell ref="FQK402:FQQ402"/>
    <mergeCell ref="FQR402:FQX402"/>
    <mergeCell ref="FQY402:FRE402"/>
    <mergeCell ref="FRF402:FRL402"/>
    <mergeCell ref="FRM402:FRS402"/>
    <mergeCell ref="FRT402:FRZ402"/>
    <mergeCell ref="FSA402:FSG402"/>
    <mergeCell ref="FSH402:FSN402"/>
    <mergeCell ref="FSO402:FSU402"/>
    <mergeCell ref="FSV402:FTB402"/>
    <mergeCell ref="FTC402:FTI402"/>
    <mergeCell ref="FTJ402:FTP402"/>
    <mergeCell ref="FTQ402:FTW402"/>
    <mergeCell ref="FTX402:FUD402"/>
    <mergeCell ref="FUE402:FUK402"/>
    <mergeCell ref="FUL402:FUR402"/>
    <mergeCell ref="FUS402:FUY402"/>
    <mergeCell ref="FUZ402:FVF402"/>
    <mergeCell ref="FVG402:FVM402"/>
    <mergeCell ref="FVN402:FVT402"/>
    <mergeCell ref="FVU402:FWA402"/>
    <mergeCell ref="FWB402:FWH402"/>
    <mergeCell ref="FWI402:FWO402"/>
    <mergeCell ref="FWP402:FWV402"/>
    <mergeCell ref="FWW402:FXC402"/>
    <mergeCell ref="FXD402:FXJ402"/>
    <mergeCell ref="FXK402:FXQ402"/>
    <mergeCell ref="FXR402:FXX402"/>
    <mergeCell ref="FXY402:FYE402"/>
    <mergeCell ref="FYF402:FYL402"/>
    <mergeCell ref="FYM402:FYS402"/>
    <mergeCell ref="FYT402:FYZ402"/>
    <mergeCell ref="FZA402:FZG402"/>
    <mergeCell ref="FZH402:FZN402"/>
    <mergeCell ref="FZO402:FZU402"/>
    <mergeCell ref="FZV402:GAB402"/>
    <mergeCell ref="GAC402:GAI402"/>
    <mergeCell ref="GAJ402:GAP402"/>
    <mergeCell ref="GAQ402:GAW402"/>
    <mergeCell ref="GAX402:GBD402"/>
    <mergeCell ref="GBE402:GBK402"/>
    <mergeCell ref="GBL402:GBR402"/>
    <mergeCell ref="GBS402:GBY402"/>
    <mergeCell ref="GBZ402:GCF402"/>
    <mergeCell ref="GCG402:GCM402"/>
    <mergeCell ref="GCN402:GCT402"/>
    <mergeCell ref="GCU402:GDA402"/>
    <mergeCell ref="GDB402:GDH402"/>
    <mergeCell ref="GDI402:GDO402"/>
    <mergeCell ref="GDP402:GDV402"/>
    <mergeCell ref="GDW402:GEC402"/>
    <mergeCell ref="GED402:GEJ402"/>
    <mergeCell ref="GEK402:GEQ402"/>
    <mergeCell ref="GER402:GEX402"/>
    <mergeCell ref="GEY402:GFE402"/>
    <mergeCell ref="GFF402:GFL402"/>
    <mergeCell ref="GFM402:GFS402"/>
    <mergeCell ref="GFT402:GFZ402"/>
    <mergeCell ref="GGA402:GGG402"/>
    <mergeCell ref="GGH402:GGN402"/>
    <mergeCell ref="GGO402:GGU402"/>
    <mergeCell ref="GGV402:GHB402"/>
    <mergeCell ref="GHC402:GHI402"/>
    <mergeCell ref="GHJ402:GHP402"/>
    <mergeCell ref="GHQ402:GHW402"/>
    <mergeCell ref="GHX402:GID402"/>
    <mergeCell ref="GIE402:GIK402"/>
    <mergeCell ref="GIL402:GIR402"/>
    <mergeCell ref="GIS402:GIY402"/>
    <mergeCell ref="GIZ402:GJF402"/>
    <mergeCell ref="GJG402:GJM402"/>
    <mergeCell ref="GJN402:GJT402"/>
    <mergeCell ref="GJU402:GKA402"/>
    <mergeCell ref="GKB402:GKH402"/>
    <mergeCell ref="GKI402:GKO402"/>
    <mergeCell ref="GKP402:GKV402"/>
    <mergeCell ref="GKW402:GLC402"/>
    <mergeCell ref="GLD402:GLJ402"/>
    <mergeCell ref="GLK402:GLQ402"/>
    <mergeCell ref="GLR402:GLX402"/>
    <mergeCell ref="GLY402:GME402"/>
    <mergeCell ref="GMF402:GML402"/>
    <mergeCell ref="GMM402:GMS402"/>
    <mergeCell ref="GMT402:GMZ402"/>
    <mergeCell ref="GNA402:GNG402"/>
    <mergeCell ref="GNH402:GNN402"/>
    <mergeCell ref="GNO402:GNU402"/>
    <mergeCell ref="GNV402:GOB402"/>
    <mergeCell ref="GOC402:GOI402"/>
    <mergeCell ref="GOJ402:GOP402"/>
    <mergeCell ref="GOQ402:GOW402"/>
    <mergeCell ref="GOX402:GPD402"/>
    <mergeCell ref="GPE402:GPK402"/>
    <mergeCell ref="GPL402:GPR402"/>
    <mergeCell ref="GPS402:GPY402"/>
    <mergeCell ref="GPZ402:GQF402"/>
    <mergeCell ref="GQG402:GQM402"/>
    <mergeCell ref="GQN402:GQT402"/>
    <mergeCell ref="GQU402:GRA402"/>
    <mergeCell ref="GRB402:GRH402"/>
    <mergeCell ref="GRI402:GRO402"/>
    <mergeCell ref="GRP402:GRV402"/>
    <mergeCell ref="GRW402:GSC402"/>
    <mergeCell ref="GSD402:GSJ402"/>
    <mergeCell ref="GSK402:GSQ402"/>
    <mergeCell ref="GSR402:GSX402"/>
    <mergeCell ref="GSY402:GTE402"/>
    <mergeCell ref="GTF402:GTL402"/>
    <mergeCell ref="GTM402:GTS402"/>
    <mergeCell ref="GTT402:GTZ402"/>
    <mergeCell ref="GUA402:GUG402"/>
    <mergeCell ref="GUH402:GUN402"/>
    <mergeCell ref="GUO402:GUU402"/>
    <mergeCell ref="GUV402:GVB402"/>
    <mergeCell ref="GVC402:GVI402"/>
    <mergeCell ref="GVJ402:GVP402"/>
    <mergeCell ref="GVQ402:GVW402"/>
    <mergeCell ref="GVX402:GWD402"/>
    <mergeCell ref="GWE402:GWK402"/>
    <mergeCell ref="GWL402:GWR402"/>
    <mergeCell ref="GWS402:GWY402"/>
    <mergeCell ref="GWZ402:GXF402"/>
    <mergeCell ref="GXG402:GXM402"/>
    <mergeCell ref="GXN402:GXT402"/>
    <mergeCell ref="GXU402:GYA402"/>
    <mergeCell ref="GYB402:GYH402"/>
    <mergeCell ref="GYI402:GYO402"/>
    <mergeCell ref="GYP402:GYV402"/>
    <mergeCell ref="GYW402:GZC402"/>
    <mergeCell ref="GZD402:GZJ402"/>
    <mergeCell ref="GZK402:GZQ402"/>
    <mergeCell ref="GZR402:GZX402"/>
    <mergeCell ref="GZY402:HAE402"/>
    <mergeCell ref="HAF402:HAL402"/>
    <mergeCell ref="HAM402:HAS402"/>
    <mergeCell ref="HAT402:HAZ402"/>
    <mergeCell ref="HBA402:HBG402"/>
    <mergeCell ref="HBH402:HBN402"/>
    <mergeCell ref="HBO402:HBU402"/>
    <mergeCell ref="HBV402:HCB402"/>
    <mergeCell ref="HCC402:HCI402"/>
    <mergeCell ref="HCJ402:HCP402"/>
    <mergeCell ref="HCQ402:HCW402"/>
    <mergeCell ref="HCX402:HDD402"/>
    <mergeCell ref="HDE402:HDK402"/>
    <mergeCell ref="HDL402:HDR402"/>
    <mergeCell ref="HDS402:HDY402"/>
    <mergeCell ref="HDZ402:HEF402"/>
    <mergeCell ref="HEG402:HEM402"/>
    <mergeCell ref="HEN402:HET402"/>
    <mergeCell ref="HEU402:HFA402"/>
    <mergeCell ref="HFB402:HFH402"/>
    <mergeCell ref="HFI402:HFO402"/>
    <mergeCell ref="HFP402:HFV402"/>
    <mergeCell ref="HFW402:HGC402"/>
    <mergeCell ref="HGD402:HGJ402"/>
    <mergeCell ref="HGK402:HGQ402"/>
    <mergeCell ref="HGR402:HGX402"/>
    <mergeCell ref="HGY402:HHE402"/>
    <mergeCell ref="HHF402:HHL402"/>
    <mergeCell ref="HHM402:HHS402"/>
    <mergeCell ref="HHT402:HHZ402"/>
    <mergeCell ref="HIA402:HIG402"/>
    <mergeCell ref="HIH402:HIN402"/>
    <mergeCell ref="HIO402:HIU402"/>
    <mergeCell ref="HIV402:HJB402"/>
    <mergeCell ref="HJC402:HJI402"/>
    <mergeCell ref="HJJ402:HJP402"/>
    <mergeCell ref="HJQ402:HJW402"/>
    <mergeCell ref="HJX402:HKD402"/>
    <mergeCell ref="HKE402:HKK402"/>
    <mergeCell ref="HKL402:HKR402"/>
    <mergeCell ref="HKS402:HKY402"/>
    <mergeCell ref="HKZ402:HLF402"/>
    <mergeCell ref="HLG402:HLM402"/>
    <mergeCell ref="HLN402:HLT402"/>
    <mergeCell ref="HLU402:HMA402"/>
    <mergeCell ref="HMB402:HMH402"/>
    <mergeCell ref="HMI402:HMO402"/>
    <mergeCell ref="HMP402:HMV402"/>
    <mergeCell ref="HMW402:HNC402"/>
    <mergeCell ref="HND402:HNJ402"/>
    <mergeCell ref="HNK402:HNQ402"/>
    <mergeCell ref="HNR402:HNX402"/>
    <mergeCell ref="HNY402:HOE402"/>
    <mergeCell ref="HOF402:HOL402"/>
    <mergeCell ref="HOM402:HOS402"/>
    <mergeCell ref="HOT402:HOZ402"/>
    <mergeCell ref="HPA402:HPG402"/>
    <mergeCell ref="HPH402:HPN402"/>
    <mergeCell ref="HPO402:HPU402"/>
    <mergeCell ref="HPV402:HQB402"/>
    <mergeCell ref="HQC402:HQI402"/>
    <mergeCell ref="HQJ402:HQP402"/>
    <mergeCell ref="HQQ402:HQW402"/>
    <mergeCell ref="HQX402:HRD402"/>
    <mergeCell ref="HRE402:HRK402"/>
    <mergeCell ref="HRL402:HRR402"/>
    <mergeCell ref="HRS402:HRY402"/>
    <mergeCell ref="HRZ402:HSF402"/>
    <mergeCell ref="HSG402:HSM402"/>
    <mergeCell ref="HSN402:HST402"/>
    <mergeCell ref="HSU402:HTA402"/>
    <mergeCell ref="HTB402:HTH402"/>
    <mergeCell ref="HTI402:HTO402"/>
    <mergeCell ref="HTP402:HTV402"/>
    <mergeCell ref="HTW402:HUC402"/>
    <mergeCell ref="HUD402:HUJ402"/>
    <mergeCell ref="HUK402:HUQ402"/>
    <mergeCell ref="HUR402:HUX402"/>
    <mergeCell ref="HUY402:HVE402"/>
    <mergeCell ref="HVF402:HVL402"/>
    <mergeCell ref="HVM402:HVS402"/>
    <mergeCell ref="HVT402:HVZ402"/>
    <mergeCell ref="HWA402:HWG402"/>
    <mergeCell ref="HWH402:HWN402"/>
    <mergeCell ref="HWO402:HWU402"/>
    <mergeCell ref="HWV402:HXB402"/>
    <mergeCell ref="HXC402:HXI402"/>
    <mergeCell ref="HXJ402:HXP402"/>
    <mergeCell ref="HXQ402:HXW402"/>
    <mergeCell ref="HXX402:HYD402"/>
    <mergeCell ref="HYE402:HYK402"/>
    <mergeCell ref="HYL402:HYR402"/>
    <mergeCell ref="HYS402:HYY402"/>
    <mergeCell ref="HYZ402:HZF402"/>
    <mergeCell ref="HZG402:HZM402"/>
    <mergeCell ref="HZN402:HZT402"/>
    <mergeCell ref="HZU402:IAA402"/>
    <mergeCell ref="IAB402:IAH402"/>
    <mergeCell ref="IAI402:IAO402"/>
    <mergeCell ref="IAP402:IAV402"/>
    <mergeCell ref="IAW402:IBC402"/>
    <mergeCell ref="IBD402:IBJ402"/>
    <mergeCell ref="IBK402:IBQ402"/>
    <mergeCell ref="IBR402:IBX402"/>
    <mergeCell ref="IBY402:ICE402"/>
    <mergeCell ref="ICF402:ICL402"/>
    <mergeCell ref="ICM402:ICS402"/>
    <mergeCell ref="ICT402:ICZ402"/>
    <mergeCell ref="IDA402:IDG402"/>
    <mergeCell ref="IDH402:IDN402"/>
    <mergeCell ref="IDO402:IDU402"/>
    <mergeCell ref="IDV402:IEB402"/>
    <mergeCell ref="IEC402:IEI402"/>
    <mergeCell ref="IEJ402:IEP402"/>
    <mergeCell ref="IEQ402:IEW402"/>
    <mergeCell ref="IEX402:IFD402"/>
    <mergeCell ref="IFE402:IFK402"/>
    <mergeCell ref="IFL402:IFR402"/>
    <mergeCell ref="IFS402:IFY402"/>
    <mergeCell ref="IFZ402:IGF402"/>
    <mergeCell ref="IGG402:IGM402"/>
    <mergeCell ref="IGN402:IGT402"/>
    <mergeCell ref="IGU402:IHA402"/>
    <mergeCell ref="IHB402:IHH402"/>
    <mergeCell ref="IHI402:IHO402"/>
    <mergeCell ref="IHP402:IHV402"/>
    <mergeCell ref="IHW402:IIC402"/>
    <mergeCell ref="IID402:IIJ402"/>
    <mergeCell ref="IIK402:IIQ402"/>
    <mergeCell ref="IIR402:IIX402"/>
    <mergeCell ref="IIY402:IJE402"/>
    <mergeCell ref="IJF402:IJL402"/>
    <mergeCell ref="IJM402:IJS402"/>
    <mergeCell ref="IJT402:IJZ402"/>
    <mergeCell ref="IKA402:IKG402"/>
    <mergeCell ref="IKH402:IKN402"/>
    <mergeCell ref="IKO402:IKU402"/>
    <mergeCell ref="IKV402:ILB402"/>
    <mergeCell ref="ILC402:ILI402"/>
    <mergeCell ref="ILJ402:ILP402"/>
    <mergeCell ref="ILQ402:ILW402"/>
    <mergeCell ref="ILX402:IMD402"/>
    <mergeCell ref="IME402:IMK402"/>
    <mergeCell ref="IML402:IMR402"/>
    <mergeCell ref="IMS402:IMY402"/>
    <mergeCell ref="IMZ402:INF402"/>
    <mergeCell ref="ING402:INM402"/>
    <mergeCell ref="INN402:INT402"/>
    <mergeCell ref="INU402:IOA402"/>
    <mergeCell ref="IOB402:IOH402"/>
    <mergeCell ref="IOI402:IOO402"/>
    <mergeCell ref="IOP402:IOV402"/>
    <mergeCell ref="IOW402:IPC402"/>
    <mergeCell ref="IPD402:IPJ402"/>
    <mergeCell ref="IPK402:IPQ402"/>
    <mergeCell ref="IPR402:IPX402"/>
    <mergeCell ref="IPY402:IQE402"/>
    <mergeCell ref="IQF402:IQL402"/>
    <mergeCell ref="IQM402:IQS402"/>
    <mergeCell ref="IQT402:IQZ402"/>
    <mergeCell ref="IRA402:IRG402"/>
    <mergeCell ref="IRH402:IRN402"/>
    <mergeCell ref="IRO402:IRU402"/>
    <mergeCell ref="IRV402:ISB402"/>
    <mergeCell ref="ISC402:ISI402"/>
    <mergeCell ref="ISJ402:ISP402"/>
    <mergeCell ref="ISQ402:ISW402"/>
    <mergeCell ref="ISX402:ITD402"/>
    <mergeCell ref="ITE402:ITK402"/>
    <mergeCell ref="ITL402:ITR402"/>
    <mergeCell ref="ITS402:ITY402"/>
    <mergeCell ref="ITZ402:IUF402"/>
    <mergeCell ref="IUG402:IUM402"/>
    <mergeCell ref="IUN402:IUT402"/>
    <mergeCell ref="IUU402:IVA402"/>
    <mergeCell ref="IVB402:IVH402"/>
    <mergeCell ref="IVI402:IVO402"/>
    <mergeCell ref="IVP402:IVV402"/>
    <mergeCell ref="IVW402:IWC402"/>
    <mergeCell ref="IWD402:IWJ402"/>
    <mergeCell ref="IWK402:IWQ402"/>
    <mergeCell ref="IWR402:IWX402"/>
    <mergeCell ref="IWY402:IXE402"/>
    <mergeCell ref="IXF402:IXL402"/>
    <mergeCell ref="IXM402:IXS402"/>
    <mergeCell ref="IXT402:IXZ402"/>
    <mergeCell ref="IYA402:IYG402"/>
    <mergeCell ref="IYH402:IYN402"/>
    <mergeCell ref="IYO402:IYU402"/>
    <mergeCell ref="IYV402:IZB402"/>
    <mergeCell ref="IZC402:IZI402"/>
    <mergeCell ref="IZJ402:IZP402"/>
    <mergeCell ref="IZQ402:IZW402"/>
    <mergeCell ref="IZX402:JAD402"/>
    <mergeCell ref="JAE402:JAK402"/>
    <mergeCell ref="JAL402:JAR402"/>
    <mergeCell ref="JAS402:JAY402"/>
    <mergeCell ref="JAZ402:JBF402"/>
    <mergeCell ref="JBG402:JBM402"/>
    <mergeCell ref="JBN402:JBT402"/>
    <mergeCell ref="JBU402:JCA402"/>
    <mergeCell ref="JCB402:JCH402"/>
    <mergeCell ref="JCI402:JCO402"/>
    <mergeCell ref="JCP402:JCV402"/>
    <mergeCell ref="JCW402:JDC402"/>
    <mergeCell ref="JDD402:JDJ402"/>
    <mergeCell ref="JDK402:JDQ402"/>
    <mergeCell ref="JDR402:JDX402"/>
    <mergeCell ref="JDY402:JEE402"/>
    <mergeCell ref="JEF402:JEL402"/>
    <mergeCell ref="JEM402:JES402"/>
    <mergeCell ref="JET402:JEZ402"/>
    <mergeCell ref="JFA402:JFG402"/>
    <mergeCell ref="JFH402:JFN402"/>
    <mergeCell ref="JFO402:JFU402"/>
    <mergeCell ref="JFV402:JGB402"/>
    <mergeCell ref="JGC402:JGI402"/>
    <mergeCell ref="JGJ402:JGP402"/>
    <mergeCell ref="JGQ402:JGW402"/>
    <mergeCell ref="JGX402:JHD402"/>
    <mergeCell ref="JHE402:JHK402"/>
    <mergeCell ref="JHL402:JHR402"/>
    <mergeCell ref="JHS402:JHY402"/>
    <mergeCell ref="JHZ402:JIF402"/>
    <mergeCell ref="JIG402:JIM402"/>
    <mergeCell ref="JIN402:JIT402"/>
    <mergeCell ref="JIU402:JJA402"/>
    <mergeCell ref="JJB402:JJH402"/>
    <mergeCell ref="JJI402:JJO402"/>
    <mergeCell ref="JJP402:JJV402"/>
    <mergeCell ref="JJW402:JKC402"/>
    <mergeCell ref="JKD402:JKJ402"/>
    <mergeCell ref="JKK402:JKQ402"/>
    <mergeCell ref="JKR402:JKX402"/>
    <mergeCell ref="JKY402:JLE402"/>
    <mergeCell ref="JLF402:JLL402"/>
    <mergeCell ref="JLM402:JLS402"/>
    <mergeCell ref="JLT402:JLZ402"/>
    <mergeCell ref="JMA402:JMG402"/>
    <mergeCell ref="JMH402:JMN402"/>
    <mergeCell ref="JMO402:JMU402"/>
    <mergeCell ref="JMV402:JNB402"/>
    <mergeCell ref="JNC402:JNI402"/>
    <mergeCell ref="JNJ402:JNP402"/>
    <mergeCell ref="JNQ402:JNW402"/>
    <mergeCell ref="JNX402:JOD402"/>
    <mergeCell ref="JOE402:JOK402"/>
    <mergeCell ref="JOL402:JOR402"/>
    <mergeCell ref="JOS402:JOY402"/>
    <mergeCell ref="JOZ402:JPF402"/>
    <mergeCell ref="JPG402:JPM402"/>
    <mergeCell ref="JPN402:JPT402"/>
    <mergeCell ref="JPU402:JQA402"/>
    <mergeCell ref="JQB402:JQH402"/>
    <mergeCell ref="JQI402:JQO402"/>
    <mergeCell ref="JQP402:JQV402"/>
    <mergeCell ref="JQW402:JRC402"/>
    <mergeCell ref="JRD402:JRJ402"/>
    <mergeCell ref="JRK402:JRQ402"/>
    <mergeCell ref="JRR402:JRX402"/>
    <mergeCell ref="JRY402:JSE402"/>
    <mergeCell ref="JSF402:JSL402"/>
    <mergeCell ref="JSM402:JSS402"/>
    <mergeCell ref="JST402:JSZ402"/>
    <mergeCell ref="JTA402:JTG402"/>
    <mergeCell ref="JTH402:JTN402"/>
    <mergeCell ref="JTO402:JTU402"/>
    <mergeCell ref="JTV402:JUB402"/>
    <mergeCell ref="JUC402:JUI402"/>
    <mergeCell ref="JUJ402:JUP402"/>
    <mergeCell ref="JUQ402:JUW402"/>
    <mergeCell ref="JUX402:JVD402"/>
    <mergeCell ref="JVE402:JVK402"/>
    <mergeCell ref="JVL402:JVR402"/>
    <mergeCell ref="JVS402:JVY402"/>
    <mergeCell ref="JVZ402:JWF402"/>
    <mergeCell ref="JWG402:JWM402"/>
    <mergeCell ref="JWN402:JWT402"/>
    <mergeCell ref="JWU402:JXA402"/>
    <mergeCell ref="JXB402:JXH402"/>
    <mergeCell ref="JXI402:JXO402"/>
    <mergeCell ref="JXP402:JXV402"/>
    <mergeCell ref="JXW402:JYC402"/>
    <mergeCell ref="JYD402:JYJ402"/>
    <mergeCell ref="JYK402:JYQ402"/>
    <mergeCell ref="JYR402:JYX402"/>
    <mergeCell ref="JYY402:JZE402"/>
    <mergeCell ref="JZF402:JZL402"/>
    <mergeCell ref="JZM402:JZS402"/>
    <mergeCell ref="JZT402:JZZ402"/>
    <mergeCell ref="KAA402:KAG402"/>
    <mergeCell ref="KAH402:KAN402"/>
    <mergeCell ref="KAO402:KAU402"/>
    <mergeCell ref="KAV402:KBB402"/>
    <mergeCell ref="KBC402:KBI402"/>
    <mergeCell ref="KBJ402:KBP402"/>
    <mergeCell ref="KBQ402:KBW402"/>
    <mergeCell ref="KBX402:KCD402"/>
    <mergeCell ref="KCE402:KCK402"/>
    <mergeCell ref="KCL402:KCR402"/>
    <mergeCell ref="KCS402:KCY402"/>
    <mergeCell ref="KCZ402:KDF402"/>
    <mergeCell ref="KDG402:KDM402"/>
    <mergeCell ref="KDN402:KDT402"/>
    <mergeCell ref="KDU402:KEA402"/>
    <mergeCell ref="KEB402:KEH402"/>
    <mergeCell ref="KEI402:KEO402"/>
    <mergeCell ref="KEP402:KEV402"/>
    <mergeCell ref="KEW402:KFC402"/>
    <mergeCell ref="KFD402:KFJ402"/>
    <mergeCell ref="KFK402:KFQ402"/>
    <mergeCell ref="KFR402:KFX402"/>
    <mergeCell ref="KFY402:KGE402"/>
    <mergeCell ref="KGF402:KGL402"/>
    <mergeCell ref="KGM402:KGS402"/>
    <mergeCell ref="KGT402:KGZ402"/>
    <mergeCell ref="KHA402:KHG402"/>
    <mergeCell ref="KHH402:KHN402"/>
    <mergeCell ref="KHO402:KHU402"/>
    <mergeCell ref="KHV402:KIB402"/>
    <mergeCell ref="KIC402:KII402"/>
    <mergeCell ref="KIJ402:KIP402"/>
    <mergeCell ref="KIQ402:KIW402"/>
    <mergeCell ref="KIX402:KJD402"/>
    <mergeCell ref="KJE402:KJK402"/>
    <mergeCell ref="KJL402:KJR402"/>
    <mergeCell ref="KJS402:KJY402"/>
    <mergeCell ref="KJZ402:KKF402"/>
    <mergeCell ref="KKG402:KKM402"/>
    <mergeCell ref="KKN402:KKT402"/>
    <mergeCell ref="KKU402:KLA402"/>
    <mergeCell ref="KLB402:KLH402"/>
    <mergeCell ref="KLI402:KLO402"/>
    <mergeCell ref="KLP402:KLV402"/>
    <mergeCell ref="KLW402:KMC402"/>
    <mergeCell ref="KMD402:KMJ402"/>
    <mergeCell ref="KMK402:KMQ402"/>
    <mergeCell ref="KMR402:KMX402"/>
    <mergeCell ref="KMY402:KNE402"/>
    <mergeCell ref="KNF402:KNL402"/>
    <mergeCell ref="KNM402:KNS402"/>
    <mergeCell ref="KNT402:KNZ402"/>
    <mergeCell ref="KOA402:KOG402"/>
    <mergeCell ref="KOH402:KON402"/>
    <mergeCell ref="KOO402:KOU402"/>
    <mergeCell ref="KOV402:KPB402"/>
    <mergeCell ref="KPC402:KPI402"/>
    <mergeCell ref="KPJ402:KPP402"/>
    <mergeCell ref="KPQ402:KPW402"/>
    <mergeCell ref="KPX402:KQD402"/>
    <mergeCell ref="KQE402:KQK402"/>
    <mergeCell ref="KQL402:KQR402"/>
    <mergeCell ref="KQS402:KQY402"/>
    <mergeCell ref="KQZ402:KRF402"/>
    <mergeCell ref="KRG402:KRM402"/>
    <mergeCell ref="KRN402:KRT402"/>
    <mergeCell ref="KRU402:KSA402"/>
    <mergeCell ref="KSB402:KSH402"/>
    <mergeCell ref="KSI402:KSO402"/>
    <mergeCell ref="KSP402:KSV402"/>
    <mergeCell ref="KSW402:KTC402"/>
    <mergeCell ref="KTD402:KTJ402"/>
    <mergeCell ref="KTK402:KTQ402"/>
    <mergeCell ref="KTR402:KTX402"/>
    <mergeCell ref="KTY402:KUE402"/>
    <mergeCell ref="KUF402:KUL402"/>
    <mergeCell ref="KUM402:KUS402"/>
    <mergeCell ref="KUT402:KUZ402"/>
    <mergeCell ref="KVA402:KVG402"/>
    <mergeCell ref="KVH402:KVN402"/>
    <mergeCell ref="KVO402:KVU402"/>
    <mergeCell ref="KVV402:KWB402"/>
    <mergeCell ref="KWC402:KWI402"/>
    <mergeCell ref="KWJ402:KWP402"/>
    <mergeCell ref="KWQ402:KWW402"/>
    <mergeCell ref="KWX402:KXD402"/>
    <mergeCell ref="KXE402:KXK402"/>
    <mergeCell ref="KXL402:KXR402"/>
    <mergeCell ref="KXS402:KXY402"/>
    <mergeCell ref="KXZ402:KYF402"/>
    <mergeCell ref="KYG402:KYM402"/>
    <mergeCell ref="KYN402:KYT402"/>
    <mergeCell ref="KYU402:KZA402"/>
    <mergeCell ref="KZB402:KZH402"/>
    <mergeCell ref="KZI402:KZO402"/>
    <mergeCell ref="KZP402:KZV402"/>
    <mergeCell ref="KZW402:LAC402"/>
    <mergeCell ref="LAD402:LAJ402"/>
    <mergeCell ref="LAK402:LAQ402"/>
    <mergeCell ref="LAR402:LAX402"/>
    <mergeCell ref="LAY402:LBE402"/>
    <mergeCell ref="LBF402:LBL402"/>
    <mergeCell ref="LBM402:LBS402"/>
    <mergeCell ref="LBT402:LBZ402"/>
    <mergeCell ref="LCA402:LCG402"/>
    <mergeCell ref="LCH402:LCN402"/>
    <mergeCell ref="LCO402:LCU402"/>
    <mergeCell ref="LCV402:LDB402"/>
    <mergeCell ref="LDC402:LDI402"/>
    <mergeCell ref="LDJ402:LDP402"/>
    <mergeCell ref="LDQ402:LDW402"/>
    <mergeCell ref="LDX402:LED402"/>
    <mergeCell ref="LEE402:LEK402"/>
    <mergeCell ref="LEL402:LER402"/>
    <mergeCell ref="LES402:LEY402"/>
    <mergeCell ref="LEZ402:LFF402"/>
    <mergeCell ref="LFG402:LFM402"/>
    <mergeCell ref="LFN402:LFT402"/>
    <mergeCell ref="LFU402:LGA402"/>
    <mergeCell ref="LGB402:LGH402"/>
    <mergeCell ref="LGI402:LGO402"/>
    <mergeCell ref="LGP402:LGV402"/>
    <mergeCell ref="LGW402:LHC402"/>
    <mergeCell ref="LHD402:LHJ402"/>
    <mergeCell ref="LHK402:LHQ402"/>
    <mergeCell ref="LHR402:LHX402"/>
    <mergeCell ref="LHY402:LIE402"/>
    <mergeCell ref="LIF402:LIL402"/>
    <mergeCell ref="LIM402:LIS402"/>
    <mergeCell ref="LIT402:LIZ402"/>
    <mergeCell ref="LJA402:LJG402"/>
    <mergeCell ref="LJH402:LJN402"/>
    <mergeCell ref="LJO402:LJU402"/>
    <mergeCell ref="LJV402:LKB402"/>
    <mergeCell ref="LKC402:LKI402"/>
    <mergeCell ref="LKJ402:LKP402"/>
    <mergeCell ref="LKQ402:LKW402"/>
    <mergeCell ref="LKX402:LLD402"/>
    <mergeCell ref="LLE402:LLK402"/>
    <mergeCell ref="LLL402:LLR402"/>
    <mergeCell ref="LLS402:LLY402"/>
    <mergeCell ref="LLZ402:LMF402"/>
    <mergeCell ref="LMG402:LMM402"/>
    <mergeCell ref="LMN402:LMT402"/>
    <mergeCell ref="LMU402:LNA402"/>
    <mergeCell ref="LNB402:LNH402"/>
    <mergeCell ref="LNI402:LNO402"/>
    <mergeCell ref="LNP402:LNV402"/>
    <mergeCell ref="LNW402:LOC402"/>
    <mergeCell ref="LOD402:LOJ402"/>
    <mergeCell ref="LOK402:LOQ402"/>
    <mergeCell ref="LOR402:LOX402"/>
    <mergeCell ref="LOY402:LPE402"/>
    <mergeCell ref="LPF402:LPL402"/>
    <mergeCell ref="LPM402:LPS402"/>
    <mergeCell ref="LPT402:LPZ402"/>
    <mergeCell ref="LQA402:LQG402"/>
    <mergeCell ref="LQH402:LQN402"/>
    <mergeCell ref="LQO402:LQU402"/>
    <mergeCell ref="LQV402:LRB402"/>
    <mergeCell ref="LRC402:LRI402"/>
    <mergeCell ref="LRJ402:LRP402"/>
    <mergeCell ref="LRQ402:LRW402"/>
    <mergeCell ref="LRX402:LSD402"/>
    <mergeCell ref="LSE402:LSK402"/>
    <mergeCell ref="LSL402:LSR402"/>
    <mergeCell ref="LSS402:LSY402"/>
    <mergeCell ref="LSZ402:LTF402"/>
    <mergeCell ref="LTG402:LTM402"/>
    <mergeCell ref="LTN402:LTT402"/>
    <mergeCell ref="LTU402:LUA402"/>
    <mergeCell ref="LUB402:LUH402"/>
    <mergeCell ref="LUI402:LUO402"/>
    <mergeCell ref="LUP402:LUV402"/>
    <mergeCell ref="LUW402:LVC402"/>
    <mergeCell ref="LVD402:LVJ402"/>
    <mergeCell ref="LVK402:LVQ402"/>
    <mergeCell ref="LVR402:LVX402"/>
    <mergeCell ref="LVY402:LWE402"/>
    <mergeCell ref="LWF402:LWL402"/>
    <mergeCell ref="LWM402:LWS402"/>
    <mergeCell ref="LWT402:LWZ402"/>
    <mergeCell ref="LXA402:LXG402"/>
    <mergeCell ref="LXH402:LXN402"/>
    <mergeCell ref="LXO402:LXU402"/>
    <mergeCell ref="LXV402:LYB402"/>
    <mergeCell ref="LYC402:LYI402"/>
    <mergeCell ref="LYJ402:LYP402"/>
    <mergeCell ref="LYQ402:LYW402"/>
    <mergeCell ref="LYX402:LZD402"/>
    <mergeCell ref="LZE402:LZK402"/>
    <mergeCell ref="LZL402:LZR402"/>
    <mergeCell ref="LZS402:LZY402"/>
    <mergeCell ref="LZZ402:MAF402"/>
    <mergeCell ref="MAG402:MAM402"/>
    <mergeCell ref="MAN402:MAT402"/>
    <mergeCell ref="MAU402:MBA402"/>
    <mergeCell ref="MBB402:MBH402"/>
    <mergeCell ref="MBI402:MBO402"/>
    <mergeCell ref="MBP402:MBV402"/>
    <mergeCell ref="MBW402:MCC402"/>
    <mergeCell ref="MCD402:MCJ402"/>
    <mergeCell ref="MCK402:MCQ402"/>
    <mergeCell ref="MCR402:MCX402"/>
    <mergeCell ref="MCY402:MDE402"/>
    <mergeCell ref="MDF402:MDL402"/>
    <mergeCell ref="MDM402:MDS402"/>
    <mergeCell ref="MDT402:MDZ402"/>
    <mergeCell ref="MEA402:MEG402"/>
    <mergeCell ref="MEH402:MEN402"/>
    <mergeCell ref="MEO402:MEU402"/>
    <mergeCell ref="MEV402:MFB402"/>
    <mergeCell ref="MFC402:MFI402"/>
    <mergeCell ref="MFJ402:MFP402"/>
    <mergeCell ref="MFQ402:MFW402"/>
    <mergeCell ref="MFX402:MGD402"/>
    <mergeCell ref="MGE402:MGK402"/>
    <mergeCell ref="MGL402:MGR402"/>
    <mergeCell ref="MGS402:MGY402"/>
    <mergeCell ref="MGZ402:MHF402"/>
    <mergeCell ref="MHG402:MHM402"/>
    <mergeCell ref="MHN402:MHT402"/>
    <mergeCell ref="MHU402:MIA402"/>
    <mergeCell ref="MIB402:MIH402"/>
    <mergeCell ref="MII402:MIO402"/>
    <mergeCell ref="MIP402:MIV402"/>
    <mergeCell ref="MIW402:MJC402"/>
    <mergeCell ref="MJD402:MJJ402"/>
    <mergeCell ref="MJK402:MJQ402"/>
    <mergeCell ref="MJR402:MJX402"/>
    <mergeCell ref="MJY402:MKE402"/>
    <mergeCell ref="MKF402:MKL402"/>
    <mergeCell ref="MKM402:MKS402"/>
    <mergeCell ref="MKT402:MKZ402"/>
    <mergeCell ref="MLA402:MLG402"/>
    <mergeCell ref="MLH402:MLN402"/>
    <mergeCell ref="MLO402:MLU402"/>
    <mergeCell ref="MLV402:MMB402"/>
    <mergeCell ref="MMC402:MMI402"/>
    <mergeCell ref="MMJ402:MMP402"/>
    <mergeCell ref="MMQ402:MMW402"/>
    <mergeCell ref="MMX402:MND402"/>
    <mergeCell ref="MNE402:MNK402"/>
    <mergeCell ref="MNL402:MNR402"/>
    <mergeCell ref="MNS402:MNY402"/>
    <mergeCell ref="MNZ402:MOF402"/>
    <mergeCell ref="MOG402:MOM402"/>
    <mergeCell ref="MON402:MOT402"/>
    <mergeCell ref="MOU402:MPA402"/>
    <mergeCell ref="MPB402:MPH402"/>
    <mergeCell ref="MPI402:MPO402"/>
    <mergeCell ref="MPP402:MPV402"/>
    <mergeCell ref="MPW402:MQC402"/>
    <mergeCell ref="MQD402:MQJ402"/>
    <mergeCell ref="MQK402:MQQ402"/>
    <mergeCell ref="MQR402:MQX402"/>
    <mergeCell ref="MQY402:MRE402"/>
    <mergeCell ref="MRF402:MRL402"/>
    <mergeCell ref="MRM402:MRS402"/>
    <mergeCell ref="MRT402:MRZ402"/>
    <mergeCell ref="MSA402:MSG402"/>
    <mergeCell ref="MSH402:MSN402"/>
    <mergeCell ref="MSO402:MSU402"/>
    <mergeCell ref="MSV402:MTB402"/>
    <mergeCell ref="MTC402:MTI402"/>
    <mergeCell ref="MTJ402:MTP402"/>
    <mergeCell ref="MTQ402:MTW402"/>
    <mergeCell ref="MTX402:MUD402"/>
    <mergeCell ref="MUE402:MUK402"/>
    <mergeCell ref="MUL402:MUR402"/>
    <mergeCell ref="MUS402:MUY402"/>
    <mergeCell ref="MUZ402:MVF402"/>
    <mergeCell ref="MVG402:MVM402"/>
    <mergeCell ref="MVN402:MVT402"/>
    <mergeCell ref="MVU402:MWA402"/>
    <mergeCell ref="MWB402:MWH402"/>
    <mergeCell ref="MWI402:MWO402"/>
    <mergeCell ref="MWP402:MWV402"/>
    <mergeCell ref="MWW402:MXC402"/>
    <mergeCell ref="MXD402:MXJ402"/>
    <mergeCell ref="MXK402:MXQ402"/>
    <mergeCell ref="MXR402:MXX402"/>
    <mergeCell ref="MXY402:MYE402"/>
    <mergeCell ref="MYF402:MYL402"/>
    <mergeCell ref="MYM402:MYS402"/>
    <mergeCell ref="MYT402:MYZ402"/>
    <mergeCell ref="MZA402:MZG402"/>
    <mergeCell ref="MZH402:MZN402"/>
    <mergeCell ref="MZO402:MZU402"/>
    <mergeCell ref="MZV402:NAB402"/>
    <mergeCell ref="NAC402:NAI402"/>
    <mergeCell ref="NAJ402:NAP402"/>
    <mergeCell ref="NAQ402:NAW402"/>
    <mergeCell ref="NAX402:NBD402"/>
    <mergeCell ref="NBE402:NBK402"/>
    <mergeCell ref="NBL402:NBR402"/>
    <mergeCell ref="NBS402:NBY402"/>
    <mergeCell ref="NBZ402:NCF402"/>
    <mergeCell ref="NCG402:NCM402"/>
    <mergeCell ref="NCN402:NCT402"/>
    <mergeCell ref="NCU402:NDA402"/>
    <mergeCell ref="NDB402:NDH402"/>
    <mergeCell ref="NDI402:NDO402"/>
    <mergeCell ref="NDP402:NDV402"/>
    <mergeCell ref="NDW402:NEC402"/>
    <mergeCell ref="NED402:NEJ402"/>
    <mergeCell ref="NEK402:NEQ402"/>
    <mergeCell ref="NER402:NEX402"/>
    <mergeCell ref="NEY402:NFE402"/>
    <mergeCell ref="NFF402:NFL402"/>
    <mergeCell ref="NFM402:NFS402"/>
    <mergeCell ref="NFT402:NFZ402"/>
    <mergeCell ref="NGA402:NGG402"/>
    <mergeCell ref="NGH402:NGN402"/>
    <mergeCell ref="NGO402:NGU402"/>
    <mergeCell ref="NGV402:NHB402"/>
    <mergeCell ref="NHC402:NHI402"/>
    <mergeCell ref="NHJ402:NHP402"/>
    <mergeCell ref="NHQ402:NHW402"/>
    <mergeCell ref="NHX402:NID402"/>
    <mergeCell ref="NIE402:NIK402"/>
    <mergeCell ref="NIL402:NIR402"/>
    <mergeCell ref="NIS402:NIY402"/>
    <mergeCell ref="NIZ402:NJF402"/>
    <mergeCell ref="NJG402:NJM402"/>
    <mergeCell ref="NJN402:NJT402"/>
    <mergeCell ref="NJU402:NKA402"/>
    <mergeCell ref="NKB402:NKH402"/>
    <mergeCell ref="NKI402:NKO402"/>
    <mergeCell ref="NKP402:NKV402"/>
    <mergeCell ref="NKW402:NLC402"/>
    <mergeCell ref="NLD402:NLJ402"/>
    <mergeCell ref="NLK402:NLQ402"/>
    <mergeCell ref="NLR402:NLX402"/>
    <mergeCell ref="NLY402:NME402"/>
    <mergeCell ref="NMF402:NML402"/>
    <mergeCell ref="NMM402:NMS402"/>
    <mergeCell ref="NMT402:NMZ402"/>
    <mergeCell ref="NNA402:NNG402"/>
    <mergeCell ref="NNH402:NNN402"/>
    <mergeCell ref="NNO402:NNU402"/>
    <mergeCell ref="NNV402:NOB402"/>
    <mergeCell ref="NOC402:NOI402"/>
    <mergeCell ref="NOJ402:NOP402"/>
    <mergeCell ref="NOQ402:NOW402"/>
    <mergeCell ref="NOX402:NPD402"/>
    <mergeCell ref="NPE402:NPK402"/>
    <mergeCell ref="NPL402:NPR402"/>
    <mergeCell ref="NPS402:NPY402"/>
    <mergeCell ref="NPZ402:NQF402"/>
    <mergeCell ref="NQG402:NQM402"/>
    <mergeCell ref="NQN402:NQT402"/>
    <mergeCell ref="NQU402:NRA402"/>
    <mergeCell ref="NRB402:NRH402"/>
    <mergeCell ref="NRI402:NRO402"/>
    <mergeCell ref="NRP402:NRV402"/>
    <mergeCell ref="NRW402:NSC402"/>
    <mergeCell ref="NSD402:NSJ402"/>
    <mergeCell ref="NSK402:NSQ402"/>
    <mergeCell ref="NSR402:NSX402"/>
    <mergeCell ref="NSY402:NTE402"/>
    <mergeCell ref="NTF402:NTL402"/>
    <mergeCell ref="NTM402:NTS402"/>
    <mergeCell ref="NTT402:NTZ402"/>
    <mergeCell ref="NUA402:NUG402"/>
    <mergeCell ref="NUH402:NUN402"/>
    <mergeCell ref="NUO402:NUU402"/>
    <mergeCell ref="NUV402:NVB402"/>
    <mergeCell ref="NVC402:NVI402"/>
    <mergeCell ref="NVJ402:NVP402"/>
    <mergeCell ref="NVQ402:NVW402"/>
    <mergeCell ref="NVX402:NWD402"/>
    <mergeCell ref="NWE402:NWK402"/>
    <mergeCell ref="NWL402:NWR402"/>
    <mergeCell ref="NWS402:NWY402"/>
    <mergeCell ref="NWZ402:NXF402"/>
    <mergeCell ref="NXG402:NXM402"/>
    <mergeCell ref="NXN402:NXT402"/>
    <mergeCell ref="NXU402:NYA402"/>
    <mergeCell ref="NYB402:NYH402"/>
    <mergeCell ref="NYI402:NYO402"/>
    <mergeCell ref="NYP402:NYV402"/>
    <mergeCell ref="NYW402:NZC402"/>
    <mergeCell ref="NZD402:NZJ402"/>
    <mergeCell ref="NZK402:NZQ402"/>
    <mergeCell ref="NZR402:NZX402"/>
    <mergeCell ref="NZY402:OAE402"/>
    <mergeCell ref="OAF402:OAL402"/>
    <mergeCell ref="OAM402:OAS402"/>
    <mergeCell ref="OAT402:OAZ402"/>
    <mergeCell ref="OBA402:OBG402"/>
    <mergeCell ref="OBH402:OBN402"/>
    <mergeCell ref="OBO402:OBU402"/>
    <mergeCell ref="OBV402:OCB402"/>
    <mergeCell ref="OCC402:OCI402"/>
    <mergeCell ref="OCJ402:OCP402"/>
    <mergeCell ref="OCQ402:OCW402"/>
    <mergeCell ref="OCX402:ODD402"/>
    <mergeCell ref="ODE402:ODK402"/>
    <mergeCell ref="ODL402:ODR402"/>
    <mergeCell ref="ODS402:ODY402"/>
    <mergeCell ref="ODZ402:OEF402"/>
    <mergeCell ref="OEG402:OEM402"/>
    <mergeCell ref="OEN402:OET402"/>
    <mergeCell ref="OEU402:OFA402"/>
    <mergeCell ref="OFB402:OFH402"/>
    <mergeCell ref="OFI402:OFO402"/>
    <mergeCell ref="OFP402:OFV402"/>
    <mergeCell ref="OFW402:OGC402"/>
    <mergeCell ref="OGD402:OGJ402"/>
    <mergeCell ref="OGK402:OGQ402"/>
    <mergeCell ref="OGR402:OGX402"/>
    <mergeCell ref="OGY402:OHE402"/>
    <mergeCell ref="OHF402:OHL402"/>
    <mergeCell ref="OHM402:OHS402"/>
    <mergeCell ref="OHT402:OHZ402"/>
    <mergeCell ref="OIA402:OIG402"/>
    <mergeCell ref="OIH402:OIN402"/>
    <mergeCell ref="OIO402:OIU402"/>
    <mergeCell ref="OIV402:OJB402"/>
    <mergeCell ref="OJC402:OJI402"/>
    <mergeCell ref="OJJ402:OJP402"/>
    <mergeCell ref="OJQ402:OJW402"/>
    <mergeCell ref="OJX402:OKD402"/>
    <mergeCell ref="OKE402:OKK402"/>
    <mergeCell ref="OKL402:OKR402"/>
    <mergeCell ref="OKS402:OKY402"/>
    <mergeCell ref="OKZ402:OLF402"/>
    <mergeCell ref="OLG402:OLM402"/>
    <mergeCell ref="OLN402:OLT402"/>
    <mergeCell ref="OLU402:OMA402"/>
    <mergeCell ref="OMB402:OMH402"/>
    <mergeCell ref="OMI402:OMO402"/>
    <mergeCell ref="OMP402:OMV402"/>
    <mergeCell ref="OMW402:ONC402"/>
    <mergeCell ref="OND402:ONJ402"/>
    <mergeCell ref="ONK402:ONQ402"/>
    <mergeCell ref="ONR402:ONX402"/>
    <mergeCell ref="ONY402:OOE402"/>
    <mergeCell ref="OOF402:OOL402"/>
    <mergeCell ref="OOM402:OOS402"/>
    <mergeCell ref="OOT402:OOZ402"/>
    <mergeCell ref="OPA402:OPG402"/>
    <mergeCell ref="OPH402:OPN402"/>
    <mergeCell ref="OPO402:OPU402"/>
    <mergeCell ref="OPV402:OQB402"/>
    <mergeCell ref="OQC402:OQI402"/>
    <mergeCell ref="OQJ402:OQP402"/>
    <mergeCell ref="OQQ402:OQW402"/>
    <mergeCell ref="OQX402:ORD402"/>
    <mergeCell ref="ORE402:ORK402"/>
    <mergeCell ref="ORL402:ORR402"/>
    <mergeCell ref="ORS402:ORY402"/>
    <mergeCell ref="ORZ402:OSF402"/>
    <mergeCell ref="OSG402:OSM402"/>
    <mergeCell ref="OSN402:OST402"/>
    <mergeCell ref="OSU402:OTA402"/>
    <mergeCell ref="OTB402:OTH402"/>
    <mergeCell ref="OTI402:OTO402"/>
    <mergeCell ref="OTP402:OTV402"/>
    <mergeCell ref="OTW402:OUC402"/>
    <mergeCell ref="OUD402:OUJ402"/>
    <mergeCell ref="OUK402:OUQ402"/>
    <mergeCell ref="OUR402:OUX402"/>
    <mergeCell ref="OUY402:OVE402"/>
    <mergeCell ref="OVF402:OVL402"/>
    <mergeCell ref="OVM402:OVS402"/>
    <mergeCell ref="OVT402:OVZ402"/>
    <mergeCell ref="OWA402:OWG402"/>
    <mergeCell ref="OWH402:OWN402"/>
    <mergeCell ref="OWO402:OWU402"/>
    <mergeCell ref="OWV402:OXB402"/>
    <mergeCell ref="OXC402:OXI402"/>
    <mergeCell ref="OXJ402:OXP402"/>
    <mergeCell ref="OXQ402:OXW402"/>
    <mergeCell ref="OXX402:OYD402"/>
    <mergeCell ref="OYE402:OYK402"/>
    <mergeCell ref="OYL402:OYR402"/>
    <mergeCell ref="OYS402:OYY402"/>
    <mergeCell ref="OYZ402:OZF402"/>
    <mergeCell ref="OZG402:OZM402"/>
    <mergeCell ref="OZN402:OZT402"/>
    <mergeCell ref="OZU402:PAA402"/>
    <mergeCell ref="PAB402:PAH402"/>
    <mergeCell ref="PAI402:PAO402"/>
    <mergeCell ref="PAP402:PAV402"/>
    <mergeCell ref="PAW402:PBC402"/>
    <mergeCell ref="PBD402:PBJ402"/>
    <mergeCell ref="PBK402:PBQ402"/>
    <mergeCell ref="PBR402:PBX402"/>
    <mergeCell ref="PBY402:PCE402"/>
    <mergeCell ref="PCF402:PCL402"/>
    <mergeCell ref="PCM402:PCS402"/>
    <mergeCell ref="PCT402:PCZ402"/>
    <mergeCell ref="PDA402:PDG402"/>
    <mergeCell ref="PDH402:PDN402"/>
    <mergeCell ref="PDO402:PDU402"/>
    <mergeCell ref="PDV402:PEB402"/>
    <mergeCell ref="PEC402:PEI402"/>
    <mergeCell ref="PEJ402:PEP402"/>
    <mergeCell ref="PEQ402:PEW402"/>
    <mergeCell ref="PEX402:PFD402"/>
    <mergeCell ref="PFE402:PFK402"/>
    <mergeCell ref="PFL402:PFR402"/>
    <mergeCell ref="PFS402:PFY402"/>
    <mergeCell ref="PFZ402:PGF402"/>
    <mergeCell ref="PGG402:PGM402"/>
    <mergeCell ref="PGN402:PGT402"/>
    <mergeCell ref="PGU402:PHA402"/>
    <mergeCell ref="PHB402:PHH402"/>
    <mergeCell ref="PHI402:PHO402"/>
    <mergeCell ref="PHP402:PHV402"/>
    <mergeCell ref="PHW402:PIC402"/>
    <mergeCell ref="PID402:PIJ402"/>
    <mergeCell ref="PIK402:PIQ402"/>
    <mergeCell ref="PIR402:PIX402"/>
    <mergeCell ref="PIY402:PJE402"/>
    <mergeCell ref="PJF402:PJL402"/>
    <mergeCell ref="PJM402:PJS402"/>
    <mergeCell ref="PJT402:PJZ402"/>
    <mergeCell ref="PKA402:PKG402"/>
    <mergeCell ref="PKH402:PKN402"/>
    <mergeCell ref="PKO402:PKU402"/>
    <mergeCell ref="PKV402:PLB402"/>
    <mergeCell ref="PLC402:PLI402"/>
    <mergeCell ref="PLJ402:PLP402"/>
    <mergeCell ref="PLQ402:PLW402"/>
    <mergeCell ref="PLX402:PMD402"/>
    <mergeCell ref="PME402:PMK402"/>
    <mergeCell ref="PML402:PMR402"/>
    <mergeCell ref="PMS402:PMY402"/>
    <mergeCell ref="PMZ402:PNF402"/>
    <mergeCell ref="PNG402:PNM402"/>
    <mergeCell ref="PNN402:PNT402"/>
    <mergeCell ref="PNU402:POA402"/>
    <mergeCell ref="POB402:POH402"/>
    <mergeCell ref="POI402:POO402"/>
    <mergeCell ref="POP402:POV402"/>
    <mergeCell ref="POW402:PPC402"/>
    <mergeCell ref="PPD402:PPJ402"/>
    <mergeCell ref="PPK402:PPQ402"/>
    <mergeCell ref="PPR402:PPX402"/>
    <mergeCell ref="PPY402:PQE402"/>
    <mergeCell ref="PQF402:PQL402"/>
    <mergeCell ref="PQM402:PQS402"/>
    <mergeCell ref="PQT402:PQZ402"/>
    <mergeCell ref="PRA402:PRG402"/>
    <mergeCell ref="PRH402:PRN402"/>
    <mergeCell ref="PRO402:PRU402"/>
    <mergeCell ref="PRV402:PSB402"/>
    <mergeCell ref="PSC402:PSI402"/>
    <mergeCell ref="PSJ402:PSP402"/>
    <mergeCell ref="PSQ402:PSW402"/>
    <mergeCell ref="PSX402:PTD402"/>
    <mergeCell ref="PTE402:PTK402"/>
    <mergeCell ref="PTL402:PTR402"/>
    <mergeCell ref="PTS402:PTY402"/>
    <mergeCell ref="PTZ402:PUF402"/>
    <mergeCell ref="PUG402:PUM402"/>
    <mergeCell ref="PUN402:PUT402"/>
    <mergeCell ref="PUU402:PVA402"/>
    <mergeCell ref="PVB402:PVH402"/>
    <mergeCell ref="PVI402:PVO402"/>
    <mergeCell ref="PVP402:PVV402"/>
    <mergeCell ref="PVW402:PWC402"/>
    <mergeCell ref="PWD402:PWJ402"/>
    <mergeCell ref="PWK402:PWQ402"/>
    <mergeCell ref="PWR402:PWX402"/>
    <mergeCell ref="PWY402:PXE402"/>
    <mergeCell ref="PXF402:PXL402"/>
    <mergeCell ref="PXM402:PXS402"/>
    <mergeCell ref="PXT402:PXZ402"/>
    <mergeCell ref="PYA402:PYG402"/>
    <mergeCell ref="PYH402:PYN402"/>
    <mergeCell ref="PYO402:PYU402"/>
    <mergeCell ref="PYV402:PZB402"/>
    <mergeCell ref="PZC402:PZI402"/>
    <mergeCell ref="PZJ402:PZP402"/>
    <mergeCell ref="PZQ402:PZW402"/>
    <mergeCell ref="PZX402:QAD402"/>
    <mergeCell ref="QAE402:QAK402"/>
    <mergeCell ref="QAL402:QAR402"/>
    <mergeCell ref="QAS402:QAY402"/>
    <mergeCell ref="QAZ402:QBF402"/>
    <mergeCell ref="QBG402:QBM402"/>
    <mergeCell ref="QBN402:QBT402"/>
    <mergeCell ref="QBU402:QCA402"/>
    <mergeCell ref="QCB402:QCH402"/>
    <mergeCell ref="QCI402:QCO402"/>
    <mergeCell ref="QCP402:QCV402"/>
    <mergeCell ref="QCW402:QDC402"/>
    <mergeCell ref="QDD402:QDJ402"/>
    <mergeCell ref="QDK402:QDQ402"/>
    <mergeCell ref="QDR402:QDX402"/>
    <mergeCell ref="QDY402:QEE402"/>
    <mergeCell ref="QEF402:QEL402"/>
    <mergeCell ref="QEM402:QES402"/>
    <mergeCell ref="QET402:QEZ402"/>
    <mergeCell ref="QFA402:QFG402"/>
    <mergeCell ref="QFH402:QFN402"/>
    <mergeCell ref="QFO402:QFU402"/>
    <mergeCell ref="QFV402:QGB402"/>
    <mergeCell ref="QGC402:QGI402"/>
    <mergeCell ref="QGJ402:QGP402"/>
    <mergeCell ref="QGQ402:QGW402"/>
    <mergeCell ref="QGX402:QHD402"/>
    <mergeCell ref="QHE402:QHK402"/>
    <mergeCell ref="QHL402:QHR402"/>
    <mergeCell ref="QHS402:QHY402"/>
    <mergeCell ref="QHZ402:QIF402"/>
    <mergeCell ref="QIG402:QIM402"/>
    <mergeCell ref="QIN402:QIT402"/>
    <mergeCell ref="QIU402:QJA402"/>
    <mergeCell ref="QJB402:QJH402"/>
    <mergeCell ref="QJI402:QJO402"/>
    <mergeCell ref="QJP402:QJV402"/>
    <mergeCell ref="QJW402:QKC402"/>
    <mergeCell ref="QKD402:QKJ402"/>
    <mergeCell ref="QKK402:QKQ402"/>
    <mergeCell ref="QKR402:QKX402"/>
    <mergeCell ref="QKY402:QLE402"/>
    <mergeCell ref="QLF402:QLL402"/>
    <mergeCell ref="QLM402:QLS402"/>
    <mergeCell ref="QLT402:QLZ402"/>
    <mergeCell ref="QMA402:QMG402"/>
    <mergeCell ref="QMH402:QMN402"/>
    <mergeCell ref="QMO402:QMU402"/>
    <mergeCell ref="QMV402:QNB402"/>
    <mergeCell ref="QNC402:QNI402"/>
    <mergeCell ref="QNJ402:QNP402"/>
    <mergeCell ref="QNQ402:QNW402"/>
    <mergeCell ref="QNX402:QOD402"/>
    <mergeCell ref="QOE402:QOK402"/>
    <mergeCell ref="QOL402:QOR402"/>
    <mergeCell ref="QOS402:QOY402"/>
    <mergeCell ref="QOZ402:QPF402"/>
    <mergeCell ref="QPG402:QPM402"/>
    <mergeCell ref="QPN402:QPT402"/>
    <mergeCell ref="QPU402:QQA402"/>
    <mergeCell ref="QQB402:QQH402"/>
    <mergeCell ref="QQI402:QQO402"/>
    <mergeCell ref="QQP402:QQV402"/>
    <mergeCell ref="QQW402:QRC402"/>
    <mergeCell ref="QRD402:QRJ402"/>
    <mergeCell ref="QRK402:QRQ402"/>
    <mergeCell ref="QRR402:QRX402"/>
    <mergeCell ref="QRY402:QSE402"/>
    <mergeCell ref="QSF402:QSL402"/>
    <mergeCell ref="QSM402:QSS402"/>
    <mergeCell ref="QST402:QSZ402"/>
    <mergeCell ref="QTA402:QTG402"/>
    <mergeCell ref="QTH402:QTN402"/>
    <mergeCell ref="QTO402:QTU402"/>
    <mergeCell ref="QTV402:QUB402"/>
    <mergeCell ref="QUC402:QUI402"/>
    <mergeCell ref="QUJ402:QUP402"/>
    <mergeCell ref="QUQ402:QUW402"/>
    <mergeCell ref="QUX402:QVD402"/>
    <mergeCell ref="QVE402:QVK402"/>
    <mergeCell ref="QVL402:QVR402"/>
    <mergeCell ref="QVS402:QVY402"/>
    <mergeCell ref="QVZ402:QWF402"/>
    <mergeCell ref="QWG402:QWM402"/>
    <mergeCell ref="QWN402:QWT402"/>
    <mergeCell ref="QWU402:QXA402"/>
    <mergeCell ref="QXB402:QXH402"/>
    <mergeCell ref="QXI402:QXO402"/>
    <mergeCell ref="QXP402:QXV402"/>
    <mergeCell ref="QXW402:QYC402"/>
    <mergeCell ref="QYD402:QYJ402"/>
    <mergeCell ref="QYK402:QYQ402"/>
    <mergeCell ref="QYR402:QYX402"/>
    <mergeCell ref="QYY402:QZE402"/>
    <mergeCell ref="QZF402:QZL402"/>
    <mergeCell ref="QZM402:QZS402"/>
    <mergeCell ref="QZT402:QZZ402"/>
    <mergeCell ref="RAA402:RAG402"/>
    <mergeCell ref="RAH402:RAN402"/>
    <mergeCell ref="RAO402:RAU402"/>
    <mergeCell ref="RAV402:RBB402"/>
    <mergeCell ref="RBC402:RBI402"/>
    <mergeCell ref="RBJ402:RBP402"/>
    <mergeCell ref="RBQ402:RBW402"/>
    <mergeCell ref="RBX402:RCD402"/>
    <mergeCell ref="RCE402:RCK402"/>
    <mergeCell ref="RCL402:RCR402"/>
    <mergeCell ref="RCS402:RCY402"/>
    <mergeCell ref="RCZ402:RDF402"/>
    <mergeCell ref="RDG402:RDM402"/>
    <mergeCell ref="RDN402:RDT402"/>
    <mergeCell ref="RDU402:REA402"/>
    <mergeCell ref="REB402:REH402"/>
    <mergeCell ref="REI402:REO402"/>
    <mergeCell ref="REP402:REV402"/>
    <mergeCell ref="REW402:RFC402"/>
    <mergeCell ref="RFD402:RFJ402"/>
    <mergeCell ref="RFK402:RFQ402"/>
    <mergeCell ref="RFR402:RFX402"/>
    <mergeCell ref="RFY402:RGE402"/>
    <mergeCell ref="RGF402:RGL402"/>
    <mergeCell ref="RGM402:RGS402"/>
    <mergeCell ref="RGT402:RGZ402"/>
    <mergeCell ref="RHA402:RHG402"/>
    <mergeCell ref="RHH402:RHN402"/>
    <mergeCell ref="RHO402:RHU402"/>
    <mergeCell ref="RHV402:RIB402"/>
    <mergeCell ref="RIC402:RII402"/>
    <mergeCell ref="RIJ402:RIP402"/>
    <mergeCell ref="RIQ402:RIW402"/>
    <mergeCell ref="RIX402:RJD402"/>
    <mergeCell ref="RJE402:RJK402"/>
    <mergeCell ref="RJL402:RJR402"/>
    <mergeCell ref="RJS402:RJY402"/>
    <mergeCell ref="RJZ402:RKF402"/>
    <mergeCell ref="RKG402:RKM402"/>
    <mergeCell ref="RKN402:RKT402"/>
    <mergeCell ref="RKU402:RLA402"/>
    <mergeCell ref="RLB402:RLH402"/>
    <mergeCell ref="RLI402:RLO402"/>
    <mergeCell ref="RLP402:RLV402"/>
    <mergeCell ref="RLW402:RMC402"/>
    <mergeCell ref="RMD402:RMJ402"/>
    <mergeCell ref="RMK402:RMQ402"/>
    <mergeCell ref="RMR402:RMX402"/>
    <mergeCell ref="RMY402:RNE402"/>
    <mergeCell ref="RNF402:RNL402"/>
    <mergeCell ref="RNM402:RNS402"/>
    <mergeCell ref="RNT402:RNZ402"/>
    <mergeCell ref="ROA402:ROG402"/>
    <mergeCell ref="ROH402:RON402"/>
    <mergeCell ref="ROO402:ROU402"/>
    <mergeCell ref="ROV402:RPB402"/>
    <mergeCell ref="RPC402:RPI402"/>
    <mergeCell ref="RPJ402:RPP402"/>
    <mergeCell ref="RPQ402:RPW402"/>
    <mergeCell ref="RPX402:RQD402"/>
    <mergeCell ref="RQE402:RQK402"/>
    <mergeCell ref="RQL402:RQR402"/>
    <mergeCell ref="RQS402:RQY402"/>
    <mergeCell ref="RQZ402:RRF402"/>
    <mergeCell ref="RRG402:RRM402"/>
    <mergeCell ref="RRN402:RRT402"/>
    <mergeCell ref="RRU402:RSA402"/>
    <mergeCell ref="RSB402:RSH402"/>
    <mergeCell ref="RSI402:RSO402"/>
    <mergeCell ref="RSP402:RSV402"/>
    <mergeCell ref="RSW402:RTC402"/>
    <mergeCell ref="RTD402:RTJ402"/>
    <mergeCell ref="RTK402:RTQ402"/>
    <mergeCell ref="RTR402:RTX402"/>
    <mergeCell ref="RTY402:RUE402"/>
    <mergeCell ref="RUF402:RUL402"/>
    <mergeCell ref="RUM402:RUS402"/>
    <mergeCell ref="RUT402:RUZ402"/>
    <mergeCell ref="RVA402:RVG402"/>
    <mergeCell ref="RVH402:RVN402"/>
    <mergeCell ref="RVO402:RVU402"/>
    <mergeCell ref="RVV402:RWB402"/>
    <mergeCell ref="RWC402:RWI402"/>
    <mergeCell ref="RWJ402:RWP402"/>
    <mergeCell ref="RWQ402:RWW402"/>
    <mergeCell ref="RWX402:RXD402"/>
    <mergeCell ref="RXE402:RXK402"/>
    <mergeCell ref="RXL402:RXR402"/>
    <mergeCell ref="RXS402:RXY402"/>
    <mergeCell ref="RXZ402:RYF402"/>
    <mergeCell ref="RYG402:RYM402"/>
    <mergeCell ref="RYN402:RYT402"/>
    <mergeCell ref="RYU402:RZA402"/>
    <mergeCell ref="RZB402:RZH402"/>
    <mergeCell ref="RZI402:RZO402"/>
    <mergeCell ref="RZP402:RZV402"/>
    <mergeCell ref="RZW402:SAC402"/>
    <mergeCell ref="SAD402:SAJ402"/>
    <mergeCell ref="SAK402:SAQ402"/>
    <mergeCell ref="SAR402:SAX402"/>
    <mergeCell ref="SAY402:SBE402"/>
    <mergeCell ref="SBF402:SBL402"/>
    <mergeCell ref="SBM402:SBS402"/>
    <mergeCell ref="SBT402:SBZ402"/>
    <mergeCell ref="SCA402:SCG402"/>
    <mergeCell ref="SCH402:SCN402"/>
    <mergeCell ref="SCO402:SCU402"/>
    <mergeCell ref="SCV402:SDB402"/>
    <mergeCell ref="SDC402:SDI402"/>
    <mergeCell ref="SDJ402:SDP402"/>
    <mergeCell ref="SDQ402:SDW402"/>
    <mergeCell ref="SDX402:SED402"/>
    <mergeCell ref="SEE402:SEK402"/>
    <mergeCell ref="SEL402:SER402"/>
    <mergeCell ref="SES402:SEY402"/>
    <mergeCell ref="SEZ402:SFF402"/>
    <mergeCell ref="SFG402:SFM402"/>
    <mergeCell ref="SFN402:SFT402"/>
    <mergeCell ref="SFU402:SGA402"/>
    <mergeCell ref="SGB402:SGH402"/>
    <mergeCell ref="SGI402:SGO402"/>
    <mergeCell ref="SGP402:SGV402"/>
    <mergeCell ref="SGW402:SHC402"/>
    <mergeCell ref="SHD402:SHJ402"/>
    <mergeCell ref="SHK402:SHQ402"/>
    <mergeCell ref="SHR402:SHX402"/>
    <mergeCell ref="SHY402:SIE402"/>
    <mergeCell ref="SIF402:SIL402"/>
    <mergeCell ref="SIM402:SIS402"/>
    <mergeCell ref="SIT402:SIZ402"/>
    <mergeCell ref="SJA402:SJG402"/>
    <mergeCell ref="SJH402:SJN402"/>
    <mergeCell ref="SJO402:SJU402"/>
    <mergeCell ref="SJV402:SKB402"/>
    <mergeCell ref="SKC402:SKI402"/>
    <mergeCell ref="SKJ402:SKP402"/>
    <mergeCell ref="SKQ402:SKW402"/>
    <mergeCell ref="SKX402:SLD402"/>
    <mergeCell ref="SLE402:SLK402"/>
    <mergeCell ref="SLL402:SLR402"/>
    <mergeCell ref="SLS402:SLY402"/>
    <mergeCell ref="SLZ402:SMF402"/>
    <mergeCell ref="SMG402:SMM402"/>
    <mergeCell ref="SMN402:SMT402"/>
    <mergeCell ref="SMU402:SNA402"/>
    <mergeCell ref="SNB402:SNH402"/>
    <mergeCell ref="SNI402:SNO402"/>
    <mergeCell ref="SNP402:SNV402"/>
    <mergeCell ref="SNW402:SOC402"/>
    <mergeCell ref="SOD402:SOJ402"/>
    <mergeCell ref="SOK402:SOQ402"/>
    <mergeCell ref="SOR402:SOX402"/>
    <mergeCell ref="SOY402:SPE402"/>
    <mergeCell ref="SPF402:SPL402"/>
    <mergeCell ref="SPM402:SPS402"/>
    <mergeCell ref="SPT402:SPZ402"/>
    <mergeCell ref="SQA402:SQG402"/>
    <mergeCell ref="SQH402:SQN402"/>
    <mergeCell ref="SQO402:SQU402"/>
    <mergeCell ref="SQV402:SRB402"/>
    <mergeCell ref="SRC402:SRI402"/>
    <mergeCell ref="SRJ402:SRP402"/>
    <mergeCell ref="SRQ402:SRW402"/>
    <mergeCell ref="SRX402:SSD402"/>
    <mergeCell ref="SSE402:SSK402"/>
    <mergeCell ref="SSL402:SSR402"/>
    <mergeCell ref="SSS402:SSY402"/>
    <mergeCell ref="SSZ402:STF402"/>
    <mergeCell ref="STG402:STM402"/>
    <mergeCell ref="STN402:STT402"/>
    <mergeCell ref="STU402:SUA402"/>
    <mergeCell ref="SUB402:SUH402"/>
    <mergeCell ref="SUI402:SUO402"/>
    <mergeCell ref="SUP402:SUV402"/>
    <mergeCell ref="SUW402:SVC402"/>
    <mergeCell ref="SVD402:SVJ402"/>
    <mergeCell ref="SVK402:SVQ402"/>
    <mergeCell ref="SVR402:SVX402"/>
    <mergeCell ref="SVY402:SWE402"/>
    <mergeCell ref="SWF402:SWL402"/>
    <mergeCell ref="SWM402:SWS402"/>
    <mergeCell ref="SWT402:SWZ402"/>
    <mergeCell ref="SXA402:SXG402"/>
    <mergeCell ref="SXH402:SXN402"/>
    <mergeCell ref="SXO402:SXU402"/>
    <mergeCell ref="SXV402:SYB402"/>
    <mergeCell ref="SYC402:SYI402"/>
    <mergeCell ref="SYJ402:SYP402"/>
    <mergeCell ref="SYQ402:SYW402"/>
    <mergeCell ref="SYX402:SZD402"/>
    <mergeCell ref="SZE402:SZK402"/>
    <mergeCell ref="SZL402:SZR402"/>
    <mergeCell ref="SZS402:SZY402"/>
    <mergeCell ref="SZZ402:TAF402"/>
    <mergeCell ref="TAG402:TAM402"/>
    <mergeCell ref="TAN402:TAT402"/>
    <mergeCell ref="TAU402:TBA402"/>
    <mergeCell ref="TBB402:TBH402"/>
    <mergeCell ref="TBI402:TBO402"/>
    <mergeCell ref="TBP402:TBV402"/>
    <mergeCell ref="TBW402:TCC402"/>
    <mergeCell ref="TCD402:TCJ402"/>
    <mergeCell ref="TCK402:TCQ402"/>
    <mergeCell ref="TCR402:TCX402"/>
    <mergeCell ref="TCY402:TDE402"/>
    <mergeCell ref="TDF402:TDL402"/>
    <mergeCell ref="TDM402:TDS402"/>
    <mergeCell ref="TDT402:TDZ402"/>
    <mergeCell ref="TEA402:TEG402"/>
    <mergeCell ref="TEH402:TEN402"/>
    <mergeCell ref="TEO402:TEU402"/>
    <mergeCell ref="TEV402:TFB402"/>
    <mergeCell ref="TFC402:TFI402"/>
    <mergeCell ref="TFJ402:TFP402"/>
    <mergeCell ref="TFQ402:TFW402"/>
    <mergeCell ref="TFX402:TGD402"/>
    <mergeCell ref="TGE402:TGK402"/>
    <mergeCell ref="TGL402:TGR402"/>
    <mergeCell ref="TGS402:TGY402"/>
    <mergeCell ref="TGZ402:THF402"/>
    <mergeCell ref="THG402:THM402"/>
    <mergeCell ref="THN402:THT402"/>
    <mergeCell ref="THU402:TIA402"/>
    <mergeCell ref="TIB402:TIH402"/>
    <mergeCell ref="TII402:TIO402"/>
    <mergeCell ref="TIP402:TIV402"/>
    <mergeCell ref="TIW402:TJC402"/>
    <mergeCell ref="TJD402:TJJ402"/>
    <mergeCell ref="TJK402:TJQ402"/>
    <mergeCell ref="TJR402:TJX402"/>
    <mergeCell ref="TJY402:TKE402"/>
    <mergeCell ref="TKF402:TKL402"/>
    <mergeCell ref="TKM402:TKS402"/>
    <mergeCell ref="TKT402:TKZ402"/>
    <mergeCell ref="TLA402:TLG402"/>
    <mergeCell ref="TLH402:TLN402"/>
    <mergeCell ref="TLO402:TLU402"/>
    <mergeCell ref="TLV402:TMB402"/>
    <mergeCell ref="TMC402:TMI402"/>
    <mergeCell ref="TMJ402:TMP402"/>
    <mergeCell ref="TMQ402:TMW402"/>
    <mergeCell ref="TMX402:TND402"/>
    <mergeCell ref="TNE402:TNK402"/>
    <mergeCell ref="TNL402:TNR402"/>
    <mergeCell ref="TNS402:TNY402"/>
    <mergeCell ref="TNZ402:TOF402"/>
    <mergeCell ref="TOG402:TOM402"/>
    <mergeCell ref="TON402:TOT402"/>
    <mergeCell ref="TOU402:TPA402"/>
    <mergeCell ref="TPB402:TPH402"/>
    <mergeCell ref="TPI402:TPO402"/>
    <mergeCell ref="TPP402:TPV402"/>
    <mergeCell ref="TPW402:TQC402"/>
    <mergeCell ref="TQD402:TQJ402"/>
    <mergeCell ref="TQK402:TQQ402"/>
    <mergeCell ref="TQR402:TQX402"/>
    <mergeCell ref="TQY402:TRE402"/>
    <mergeCell ref="TRF402:TRL402"/>
    <mergeCell ref="TRM402:TRS402"/>
    <mergeCell ref="TRT402:TRZ402"/>
    <mergeCell ref="TSA402:TSG402"/>
    <mergeCell ref="TSH402:TSN402"/>
    <mergeCell ref="TSO402:TSU402"/>
    <mergeCell ref="TSV402:TTB402"/>
    <mergeCell ref="TTC402:TTI402"/>
    <mergeCell ref="TTJ402:TTP402"/>
    <mergeCell ref="TTQ402:TTW402"/>
    <mergeCell ref="TTX402:TUD402"/>
    <mergeCell ref="TUE402:TUK402"/>
    <mergeCell ref="TUL402:TUR402"/>
    <mergeCell ref="TUS402:TUY402"/>
    <mergeCell ref="TUZ402:TVF402"/>
    <mergeCell ref="TVG402:TVM402"/>
    <mergeCell ref="TVN402:TVT402"/>
    <mergeCell ref="TVU402:TWA402"/>
    <mergeCell ref="TWB402:TWH402"/>
    <mergeCell ref="TWI402:TWO402"/>
    <mergeCell ref="TWP402:TWV402"/>
    <mergeCell ref="TWW402:TXC402"/>
    <mergeCell ref="TXD402:TXJ402"/>
    <mergeCell ref="TXK402:TXQ402"/>
    <mergeCell ref="TXR402:TXX402"/>
    <mergeCell ref="TXY402:TYE402"/>
    <mergeCell ref="TYF402:TYL402"/>
    <mergeCell ref="TYM402:TYS402"/>
    <mergeCell ref="TYT402:TYZ402"/>
    <mergeCell ref="TZA402:TZG402"/>
    <mergeCell ref="TZH402:TZN402"/>
    <mergeCell ref="TZO402:TZU402"/>
    <mergeCell ref="TZV402:UAB402"/>
    <mergeCell ref="UAC402:UAI402"/>
    <mergeCell ref="UAJ402:UAP402"/>
    <mergeCell ref="UAQ402:UAW402"/>
    <mergeCell ref="UAX402:UBD402"/>
    <mergeCell ref="UBE402:UBK402"/>
    <mergeCell ref="UBL402:UBR402"/>
    <mergeCell ref="UBS402:UBY402"/>
    <mergeCell ref="UBZ402:UCF402"/>
    <mergeCell ref="UCG402:UCM402"/>
    <mergeCell ref="UCN402:UCT402"/>
    <mergeCell ref="UCU402:UDA402"/>
    <mergeCell ref="UDB402:UDH402"/>
    <mergeCell ref="UDI402:UDO402"/>
    <mergeCell ref="UDP402:UDV402"/>
    <mergeCell ref="UDW402:UEC402"/>
    <mergeCell ref="UED402:UEJ402"/>
    <mergeCell ref="UEK402:UEQ402"/>
    <mergeCell ref="UER402:UEX402"/>
    <mergeCell ref="UEY402:UFE402"/>
    <mergeCell ref="UFF402:UFL402"/>
    <mergeCell ref="UFM402:UFS402"/>
    <mergeCell ref="UFT402:UFZ402"/>
    <mergeCell ref="UGA402:UGG402"/>
    <mergeCell ref="UGH402:UGN402"/>
    <mergeCell ref="UGO402:UGU402"/>
    <mergeCell ref="UGV402:UHB402"/>
    <mergeCell ref="UHC402:UHI402"/>
    <mergeCell ref="UHJ402:UHP402"/>
    <mergeCell ref="UHQ402:UHW402"/>
    <mergeCell ref="UHX402:UID402"/>
    <mergeCell ref="UIE402:UIK402"/>
    <mergeCell ref="UIL402:UIR402"/>
    <mergeCell ref="UIS402:UIY402"/>
    <mergeCell ref="UIZ402:UJF402"/>
    <mergeCell ref="UJG402:UJM402"/>
    <mergeCell ref="UJN402:UJT402"/>
    <mergeCell ref="UJU402:UKA402"/>
    <mergeCell ref="UKB402:UKH402"/>
    <mergeCell ref="UKI402:UKO402"/>
    <mergeCell ref="UKP402:UKV402"/>
    <mergeCell ref="UKW402:ULC402"/>
    <mergeCell ref="ULD402:ULJ402"/>
    <mergeCell ref="ULK402:ULQ402"/>
    <mergeCell ref="ULR402:ULX402"/>
    <mergeCell ref="ULY402:UME402"/>
    <mergeCell ref="UMF402:UML402"/>
    <mergeCell ref="UMM402:UMS402"/>
    <mergeCell ref="UMT402:UMZ402"/>
    <mergeCell ref="UNA402:UNG402"/>
    <mergeCell ref="UNH402:UNN402"/>
    <mergeCell ref="UNO402:UNU402"/>
    <mergeCell ref="UNV402:UOB402"/>
    <mergeCell ref="UOC402:UOI402"/>
    <mergeCell ref="UOJ402:UOP402"/>
    <mergeCell ref="UOQ402:UOW402"/>
    <mergeCell ref="UOX402:UPD402"/>
    <mergeCell ref="UPE402:UPK402"/>
    <mergeCell ref="UPL402:UPR402"/>
    <mergeCell ref="UPS402:UPY402"/>
    <mergeCell ref="UPZ402:UQF402"/>
    <mergeCell ref="UQG402:UQM402"/>
    <mergeCell ref="UQN402:UQT402"/>
    <mergeCell ref="UQU402:URA402"/>
    <mergeCell ref="URB402:URH402"/>
    <mergeCell ref="URI402:URO402"/>
    <mergeCell ref="URP402:URV402"/>
    <mergeCell ref="URW402:USC402"/>
    <mergeCell ref="USD402:USJ402"/>
    <mergeCell ref="USK402:USQ402"/>
    <mergeCell ref="USR402:USX402"/>
    <mergeCell ref="USY402:UTE402"/>
    <mergeCell ref="UTF402:UTL402"/>
    <mergeCell ref="UTM402:UTS402"/>
    <mergeCell ref="UTT402:UTZ402"/>
    <mergeCell ref="UUA402:UUG402"/>
    <mergeCell ref="UUH402:UUN402"/>
    <mergeCell ref="UUO402:UUU402"/>
    <mergeCell ref="UUV402:UVB402"/>
    <mergeCell ref="UVC402:UVI402"/>
    <mergeCell ref="UVJ402:UVP402"/>
    <mergeCell ref="UVQ402:UVW402"/>
    <mergeCell ref="UVX402:UWD402"/>
    <mergeCell ref="UWE402:UWK402"/>
    <mergeCell ref="UWL402:UWR402"/>
    <mergeCell ref="UWS402:UWY402"/>
    <mergeCell ref="UWZ402:UXF402"/>
    <mergeCell ref="UXG402:UXM402"/>
    <mergeCell ref="UXN402:UXT402"/>
    <mergeCell ref="UXU402:UYA402"/>
    <mergeCell ref="UYB402:UYH402"/>
    <mergeCell ref="UYI402:UYO402"/>
    <mergeCell ref="UYP402:UYV402"/>
    <mergeCell ref="UYW402:UZC402"/>
    <mergeCell ref="UZD402:UZJ402"/>
    <mergeCell ref="UZK402:UZQ402"/>
    <mergeCell ref="UZR402:UZX402"/>
    <mergeCell ref="UZY402:VAE402"/>
    <mergeCell ref="VAF402:VAL402"/>
    <mergeCell ref="VAM402:VAS402"/>
    <mergeCell ref="VAT402:VAZ402"/>
    <mergeCell ref="VBA402:VBG402"/>
    <mergeCell ref="VBH402:VBN402"/>
    <mergeCell ref="VBO402:VBU402"/>
    <mergeCell ref="VBV402:VCB402"/>
    <mergeCell ref="VCC402:VCI402"/>
    <mergeCell ref="VCJ402:VCP402"/>
    <mergeCell ref="VCQ402:VCW402"/>
    <mergeCell ref="VCX402:VDD402"/>
    <mergeCell ref="VDE402:VDK402"/>
    <mergeCell ref="VDL402:VDR402"/>
    <mergeCell ref="VDS402:VDY402"/>
    <mergeCell ref="VDZ402:VEF402"/>
    <mergeCell ref="VEG402:VEM402"/>
    <mergeCell ref="VEN402:VET402"/>
    <mergeCell ref="VEU402:VFA402"/>
    <mergeCell ref="VFB402:VFH402"/>
    <mergeCell ref="VFI402:VFO402"/>
    <mergeCell ref="VFP402:VFV402"/>
    <mergeCell ref="VFW402:VGC402"/>
    <mergeCell ref="VGD402:VGJ402"/>
    <mergeCell ref="VGK402:VGQ402"/>
    <mergeCell ref="VGR402:VGX402"/>
    <mergeCell ref="VGY402:VHE402"/>
    <mergeCell ref="VHF402:VHL402"/>
    <mergeCell ref="VHM402:VHS402"/>
    <mergeCell ref="VHT402:VHZ402"/>
    <mergeCell ref="VIA402:VIG402"/>
    <mergeCell ref="VIH402:VIN402"/>
    <mergeCell ref="VIO402:VIU402"/>
    <mergeCell ref="VIV402:VJB402"/>
    <mergeCell ref="VJC402:VJI402"/>
    <mergeCell ref="VJJ402:VJP402"/>
    <mergeCell ref="VJQ402:VJW402"/>
    <mergeCell ref="VJX402:VKD402"/>
    <mergeCell ref="VKE402:VKK402"/>
    <mergeCell ref="VKL402:VKR402"/>
    <mergeCell ref="VKS402:VKY402"/>
    <mergeCell ref="VKZ402:VLF402"/>
    <mergeCell ref="VLG402:VLM402"/>
    <mergeCell ref="VLN402:VLT402"/>
    <mergeCell ref="VLU402:VMA402"/>
    <mergeCell ref="VMB402:VMH402"/>
    <mergeCell ref="VMI402:VMO402"/>
    <mergeCell ref="VMP402:VMV402"/>
    <mergeCell ref="VMW402:VNC402"/>
    <mergeCell ref="VND402:VNJ402"/>
    <mergeCell ref="VNK402:VNQ402"/>
    <mergeCell ref="VNR402:VNX402"/>
    <mergeCell ref="VNY402:VOE402"/>
    <mergeCell ref="VOF402:VOL402"/>
    <mergeCell ref="VOM402:VOS402"/>
    <mergeCell ref="VOT402:VOZ402"/>
    <mergeCell ref="VPA402:VPG402"/>
    <mergeCell ref="VPH402:VPN402"/>
    <mergeCell ref="VPO402:VPU402"/>
    <mergeCell ref="VPV402:VQB402"/>
    <mergeCell ref="VQC402:VQI402"/>
    <mergeCell ref="VQJ402:VQP402"/>
    <mergeCell ref="VQQ402:VQW402"/>
    <mergeCell ref="VQX402:VRD402"/>
    <mergeCell ref="VRE402:VRK402"/>
    <mergeCell ref="VRL402:VRR402"/>
    <mergeCell ref="VRS402:VRY402"/>
    <mergeCell ref="VRZ402:VSF402"/>
    <mergeCell ref="VSG402:VSM402"/>
    <mergeCell ref="VSN402:VST402"/>
    <mergeCell ref="VSU402:VTA402"/>
    <mergeCell ref="VTB402:VTH402"/>
    <mergeCell ref="VTI402:VTO402"/>
    <mergeCell ref="VTP402:VTV402"/>
    <mergeCell ref="VTW402:VUC402"/>
    <mergeCell ref="VUD402:VUJ402"/>
    <mergeCell ref="VUK402:VUQ402"/>
    <mergeCell ref="VUR402:VUX402"/>
    <mergeCell ref="VUY402:VVE402"/>
    <mergeCell ref="VVF402:VVL402"/>
    <mergeCell ref="VVM402:VVS402"/>
    <mergeCell ref="VVT402:VVZ402"/>
    <mergeCell ref="VWA402:VWG402"/>
    <mergeCell ref="VWH402:VWN402"/>
    <mergeCell ref="VWO402:VWU402"/>
    <mergeCell ref="VWV402:VXB402"/>
    <mergeCell ref="VXC402:VXI402"/>
    <mergeCell ref="VXJ402:VXP402"/>
    <mergeCell ref="VXQ402:VXW402"/>
    <mergeCell ref="VXX402:VYD402"/>
    <mergeCell ref="VYE402:VYK402"/>
    <mergeCell ref="VYL402:VYR402"/>
    <mergeCell ref="VYS402:VYY402"/>
    <mergeCell ref="VYZ402:VZF402"/>
    <mergeCell ref="VZG402:VZM402"/>
    <mergeCell ref="VZN402:VZT402"/>
    <mergeCell ref="VZU402:WAA402"/>
    <mergeCell ref="WAB402:WAH402"/>
    <mergeCell ref="WAI402:WAO402"/>
    <mergeCell ref="WAP402:WAV402"/>
    <mergeCell ref="WAW402:WBC402"/>
    <mergeCell ref="WBD402:WBJ402"/>
    <mergeCell ref="WBK402:WBQ402"/>
    <mergeCell ref="WBR402:WBX402"/>
    <mergeCell ref="WBY402:WCE402"/>
    <mergeCell ref="WCF402:WCL402"/>
    <mergeCell ref="WCM402:WCS402"/>
    <mergeCell ref="WCT402:WCZ402"/>
    <mergeCell ref="WDA402:WDG402"/>
    <mergeCell ref="WDH402:WDN402"/>
    <mergeCell ref="WDO402:WDU402"/>
    <mergeCell ref="WDV402:WEB402"/>
    <mergeCell ref="WEC402:WEI402"/>
    <mergeCell ref="WEJ402:WEP402"/>
    <mergeCell ref="WEQ402:WEW402"/>
    <mergeCell ref="WEX402:WFD402"/>
    <mergeCell ref="WFE402:WFK402"/>
    <mergeCell ref="WFL402:WFR402"/>
    <mergeCell ref="WFS402:WFY402"/>
    <mergeCell ref="WFZ402:WGF402"/>
    <mergeCell ref="WGG402:WGM402"/>
    <mergeCell ref="WGN402:WGT402"/>
    <mergeCell ref="WGU402:WHA402"/>
    <mergeCell ref="WHB402:WHH402"/>
    <mergeCell ref="WHI402:WHO402"/>
    <mergeCell ref="WHP402:WHV402"/>
    <mergeCell ref="WHW402:WIC402"/>
    <mergeCell ref="WID402:WIJ402"/>
    <mergeCell ref="WIK402:WIQ402"/>
    <mergeCell ref="WIR402:WIX402"/>
    <mergeCell ref="WIY402:WJE402"/>
    <mergeCell ref="WJF402:WJL402"/>
    <mergeCell ref="WJM402:WJS402"/>
    <mergeCell ref="WJT402:WJZ402"/>
    <mergeCell ref="WKA402:WKG402"/>
    <mergeCell ref="WKH402:WKN402"/>
    <mergeCell ref="WKO402:WKU402"/>
    <mergeCell ref="WKV402:WLB402"/>
    <mergeCell ref="WLC402:WLI402"/>
    <mergeCell ref="WLJ402:WLP402"/>
    <mergeCell ref="WLQ402:WLW402"/>
    <mergeCell ref="WLX402:WMD402"/>
    <mergeCell ref="WME402:WMK402"/>
    <mergeCell ref="WML402:WMR402"/>
    <mergeCell ref="WMS402:WMY402"/>
    <mergeCell ref="WMZ402:WNF402"/>
    <mergeCell ref="WNG402:WNM402"/>
    <mergeCell ref="WNN402:WNT402"/>
    <mergeCell ref="WNU402:WOA402"/>
    <mergeCell ref="WOB402:WOH402"/>
    <mergeCell ref="WOI402:WOO402"/>
    <mergeCell ref="WXM402:WXS402"/>
    <mergeCell ref="WOP402:WOV402"/>
    <mergeCell ref="WOW402:WPC402"/>
    <mergeCell ref="WPD402:WPJ402"/>
    <mergeCell ref="WPK402:WPQ402"/>
    <mergeCell ref="WPR402:WPX402"/>
    <mergeCell ref="WPY402:WQE402"/>
    <mergeCell ref="WQF402:WQL402"/>
    <mergeCell ref="WQM402:WQS402"/>
    <mergeCell ref="WQT402:WQZ402"/>
    <mergeCell ref="WRA402:WRG402"/>
    <mergeCell ref="WRH402:WRN402"/>
    <mergeCell ref="WRO402:WRU402"/>
    <mergeCell ref="WRV402:WSB402"/>
    <mergeCell ref="WSC402:WSI402"/>
    <mergeCell ref="WSJ402:WSP402"/>
    <mergeCell ref="WSQ402:WSW402"/>
    <mergeCell ref="WSX402:WTD402"/>
    <mergeCell ref="WYA402:WYG402"/>
    <mergeCell ref="WYH402:WYN402"/>
    <mergeCell ref="WYO402:WYU402"/>
    <mergeCell ref="WYV402:WZB402"/>
    <mergeCell ref="WZC402:WZI402"/>
    <mergeCell ref="WZJ402:WZP402"/>
    <mergeCell ref="WZQ402:WZW402"/>
    <mergeCell ref="WZX402:XAD402"/>
    <mergeCell ref="XAE402:XAK402"/>
    <mergeCell ref="XAL402:XAR402"/>
    <mergeCell ref="XAS402:XAY402"/>
    <mergeCell ref="XAZ402:XBF402"/>
    <mergeCell ref="XBG402:XBM402"/>
    <mergeCell ref="XBN402:XBT402"/>
    <mergeCell ref="XBU402:XCA402"/>
    <mergeCell ref="XCB402:XCH402"/>
    <mergeCell ref="WTE402:WTK402"/>
    <mergeCell ref="WTL402:WTR402"/>
    <mergeCell ref="WTS402:WTY402"/>
    <mergeCell ref="WTZ402:WUF402"/>
    <mergeCell ref="WUG402:WUM402"/>
    <mergeCell ref="WUN402:WUT402"/>
    <mergeCell ref="WUU402:WVA402"/>
    <mergeCell ref="WVB402:WVH402"/>
    <mergeCell ref="WVI402:WVO402"/>
    <mergeCell ref="WVP402:WVV402"/>
    <mergeCell ref="WVW402:WWC402"/>
    <mergeCell ref="WWD402:WWJ402"/>
    <mergeCell ref="WWK402:WWQ402"/>
    <mergeCell ref="WWR402:WWX402"/>
    <mergeCell ref="WWY402:WXE402"/>
    <mergeCell ref="WXF402:WXL402"/>
    <mergeCell ref="XCI402:XCO402"/>
    <mergeCell ref="XCP402:XCV402"/>
    <mergeCell ref="XCW402:XDC402"/>
    <mergeCell ref="XDD402:XDJ402"/>
    <mergeCell ref="XDK402:XDQ402"/>
    <mergeCell ref="XDR402:XDX402"/>
    <mergeCell ref="XDY402:XEE402"/>
    <mergeCell ref="XEF402:XEL402"/>
    <mergeCell ref="XEM402:XES402"/>
    <mergeCell ref="XET402:XEZ402"/>
    <mergeCell ref="XFA402:XFD402"/>
    <mergeCell ref="A409:G409"/>
    <mergeCell ref="O409:U409"/>
    <mergeCell ref="V409:AB409"/>
    <mergeCell ref="AC409:AI409"/>
    <mergeCell ref="AJ409:AP409"/>
    <mergeCell ref="AQ409:AW409"/>
    <mergeCell ref="AX409:BD409"/>
    <mergeCell ref="BE409:BK409"/>
    <mergeCell ref="BL409:BR409"/>
    <mergeCell ref="BS409:BY409"/>
    <mergeCell ref="BZ409:CF409"/>
    <mergeCell ref="CG409:CM409"/>
    <mergeCell ref="CN409:CT409"/>
    <mergeCell ref="CU409:DA409"/>
    <mergeCell ref="DB409:DH409"/>
    <mergeCell ref="DI409:DO409"/>
    <mergeCell ref="DP409:DV409"/>
    <mergeCell ref="DW409:EC409"/>
    <mergeCell ref="ED409:EJ409"/>
    <mergeCell ref="EK409:EQ409"/>
    <mergeCell ref="WXT402:WXZ402"/>
    <mergeCell ref="HJ409:HP409"/>
    <mergeCell ref="HQ409:HW409"/>
    <mergeCell ref="HX409:ID409"/>
    <mergeCell ref="IE409:IK409"/>
    <mergeCell ref="IL409:IR409"/>
    <mergeCell ref="IS409:IY409"/>
    <mergeCell ref="IZ409:JF409"/>
    <mergeCell ref="JG409:JM409"/>
    <mergeCell ref="JN409:JT409"/>
    <mergeCell ref="JU409:KA409"/>
    <mergeCell ref="KB409:KH409"/>
    <mergeCell ref="KI409:KO409"/>
    <mergeCell ref="KP409:KV409"/>
    <mergeCell ref="KW409:LC409"/>
    <mergeCell ref="LD409:LJ409"/>
    <mergeCell ref="LK409:LQ409"/>
    <mergeCell ref="LR409:LX409"/>
    <mergeCell ref="LY409:ME409"/>
    <mergeCell ref="MF409:ML409"/>
    <mergeCell ref="MM409:MS409"/>
    <mergeCell ref="MT409:MZ409"/>
    <mergeCell ref="NA409:NG409"/>
    <mergeCell ref="NH409:NN409"/>
    <mergeCell ref="NO409:NU409"/>
    <mergeCell ref="NV409:OB409"/>
    <mergeCell ref="OC409:OI409"/>
    <mergeCell ref="OJ409:OP409"/>
    <mergeCell ref="OQ409:OW409"/>
    <mergeCell ref="OX409:PD409"/>
    <mergeCell ref="PE409:PK409"/>
    <mergeCell ref="PL409:PR409"/>
    <mergeCell ref="PS409:PY409"/>
    <mergeCell ref="PZ409:QF409"/>
    <mergeCell ref="QG409:QM409"/>
    <mergeCell ref="QN409:QT409"/>
    <mergeCell ref="QU409:RA409"/>
    <mergeCell ref="RB409:RH409"/>
    <mergeCell ref="RI409:RO409"/>
    <mergeCell ref="RP409:RV409"/>
    <mergeCell ref="RW409:SC409"/>
    <mergeCell ref="SD409:SJ409"/>
    <mergeCell ref="SK409:SQ409"/>
    <mergeCell ref="SR409:SX409"/>
    <mergeCell ref="SY409:TE409"/>
    <mergeCell ref="TF409:TL409"/>
    <mergeCell ref="TM409:TS409"/>
    <mergeCell ref="TT409:TZ409"/>
    <mergeCell ref="UA409:UG409"/>
    <mergeCell ref="UH409:UN409"/>
    <mergeCell ref="UO409:UU409"/>
    <mergeCell ref="UV409:VB409"/>
    <mergeCell ref="VC409:VI409"/>
    <mergeCell ref="VJ409:VP409"/>
    <mergeCell ref="VQ409:VW409"/>
    <mergeCell ref="VX409:WD409"/>
    <mergeCell ref="WE409:WK409"/>
    <mergeCell ref="WL409:WR409"/>
    <mergeCell ref="WS409:WY409"/>
    <mergeCell ref="WZ409:XF409"/>
    <mergeCell ref="XG409:XM409"/>
    <mergeCell ref="XN409:XT409"/>
    <mergeCell ref="XU409:YA409"/>
    <mergeCell ref="YB409:YH409"/>
    <mergeCell ref="YI409:YO409"/>
    <mergeCell ref="YP409:YV409"/>
    <mergeCell ref="YW409:ZC409"/>
    <mergeCell ref="ZD409:ZJ409"/>
    <mergeCell ref="ZK409:ZQ409"/>
    <mergeCell ref="ZR409:ZX409"/>
    <mergeCell ref="ZY409:AAE409"/>
    <mergeCell ref="AAF409:AAL409"/>
    <mergeCell ref="AAM409:AAS409"/>
    <mergeCell ref="AAT409:AAZ409"/>
    <mergeCell ref="ABA409:ABG409"/>
    <mergeCell ref="ABH409:ABN409"/>
    <mergeCell ref="ABO409:ABU409"/>
    <mergeCell ref="ABV409:ACB409"/>
    <mergeCell ref="ACC409:ACI409"/>
    <mergeCell ref="ACJ409:ACP409"/>
    <mergeCell ref="ACQ409:ACW409"/>
    <mergeCell ref="ACX409:ADD409"/>
    <mergeCell ref="ADE409:ADK409"/>
    <mergeCell ref="ADL409:ADR409"/>
    <mergeCell ref="ADS409:ADY409"/>
    <mergeCell ref="ADZ409:AEF409"/>
    <mergeCell ref="AEG409:AEM409"/>
    <mergeCell ref="AEN409:AET409"/>
    <mergeCell ref="AEU409:AFA409"/>
    <mergeCell ref="AFB409:AFH409"/>
    <mergeCell ref="AFI409:AFO409"/>
    <mergeCell ref="AFP409:AFV409"/>
    <mergeCell ref="AFW409:AGC409"/>
    <mergeCell ref="AGD409:AGJ409"/>
    <mergeCell ref="AGK409:AGQ409"/>
    <mergeCell ref="AGR409:AGX409"/>
    <mergeCell ref="AGY409:AHE409"/>
    <mergeCell ref="AHF409:AHL409"/>
    <mergeCell ref="AHM409:AHS409"/>
    <mergeCell ref="AHT409:AHZ409"/>
    <mergeCell ref="AIA409:AIG409"/>
    <mergeCell ref="AIH409:AIN409"/>
    <mergeCell ref="AIO409:AIU409"/>
    <mergeCell ref="AIV409:AJB409"/>
    <mergeCell ref="AJC409:AJI409"/>
    <mergeCell ref="AJJ409:AJP409"/>
    <mergeCell ref="AJQ409:AJW409"/>
    <mergeCell ref="AJX409:AKD409"/>
    <mergeCell ref="AKE409:AKK409"/>
    <mergeCell ref="AKL409:AKR409"/>
    <mergeCell ref="AKS409:AKY409"/>
    <mergeCell ref="AKZ409:ALF409"/>
    <mergeCell ref="ALG409:ALM409"/>
    <mergeCell ref="ALN409:ALT409"/>
    <mergeCell ref="ALU409:AMA409"/>
    <mergeCell ref="AMB409:AMH409"/>
    <mergeCell ref="AMI409:AMO409"/>
    <mergeCell ref="AMP409:AMV409"/>
    <mergeCell ref="AMW409:ANC409"/>
    <mergeCell ref="AND409:ANJ409"/>
    <mergeCell ref="ANK409:ANQ409"/>
    <mergeCell ref="ANR409:ANX409"/>
    <mergeCell ref="ANY409:AOE409"/>
    <mergeCell ref="AOF409:AOL409"/>
    <mergeCell ref="AOM409:AOS409"/>
    <mergeCell ref="AOT409:AOZ409"/>
    <mergeCell ref="APA409:APG409"/>
    <mergeCell ref="APH409:APN409"/>
    <mergeCell ref="APO409:APU409"/>
    <mergeCell ref="APV409:AQB409"/>
    <mergeCell ref="AQC409:AQI409"/>
    <mergeCell ref="AQJ409:AQP409"/>
    <mergeCell ref="AQQ409:AQW409"/>
    <mergeCell ref="AQX409:ARD409"/>
    <mergeCell ref="ARE409:ARK409"/>
    <mergeCell ref="ARL409:ARR409"/>
    <mergeCell ref="ARS409:ARY409"/>
    <mergeCell ref="ARZ409:ASF409"/>
    <mergeCell ref="ASG409:ASM409"/>
    <mergeCell ref="ASN409:AST409"/>
    <mergeCell ref="ASU409:ATA409"/>
    <mergeCell ref="ATB409:ATH409"/>
    <mergeCell ref="ATI409:ATO409"/>
    <mergeCell ref="ATP409:ATV409"/>
    <mergeCell ref="ATW409:AUC409"/>
    <mergeCell ref="AUD409:AUJ409"/>
    <mergeCell ref="AUK409:AUQ409"/>
    <mergeCell ref="AUR409:AUX409"/>
    <mergeCell ref="AUY409:AVE409"/>
    <mergeCell ref="AVF409:AVL409"/>
    <mergeCell ref="AVM409:AVS409"/>
    <mergeCell ref="AVT409:AVZ409"/>
    <mergeCell ref="AWA409:AWG409"/>
    <mergeCell ref="AWH409:AWN409"/>
    <mergeCell ref="AWO409:AWU409"/>
    <mergeCell ref="AWV409:AXB409"/>
    <mergeCell ref="AXC409:AXI409"/>
    <mergeCell ref="AXJ409:AXP409"/>
    <mergeCell ref="AXQ409:AXW409"/>
    <mergeCell ref="AXX409:AYD409"/>
    <mergeCell ref="AYE409:AYK409"/>
    <mergeCell ref="AYL409:AYR409"/>
    <mergeCell ref="AYS409:AYY409"/>
    <mergeCell ref="AYZ409:AZF409"/>
    <mergeCell ref="AZG409:AZM409"/>
    <mergeCell ref="AZN409:AZT409"/>
    <mergeCell ref="AZU409:BAA409"/>
    <mergeCell ref="BAB409:BAH409"/>
    <mergeCell ref="BAI409:BAO409"/>
    <mergeCell ref="BAP409:BAV409"/>
    <mergeCell ref="BAW409:BBC409"/>
    <mergeCell ref="BBD409:BBJ409"/>
    <mergeCell ref="BBK409:BBQ409"/>
    <mergeCell ref="BBR409:BBX409"/>
    <mergeCell ref="BBY409:BCE409"/>
    <mergeCell ref="BCF409:BCL409"/>
    <mergeCell ref="BCM409:BCS409"/>
    <mergeCell ref="BCT409:BCZ409"/>
    <mergeCell ref="BDA409:BDG409"/>
    <mergeCell ref="BDH409:BDN409"/>
    <mergeCell ref="BDO409:BDU409"/>
    <mergeCell ref="BDV409:BEB409"/>
    <mergeCell ref="BEC409:BEI409"/>
    <mergeCell ref="BEJ409:BEP409"/>
    <mergeCell ref="BEQ409:BEW409"/>
    <mergeCell ref="BEX409:BFD409"/>
    <mergeCell ref="BFE409:BFK409"/>
    <mergeCell ref="BFL409:BFR409"/>
    <mergeCell ref="BFS409:BFY409"/>
    <mergeCell ref="BFZ409:BGF409"/>
    <mergeCell ref="BGG409:BGM409"/>
    <mergeCell ref="BGN409:BGT409"/>
    <mergeCell ref="BGU409:BHA409"/>
    <mergeCell ref="BHB409:BHH409"/>
    <mergeCell ref="BHI409:BHO409"/>
    <mergeCell ref="BHP409:BHV409"/>
    <mergeCell ref="BHW409:BIC409"/>
    <mergeCell ref="BID409:BIJ409"/>
    <mergeCell ref="BIK409:BIQ409"/>
    <mergeCell ref="BIR409:BIX409"/>
    <mergeCell ref="BIY409:BJE409"/>
    <mergeCell ref="BJF409:BJL409"/>
    <mergeCell ref="BJM409:BJS409"/>
    <mergeCell ref="BJT409:BJZ409"/>
    <mergeCell ref="BKA409:BKG409"/>
    <mergeCell ref="BKH409:BKN409"/>
    <mergeCell ref="BKO409:BKU409"/>
    <mergeCell ref="BKV409:BLB409"/>
    <mergeCell ref="BLC409:BLI409"/>
    <mergeCell ref="BLJ409:BLP409"/>
    <mergeCell ref="BLQ409:BLW409"/>
    <mergeCell ref="BLX409:BMD409"/>
    <mergeCell ref="BME409:BMK409"/>
    <mergeCell ref="BML409:BMR409"/>
    <mergeCell ref="BMS409:BMY409"/>
    <mergeCell ref="BMZ409:BNF409"/>
    <mergeCell ref="BNG409:BNM409"/>
    <mergeCell ref="BNN409:BNT409"/>
    <mergeCell ref="BNU409:BOA409"/>
    <mergeCell ref="BOB409:BOH409"/>
    <mergeCell ref="BOI409:BOO409"/>
    <mergeCell ref="BOP409:BOV409"/>
    <mergeCell ref="BOW409:BPC409"/>
    <mergeCell ref="BPD409:BPJ409"/>
    <mergeCell ref="BPK409:BPQ409"/>
    <mergeCell ref="BPR409:BPX409"/>
    <mergeCell ref="BPY409:BQE409"/>
    <mergeCell ref="BQF409:BQL409"/>
    <mergeCell ref="BQM409:BQS409"/>
    <mergeCell ref="BQT409:BQZ409"/>
    <mergeCell ref="BRA409:BRG409"/>
    <mergeCell ref="BRH409:BRN409"/>
    <mergeCell ref="BRO409:BRU409"/>
    <mergeCell ref="BRV409:BSB409"/>
    <mergeCell ref="BSC409:BSI409"/>
    <mergeCell ref="BSJ409:BSP409"/>
    <mergeCell ref="BSQ409:BSW409"/>
    <mergeCell ref="BSX409:BTD409"/>
    <mergeCell ref="BTE409:BTK409"/>
    <mergeCell ref="BTL409:BTR409"/>
    <mergeCell ref="BTS409:BTY409"/>
    <mergeCell ref="BTZ409:BUF409"/>
    <mergeCell ref="BUG409:BUM409"/>
    <mergeCell ref="BUN409:BUT409"/>
    <mergeCell ref="BUU409:BVA409"/>
    <mergeCell ref="BVB409:BVH409"/>
    <mergeCell ref="BVI409:BVO409"/>
    <mergeCell ref="BVP409:BVV409"/>
    <mergeCell ref="BVW409:BWC409"/>
    <mergeCell ref="BWD409:BWJ409"/>
    <mergeCell ref="BWK409:BWQ409"/>
    <mergeCell ref="BWR409:BWX409"/>
    <mergeCell ref="BWY409:BXE409"/>
    <mergeCell ref="BXF409:BXL409"/>
    <mergeCell ref="BXM409:BXS409"/>
    <mergeCell ref="BXT409:BXZ409"/>
    <mergeCell ref="BYA409:BYG409"/>
    <mergeCell ref="BYH409:BYN409"/>
    <mergeCell ref="BYO409:BYU409"/>
    <mergeCell ref="BYV409:BZB409"/>
    <mergeCell ref="BZC409:BZI409"/>
    <mergeCell ref="BZJ409:BZP409"/>
    <mergeCell ref="BZQ409:BZW409"/>
    <mergeCell ref="BZX409:CAD409"/>
    <mergeCell ref="CAE409:CAK409"/>
    <mergeCell ref="CAL409:CAR409"/>
    <mergeCell ref="CAS409:CAY409"/>
    <mergeCell ref="CAZ409:CBF409"/>
    <mergeCell ref="CBG409:CBM409"/>
    <mergeCell ref="CBN409:CBT409"/>
    <mergeCell ref="CBU409:CCA409"/>
    <mergeCell ref="CCB409:CCH409"/>
    <mergeCell ref="CCI409:CCO409"/>
    <mergeCell ref="CCP409:CCV409"/>
    <mergeCell ref="CCW409:CDC409"/>
    <mergeCell ref="CDD409:CDJ409"/>
    <mergeCell ref="CDK409:CDQ409"/>
    <mergeCell ref="CDR409:CDX409"/>
    <mergeCell ref="CDY409:CEE409"/>
    <mergeCell ref="CEF409:CEL409"/>
    <mergeCell ref="CEM409:CES409"/>
    <mergeCell ref="CET409:CEZ409"/>
    <mergeCell ref="CFA409:CFG409"/>
    <mergeCell ref="CFH409:CFN409"/>
    <mergeCell ref="CFO409:CFU409"/>
    <mergeCell ref="CFV409:CGB409"/>
    <mergeCell ref="CGC409:CGI409"/>
    <mergeCell ref="CGJ409:CGP409"/>
    <mergeCell ref="CGQ409:CGW409"/>
    <mergeCell ref="CGX409:CHD409"/>
    <mergeCell ref="CHE409:CHK409"/>
    <mergeCell ref="CHL409:CHR409"/>
    <mergeCell ref="CHS409:CHY409"/>
    <mergeCell ref="CHZ409:CIF409"/>
    <mergeCell ref="CIG409:CIM409"/>
    <mergeCell ref="CIN409:CIT409"/>
    <mergeCell ref="CIU409:CJA409"/>
    <mergeCell ref="CJB409:CJH409"/>
    <mergeCell ref="CJI409:CJO409"/>
    <mergeCell ref="CJP409:CJV409"/>
    <mergeCell ref="CJW409:CKC409"/>
    <mergeCell ref="CKD409:CKJ409"/>
    <mergeCell ref="CKK409:CKQ409"/>
    <mergeCell ref="CKR409:CKX409"/>
    <mergeCell ref="CKY409:CLE409"/>
    <mergeCell ref="CLF409:CLL409"/>
    <mergeCell ref="CLM409:CLS409"/>
    <mergeCell ref="CLT409:CLZ409"/>
    <mergeCell ref="CMA409:CMG409"/>
    <mergeCell ref="CMH409:CMN409"/>
    <mergeCell ref="CMO409:CMU409"/>
    <mergeCell ref="CMV409:CNB409"/>
    <mergeCell ref="CNC409:CNI409"/>
    <mergeCell ref="CNJ409:CNP409"/>
    <mergeCell ref="CNQ409:CNW409"/>
    <mergeCell ref="CNX409:COD409"/>
    <mergeCell ref="COE409:COK409"/>
    <mergeCell ref="COL409:COR409"/>
    <mergeCell ref="COS409:COY409"/>
    <mergeCell ref="COZ409:CPF409"/>
    <mergeCell ref="CPG409:CPM409"/>
    <mergeCell ref="CPN409:CPT409"/>
    <mergeCell ref="CPU409:CQA409"/>
    <mergeCell ref="CQB409:CQH409"/>
    <mergeCell ref="CQI409:CQO409"/>
    <mergeCell ref="CQP409:CQV409"/>
    <mergeCell ref="CQW409:CRC409"/>
    <mergeCell ref="CRD409:CRJ409"/>
    <mergeCell ref="CRK409:CRQ409"/>
    <mergeCell ref="CRR409:CRX409"/>
    <mergeCell ref="CRY409:CSE409"/>
    <mergeCell ref="CSF409:CSL409"/>
    <mergeCell ref="CSM409:CSS409"/>
    <mergeCell ref="CST409:CSZ409"/>
    <mergeCell ref="CTA409:CTG409"/>
    <mergeCell ref="CTH409:CTN409"/>
    <mergeCell ref="CTO409:CTU409"/>
    <mergeCell ref="CTV409:CUB409"/>
    <mergeCell ref="CUC409:CUI409"/>
    <mergeCell ref="CUJ409:CUP409"/>
    <mergeCell ref="CUQ409:CUW409"/>
    <mergeCell ref="CUX409:CVD409"/>
    <mergeCell ref="CVE409:CVK409"/>
    <mergeCell ref="CVL409:CVR409"/>
    <mergeCell ref="CVS409:CVY409"/>
    <mergeCell ref="CVZ409:CWF409"/>
    <mergeCell ref="CWG409:CWM409"/>
    <mergeCell ref="CWN409:CWT409"/>
    <mergeCell ref="CWU409:CXA409"/>
    <mergeCell ref="CXB409:CXH409"/>
    <mergeCell ref="CXI409:CXO409"/>
    <mergeCell ref="CXP409:CXV409"/>
    <mergeCell ref="CXW409:CYC409"/>
    <mergeCell ref="CYD409:CYJ409"/>
    <mergeCell ref="CYK409:CYQ409"/>
    <mergeCell ref="CYR409:CYX409"/>
    <mergeCell ref="CYY409:CZE409"/>
    <mergeCell ref="CZF409:CZL409"/>
    <mergeCell ref="CZM409:CZS409"/>
    <mergeCell ref="CZT409:CZZ409"/>
    <mergeCell ref="DAA409:DAG409"/>
    <mergeCell ref="DAH409:DAN409"/>
    <mergeCell ref="DAO409:DAU409"/>
    <mergeCell ref="DAV409:DBB409"/>
    <mergeCell ref="DBC409:DBI409"/>
    <mergeCell ref="DBJ409:DBP409"/>
    <mergeCell ref="DBQ409:DBW409"/>
    <mergeCell ref="DBX409:DCD409"/>
    <mergeCell ref="DCE409:DCK409"/>
    <mergeCell ref="DCL409:DCR409"/>
    <mergeCell ref="DCS409:DCY409"/>
    <mergeCell ref="DCZ409:DDF409"/>
    <mergeCell ref="DDG409:DDM409"/>
    <mergeCell ref="DDN409:DDT409"/>
    <mergeCell ref="DDU409:DEA409"/>
    <mergeCell ref="DEB409:DEH409"/>
    <mergeCell ref="DEI409:DEO409"/>
    <mergeCell ref="DEP409:DEV409"/>
    <mergeCell ref="DEW409:DFC409"/>
    <mergeCell ref="DFD409:DFJ409"/>
    <mergeCell ref="DFK409:DFQ409"/>
    <mergeCell ref="DFR409:DFX409"/>
    <mergeCell ref="DFY409:DGE409"/>
    <mergeCell ref="DGF409:DGL409"/>
    <mergeCell ref="DGM409:DGS409"/>
    <mergeCell ref="DGT409:DGZ409"/>
    <mergeCell ref="DHA409:DHG409"/>
    <mergeCell ref="DHH409:DHN409"/>
    <mergeCell ref="DHO409:DHU409"/>
    <mergeCell ref="DHV409:DIB409"/>
    <mergeCell ref="DIC409:DII409"/>
    <mergeCell ref="DIJ409:DIP409"/>
    <mergeCell ref="DIQ409:DIW409"/>
    <mergeCell ref="DIX409:DJD409"/>
    <mergeCell ref="DJE409:DJK409"/>
    <mergeCell ref="DJL409:DJR409"/>
    <mergeCell ref="DJS409:DJY409"/>
    <mergeCell ref="DJZ409:DKF409"/>
    <mergeCell ref="DKG409:DKM409"/>
    <mergeCell ref="DKN409:DKT409"/>
    <mergeCell ref="DKU409:DLA409"/>
    <mergeCell ref="DLB409:DLH409"/>
    <mergeCell ref="DLI409:DLO409"/>
    <mergeCell ref="DLP409:DLV409"/>
    <mergeCell ref="DLW409:DMC409"/>
    <mergeCell ref="DMD409:DMJ409"/>
    <mergeCell ref="DMK409:DMQ409"/>
    <mergeCell ref="DMR409:DMX409"/>
    <mergeCell ref="DMY409:DNE409"/>
    <mergeCell ref="DNF409:DNL409"/>
    <mergeCell ref="DNM409:DNS409"/>
    <mergeCell ref="DNT409:DNZ409"/>
    <mergeCell ref="DOA409:DOG409"/>
    <mergeCell ref="DOH409:DON409"/>
    <mergeCell ref="DOO409:DOU409"/>
    <mergeCell ref="DOV409:DPB409"/>
    <mergeCell ref="DPC409:DPI409"/>
    <mergeCell ref="DPJ409:DPP409"/>
    <mergeCell ref="DPQ409:DPW409"/>
    <mergeCell ref="DPX409:DQD409"/>
    <mergeCell ref="DQE409:DQK409"/>
    <mergeCell ref="DQL409:DQR409"/>
    <mergeCell ref="DQS409:DQY409"/>
    <mergeCell ref="DQZ409:DRF409"/>
    <mergeCell ref="DRG409:DRM409"/>
    <mergeCell ref="DRN409:DRT409"/>
    <mergeCell ref="DRU409:DSA409"/>
    <mergeCell ref="DSB409:DSH409"/>
    <mergeCell ref="DSI409:DSO409"/>
    <mergeCell ref="DSP409:DSV409"/>
    <mergeCell ref="DSW409:DTC409"/>
    <mergeCell ref="DTD409:DTJ409"/>
    <mergeCell ref="DTK409:DTQ409"/>
    <mergeCell ref="DTR409:DTX409"/>
    <mergeCell ref="DTY409:DUE409"/>
    <mergeCell ref="DUF409:DUL409"/>
    <mergeCell ref="DUM409:DUS409"/>
    <mergeCell ref="DUT409:DUZ409"/>
    <mergeCell ref="DVA409:DVG409"/>
    <mergeCell ref="DVH409:DVN409"/>
    <mergeCell ref="DVO409:DVU409"/>
    <mergeCell ref="DVV409:DWB409"/>
    <mergeCell ref="DWC409:DWI409"/>
    <mergeCell ref="DWJ409:DWP409"/>
    <mergeCell ref="DWQ409:DWW409"/>
    <mergeCell ref="DWX409:DXD409"/>
    <mergeCell ref="DXE409:DXK409"/>
    <mergeCell ref="DXL409:DXR409"/>
    <mergeCell ref="DXS409:DXY409"/>
    <mergeCell ref="DXZ409:DYF409"/>
    <mergeCell ref="DYG409:DYM409"/>
    <mergeCell ref="DYN409:DYT409"/>
    <mergeCell ref="DYU409:DZA409"/>
    <mergeCell ref="DZB409:DZH409"/>
    <mergeCell ref="DZI409:DZO409"/>
    <mergeCell ref="DZP409:DZV409"/>
    <mergeCell ref="DZW409:EAC409"/>
    <mergeCell ref="EAD409:EAJ409"/>
    <mergeCell ref="EAK409:EAQ409"/>
    <mergeCell ref="EAR409:EAX409"/>
    <mergeCell ref="EAY409:EBE409"/>
    <mergeCell ref="EBF409:EBL409"/>
    <mergeCell ref="EBM409:EBS409"/>
    <mergeCell ref="EBT409:EBZ409"/>
    <mergeCell ref="ECA409:ECG409"/>
    <mergeCell ref="ECH409:ECN409"/>
    <mergeCell ref="ECO409:ECU409"/>
    <mergeCell ref="ECV409:EDB409"/>
    <mergeCell ref="EDC409:EDI409"/>
    <mergeCell ref="EDJ409:EDP409"/>
    <mergeCell ref="EDQ409:EDW409"/>
    <mergeCell ref="EDX409:EED409"/>
    <mergeCell ref="EEE409:EEK409"/>
    <mergeCell ref="EEL409:EER409"/>
    <mergeCell ref="EES409:EEY409"/>
    <mergeCell ref="EEZ409:EFF409"/>
    <mergeCell ref="EFG409:EFM409"/>
    <mergeCell ref="EFN409:EFT409"/>
    <mergeCell ref="EFU409:EGA409"/>
    <mergeCell ref="EGB409:EGH409"/>
    <mergeCell ref="EGI409:EGO409"/>
    <mergeCell ref="EGP409:EGV409"/>
    <mergeCell ref="EGW409:EHC409"/>
    <mergeCell ref="EHD409:EHJ409"/>
    <mergeCell ref="EHK409:EHQ409"/>
    <mergeCell ref="EHR409:EHX409"/>
    <mergeCell ref="EHY409:EIE409"/>
    <mergeCell ref="EIF409:EIL409"/>
    <mergeCell ref="EIM409:EIS409"/>
    <mergeCell ref="EIT409:EIZ409"/>
    <mergeCell ref="EJA409:EJG409"/>
    <mergeCell ref="EJH409:EJN409"/>
    <mergeCell ref="EJO409:EJU409"/>
    <mergeCell ref="EJV409:EKB409"/>
    <mergeCell ref="EKC409:EKI409"/>
    <mergeCell ref="EKJ409:EKP409"/>
    <mergeCell ref="EKQ409:EKW409"/>
    <mergeCell ref="EKX409:ELD409"/>
    <mergeCell ref="ELE409:ELK409"/>
    <mergeCell ref="ELL409:ELR409"/>
    <mergeCell ref="ELS409:ELY409"/>
    <mergeCell ref="ELZ409:EMF409"/>
    <mergeCell ref="EMG409:EMM409"/>
    <mergeCell ref="EMN409:EMT409"/>
    <mergeCell ref="EMU409:ENA409"/>
    <mergeCell ref="ENB409:ENH409"/>
    <mergeCell ref="ENI409:ENO409"/>
    <mergeCell ref="ENP409:ENV409"/>
    <mergeCell ref="ENW409:EOC409"/>
    <mergeCell ref="EOD409:EOJ409"/>
    <mergeCell ref="EOK409:EOQ409"/>
    <mergeCell ref="EOR409:EOX409"/>
    <mergeCell ref="EOY409:EPE409"/>
    <mergeCell ref="EPF409:EPL409"/>
    <mergeCell ref="EPM409:EPS409"/>
    <mergeCell ref="EPT409:EPZ409"/>
    <mergeCell ref="EQA409:EQG409"/>
    <mergeCell ref="EQH409:EQN409"/>
    <mergeCell ref="EQO409:EQU409"/>
    <mergeCell ref="EQV409:ERB409"/>
    <mergeCell ref="ERC409:ERI409"/>
    <mergeCell ref="ERJ409:ERP409"/>
    <mergeCell ref="ERQ409:ERW409"/>
    <mergeCell ref="ERX409:ESD409"/>
    <mergeCell ref="ESE409:ESK409"/>
    <mergeCell ref="ESL409:ESR409"/>
    <mergeCell ref="ESS409:ESY409"/>
    <mergeCell ref="ESZ409:ETF409"/>
    <mergeCell ref="ETG409:ETM409"/>
    <mergeCell ref="ETN409:ETT409"/>
    <mergeCell ref="ETU409:EUA409"/>
    <mergeCell ref="EUB409:EUH409"/>
    <mergeCell ref="EUI409:EUO409"/>
    <mergeCell ref="EUP409:EUV409"/>
    <mergeCell ref="EUW409:EVC409"/>
    <mergeCell ref="EVD409:EVJ409"/>
    <mergeCell ref="EVK409:EVQ409"/>
    <mergeCell ref="EVR409:EVX409"/>
    <mergeCell ref="EVY409:EWE409"/>
    <mergeCell ref="EWF409:EWL409"/>
    <mergeCell ref="EWM409:EWS409"/>
    <mergeCell ref="EWT409:EWZ409"/>
    <mergeCell ref="EXA409:EXG409"/>
    <mergeCell ref="EXH409:EXN409"/>
    <mergeCell ref="EXO409:EXU409"/>
    <mergeCell ref="EXV409:EYB409"/>
    <mergeCell ref="EYC409:EYI409"/>
    <mergeCell ref="EYJ409:EYP409"/>
    <mergeCell ref="EYQ409:EYW409"/>
    <mergeCell ref="EYX409:EZD409"/>
    <mergeCell ref="EZE409:EZK409"/>
    <mergeCell ref="EZL409:EZR409"/>
    <mergeCell ref="EZS409:EZY409"/>
    <mergeCell ref="EZZ409:FAF409"/>
    <mergeCell ref="FAG409:FAM409"/>
    <mergeCell ref="FAN409:FAT409"/>
    <mergeCell ref="FAU409:FBA409"/>
    <mergeCell ref="FBB409:FBH409"/>
    <mergeCell ref="FBI409:FBO409"/>
    <mergeCell ref="FBP409:FBV409"/>
    <mergeCell ref="FBW409:FCC409"/>
    <mergeCell ref="FCD409:FCJ409"/>
    <mergeCell ref="FCK409:FCQ409"/>
    <mergeCell ref="FCR409:FCX409"/>
    <mergeCell ref="FCY409:FDE409"/>
    <mergeCell ref="FDF409:FDL409"/>
    <mergeCell ref="FDM409:FDS409"/>
    <mergeCell ref="FDT409:FDZ409"/>
    <mergeCell ref="FEA409:FEG409"/>
    <mergeCell ref="FEH409:FEN409"/>
    <mergeCell ref="FEO409:FEU409"/>
    <mergeCell ref="FEV409:FFB409"/>
    <mergeCell ref="FFC409:FFI409"/>
    <mergeCell ref="FFJ409:FFP409"/>
    <mergeCell ref="FFQ409:FFW409"/>
    <mergeCell ref="FFX409:FGD409"/>
    <mergeCell ref="FGE409:FGK409"/>
    <mergeCell ref="FGL409:FGR409"/>
    <mergeCell ref="FGS409:FGY409"/>
    <mergeCell ref="FGZ409:FHF409"/>
    <mergeCell ref="FHG409:FHM409"/>
    <mergeCell ref="FHN409:FHT409"/>
    <mergeCell ref="FHU409:FIA409"/>
    <mergeCell ref="FIB409:FIH409"/>
    <mergeCell ref="FII409:FIO409"/>
    <mergeCell ref="FIP409:FIV409"/>
    <mergeCell ref="FIW409:FJC409"/>
    <mergeCell ref="FJD409:FJJ409"/>
    <mergeCell ref="FJK409:FJQ409"/>
    <mergeCell ref="FJR409:FJX409"/>
    <mergeCell ref="FJY409:FKE409"/>
    <mergeCell ref="FKF409:FKL409"/>
    <mergeCell ref="FKM409:FKS409"/>
    <mergeCell ref="FKT409:FKZ409"/>
    <mergeCell ref="FLA409:FLG409"/>
    <mergeCell ref="FLH409:FLN409"/>
    <mergeCell ref="FLO409:FLU409"/>
    <mergeCell ref="FLV409:FMB409"/>
    <mergeCell ref="FMC409:FMI409"/>
    <mergeCell ref="FMJ409:FMP409"/>
    <mergeCell ref="FMQ409:FMW409"/>
    <mergeCell ref="FMX409:FND409"/>
    <mergeCell ref="FNE409:FNK409"/>
    <mergeCell ref="FNL409:FNR409"/>
    <mergeCell ref="FNS409:FNY409"/>
    <mergeCell ref="FNZ409:FOF409"/>
    <mergeCell ref="FOG409:FOM409"/>
    <mergeCell ref="FON409:FOT409"/>
    <mergeCell ref="FOU409:FPA409"/>
    <mergeCell ref="FPB409:FPH409"/>
    <mergeCell ref="FPI409:FPO409"/>
    <mergeCell ref="FPP409:FPV409"/>
    <mergeCell ref="FPW409:FQC409"/>
    <mergeCell ref="FQD409:FQJ409"/>
    <mergeCell ref="FQK409:FQQ409"/>
    <mergeCell ref="FQR409:FQX409"/>
    <mergeCell ref="FQY409:FRE409"/>
    <mergeCell ref="FRF409:FRL409"/>
    <mergeCell ref="FRM409:FRS409"/>
    <mergeCell ref="FRT409:FRZ409"/>
    <mergeCell ref="FSA409:FSG409"/>
    <mergeCell ref="FSH409:FSN409"/>
    <mergeCell ref="FSO409:FSU409"/>
    <mergeCell ref="FSV409:FTB409"/>
    <mergeCell ref="FTC409:FTI409"/>
    <mergeCell ref="FTJ409:FTP409"/>
    <mergeCell ref="FTQ409:FTW409"/>
    <mergeCell ref="FTX409:FUD409"/>
    <mergeCell ref="FUE409:FUK409"/>
    <mergeCell ref="FUL409:FUR409"/>
    <mergeCell ref="FUS409:FUY409"/>
    <mergeCell ref="FUZ409:FVF409"/>
    <mergeCell ref="FVG409:FVM409"/>
    <mergeCell ref="FVN409:FVT409"/>
    <mergeCell ref="FVU409:FWA409"/>
    <mergeCell ref="FWB409:FWH409"/>
    <mergeCell ref="FWI409:FWO409"/>
    <mergeCell ref="FWP409:FWV409"/>
    <mergeCell ref="FWW409:FXC409"/>
    <mergeCell ref="FXD409:FXJ409"/>
    <mergeCell ref="FXK409:FXQ409"/>
    <mergeCell ref="FXR409:FXX409"/>
    <mergeCell ref="FXY409:FYE409"/>
    <mergeCell ref="FYF409:FYL409"/>
    <mergeCell ref="FYM409:FYS409"/>
    <mergeCell ref="FYT409:FYZ409"/>
    <mergeCell ref="FZA409:FZG409"/>
    <mergeCell ref="FZH409:FZN409"/>
    <mergeCell ref="FZO409:FZU409"/>
    <mergeCell ref="FZV409:GAB409"/>
    <mergeCell ref="GAC409:GAI409"/>
    <mergeCell ref="GAJ409:GAP409"/>
    <mergeCell ref="GAQ409:GAW409"/>
    <mergeCell ref="GAX409:GBD409"/>
    <mergeCell ref="GBE409:GBK409"/>
    <mergeCell ref="GBL409:GBR409"/>
    <mergeCell ref="GBS409:GBY409"/>
    <mergeCell ref="GBZ409:GCF409"/>
    <mergeCell ref="GCG409:GCM409"/>
    <mergeCell ref="GCN409:GCT409"/>
    <mergeCell ref="GCU409:GDA409"/>
    <mergeCell ref="GDB409:GDH409"/>
    <mergeCell ref="GDI409:GDO409"/>
    <mergeCell ref="GDP409:GDV409"/>
    <mergeCell ref="GDW409:GEC409"/>
    <mergeCell ref="GED409:GEJ409"/>
    <mergeCell ref="GEK409:GEQ409"/>
    <mergeCell ref="GER409:GEX409"/>
    <mergeCell ref="GEY409:GFE409"/>
    <mergeCell ref="GFF409:GFL409"/>
    <mergeCell ref="GFM409:GFS409"/>
    <mergeCell ref="GFT409:GFZ409"/>
    <mergeCell ref="GGA409:GGG409"/>
    <mergeCell ref="GGH409:GGN409"/>
    <mergeCell ref="GGO409:GGU409"/>
    <mergeCell ref="GGV409:GHB409"/>
    <mergeCell ref="GHC409:GHI409"/>
    <mergeCell ref="GHJ409:GHP409"/>
    <mergeCell ref="GHQ409:GHW409"/>
    <mergeCell ref="GHX409:GID409"/>
    <mergeCell ref="GIE409:GIK409"/>
    <mergeCell ref="GIL409:GIR409"/>
    <mergeCell ref="GIS409:GIY409"/>
    <mergeCell ref="GIZ409:GJF409"/>
    <mergeCell ref="GJG409:GJM409"/>
    <mergeCell ref="GJN409:GJT409"/>
    <mergeCell ref="GJU409:GKA409"/>
    <mergeCell ref="GKB409:GKH409"/>
    <mergeCell ref="GKI409:GKO409"/>
    <mergeCell ref="GKP409:GKV409"/>
    <mergeCell ref="GKW409:GLC409"/>
    <mergeCell ref="GLD409:GLJ409"/>
    <mergeCell ref="GLK409:GLQ409"/>
    <mergeCell ref="GLR409:GLX409"/>
    <mergeCell ref="GLY409:GME409"/>
    <mergeCell ref="GMF409:GML409"/>
    <mergeCell ref="GMM409:GMS409"/>
    <mergeCell ref="GMT409:GMZ409"/>
    <mergeCell ref="GNA409:GNG409"/>
    <mergeCell ref="GNH409:GNN409"/>
    <mergeCell ref="GNO409:GNU409"/>
    <mergeCell ref="GNV409:GOB409"/>
    <mergeCell ref="GOC409:GOI409"/>
    <mergeCell ref="GOJ409:GOP409"/>
    <mergeCell ref="GOQ409:GOW409"/>
    <mergeCell ref="GOX409:GPD409"/>
    <mergeCell ref="GPE409:GPK409"/>
    <mergeCell ref="GPL409:GPR409"/>
    <mergeCell ref="GPS409:GPY409"/>
    <mergeCell ref="GPZ409:GQF409"/>
    <mergeCell ref="GQG409:GQM409"/>
    <mergeCell ref="GQN409:GQT409"/>
    <mergeCell ref="GQU409:GRA409"/>
    <mergeCell ref="GRB409:GRH409"/>
    <mergeCell ref="GRI409:GRO409"/>
    <mergeCell ref="GRP409:GRV409"/>
    <mergeCell ref="GRW409:GSC409"/>
    <mergeCell ref="GSD409:GSJ409"/>
    <mergeCell ref="GSK409:GSQ409"/>
    <mergeCell ref="GSR409:GSX409"/>
    <mergeCell ref="GSY409:GTE409"/>
    <mergeCell ref="GTF409:GTL409"/>
    <mergeCell ref="GTM409:GTS409"/>
    <mergeCell ref="GTT409:GTZ409"/>
    <mergeCell ref="GUA409:GUG409"/>
    <mergeCell ref="GUH409:GUN409"/>
    <mergeCell ref="GUO409:GUU409"/>
    <mergeCell ref="GUV409:GVB409"/>
    <mergeCell ref="GVC409:GVI409"/>
    <mergeCell ref="GVJ409:GVP409"/>
    <mergeCell ref="GVQ409:GVW409"/>
    <mergeCell ref="GVX409:GWD409"/>
    <mergeCell ref="GWE409:GWK409"/>
    <mergeCell ref="GWL409:GWR409"/>
    <mergeCell ref="GWS409:GWY409"/>
    <mergeCell ref="GWZ409:GXF409"/>
    <mergeCell ref="GXG409:GXM409"/>
    <mergeCell ref="GXN409:GXT409"/>
    <mergeCell ref="GXU409:GYA409"/>
    <mergeCell ref="GYB409:GYH409"/>
    <mergeCell ref="GYI409:GYO409"/>
    <mergeCell ref="GYP409:GYV409"/>
    <mergeCell ref="GYW409:GZC409"/>
    <mergeCell ref="GZD409:GZJ409"/>
    <mergeCell ref="GZK409:GZQ409"/>
    <mergeCell ref="GZR409:GZX409"/>
    <mergeCell ref="GZY409:HAE409"/>
    <mergeCell ref="HAF409:HAL409"/>
    <mergeCell ref="HAM409:HAS409"/>
    <mergeCell ref="HAT409:HAZ409"/>
    <mergeCell ref="HBA409:HBG409"/>
    <mergeCell ref="HBH409:HBN409"/>
    <mergeCell ref="HBO409:HBU409"/>
    <mergeCell ref="HBV409:HCB409"/>
    <mergeCell ref="HCC409:HCI409"/>
    <mergeCell ref="HCJ409:HCP409"/>
    <mergeCell ref="HCQ409:HCW409"/>
    <mergeCell ref="HCX409:HDD409"/>
    <mergeCell ref="HDE409:HDK409"/>
    <mergeCell ref="HDL409:HDR409"/>
    <mergeCell ref="HDS409:HDY409"/>
    <mergeCell ref="HDZ409:HEF409"/>
    <mergeCell ref="HEG409:HEM409"/>
    <mergeCell ref="HEN409:HET409"/>
    <mergeCell ref="HEU409:HFA409"/>
    <mergeCell ref="HFB409:HFH409"/>
    <mergeCell ref="HFI409:HFO409"/>
    <mergeCell ref="HFP409:HFV409"/>
    <mergeCell ref="HFW409:HGC409"/>
    <mergeCell ref="HGD409:HGJ409"/>
    <mergeCell ref="HGK409:HGQ409"/>
    <mergeCell ref="HGR409:HGX409"/>
    <mergeCell ref="HGY409:HHE409"/>
    <mergeCell ref="HHF409:HHL409"/>
    <mergeCell ref="HHM409:HHS409"/>
    <mergeCell ref="HHT409:HHZ409"/>
    <mergeCell ref="HIA409:HIG409"/>
    <mergeCell ref="HIH409:HIN409"/>
    <mergeCell ref="HIO409:HIU409"/>
    <mergeCell ref="HIV409:HJB409"/>
    <mergeCell ref="HJC409:HJI409"/>
    <mergeCell ref="HJJ409:HJP409"/>
    <mergeCell ref="HJQ409:HJW409"/>
    <mergeCell ref="HJX409:HKD409"/>
    <mergeCell ref="HKE409:HKK409"/>
    <mergeCell ref="HKL409:HKR409"/>
    <mergeCell ref="HKS409:HKY409"/>
    <mergeCell ref="HKZ409:HLF409"/>
    <mergeCell ref="HLG409:HLM409"/>
    <mergeCell ref="HLN409:HLT409"/>
    <mergeCell ref="HLU409:HMA409"/>
    <mergeCell ref="HMB409:HMH409"/>
    <mergeCell ref="HMI409:HMO409"/>
    <mergeCell ref="HMP409:HMV409"/>
    <mergeCell ref="HMW409:HNC409"/>
    <mergeCell ref="HND409:HNJ409"/>
    <mergeCell ref="HNK409:HNQ409"/>
    <mergeCell ref="HNR409:HNX409"/>
    <mergeCell ref="HNY409:HOE409"/>
    <mergeCell ref="HOF409:HOL409"/>
    <mergeCell ref="HOM409:HOS409"/>
    <mergeCell ref="HOT409:HOZ409"/>
    <mergeCell ref="HPA409:HPG409"/>
    <mergeCell ref="HPH409:HPN409"/>
    <mergeCell ref="HPO409:HPU409"/>
    <mergeCell ref="HPV409:HQB409"/>
    <mergeCell ref="HQC409:HQI409"/>
    <mergeCell ref="HQJ409:HQP409"/>
    <mergeCell ref="HQQ409:HQW409"/>
    <mergeCell ref="HQX409:HRD409"/>
    <mergeCell ref="HRE409:HRK409"/>
    <mergeCell ref="HRL409:HRR409"/>
    <mergeCell ref="HRS409:HRY409"/>
    <mergeCell ref="HRZ409:HSF409"/>
    <mergeCell ref="HSG409:HSM409"/>
    <mergeCell ref="HSN409:HST409"/>
    <mergeCell ref="HSU409:HTA409"/>
    <mergeCell ref="HTB409:HTH409"/>
    <mergeCell ref="HTI409:HTO409"/>
    <mergeCell ref="HTP409:HTV409"/>
    <mergeCell ref="HTW409:HUC409"/>
    <mergeCell ref="HUD409:HUJ409"/>
    <mergeCell ref="HUK409:HUQ409"/>
    <mergeCell ref="HUR409:HUX409"/>
    <mergeCell ref="HUY409:HVE409"/>
    <mergeCell ref="HVF409:HVL409"/>
    <mergeCell ref="HVM409:HVS409"/>
    <mergeCell ref="HVT409:HVZ409"/>
    <mergeCell ref="HWA409:HWG409"/>
    <mergeCell ref="HWH409:HWN409"/>
    <mergeCell ref="HWO409:HWU409"/>
    <mergeCell ref="HWV409:HXB409"/>
    <mergeCell ref="HXC409:HXI409"/>
    <mergeCell ref="HXJ409:HXP409"/>
    <mergeCell ref="HXQ409:HXW409"/>
    <mergeCell ref="HXX409:HYD409"/>
    <mergeCell ref="HYE409:HYK409"/>
    <mergeCell ref="HYL409:HYR409"/>
    <mergeCell ref="HYS409:HYY409"/>
    <mergeCell ref="HYZ409:HZF409"/>
    <mergeCell ref="HZG409:HZM409"/>
    <mergeCell ref="HZN409:HZT409"/>
    <mergeCell ref="HZU409:IAA409"/>
    <mergeCell ref="IAB409:IAH409"/>
    <mergeCell ref="IAI409:IAO409"/>
    <mergeCell ref="IAP409:IAV409"/>
    <mergeCell ref="IAW409:IBC409"/>
    <mergeCell ref="IBD409:IBJ409"/>
    <mergeCell ref="IBK409:IBQ409"/>
    <mergeCell ref="IBR409:IBX409"/>
    <mergeCell ref="IBY409:ICE409"/>
    <mergeCell ref="ICF409:ICL409"/>
    <mergeCell ref="ICM409:ICS409"/>
    <mergeCell ref="ICT409:ICZ409"/>
    <mergeCell ref="IDA409:IDG409"/>
    <mergeCell ref="IDH409:IDN409"/>
    <mergeCell ref="IDO409:IDU409"/>
    <mergeCell ref="IDV409:IEB409"/>
    <mergeCell ref="IEC409:IEI409"/>
    <mergeCell ref="IEJ409:IEP409"/>
    <mergeCell ref="IEQ409:IEW409"/>
    <mergeCell ref="IEX409:IFD409"/>
    <mergeCell ref="IFE409:IFK409"/>
    <mergeCell ref="IFL409:IFR409"/>
    <mergeCell ref="IFS409:IFY409"/>
    <mergeCell ref="IFZ409:IGF409"/>
    <mergeCell ref="IGG409:IGM409"/>
    <mergeCell ref="IGN409:IGT409"/>
    <mergeCell ref="IGU409:IHA409"/>
    <mergeCell ref="IHB409:IHH409"/>
    <mergeCell ref="IHI409:IHO409"/>
    <mergeCell ref="IHP409:IHV409"/>
    <mergeCell ref="IHW409:IIC409"/>
    <mergeCell ref="IID409:IIJ409"/>
    <mergeCell ref="IIK409:IIQ409"/>
    <mergeCell ref="IIR409:IIX409"/>
    <mergeCell ref="IIY409:IJE409"/>
    <mergeCell ref="IJF409:IJL409"/>
    <mergeCell ref="IJM409:IJS409"/>
    <mergeCell ref="IJT409:IJZ409"/>
    <mergeCell ref="IKA409:IKG409"/>
    <mergeCell ref="IKH409:IKN409"/>
    <mergeCell ref="IKO409:IKU409"/>
    <mergeCell ref="IKV409:ILB409"/>
    <mergeCell ref="ILC409:ILI409"/>
    <mergeCell ref="ILJ409:ILP409"/>
    <mergeCell ref="ILQ409:ILW409"/>
    <mergeCell ref="ILX409:IMD409"/>
    <mergeCell ref="IME409:IMK409"/>
    <mergeCell ref="IML409:IMR409"/>
    <mergeCell ref="IMS409:IMY409"/>
    <mergeCell ref="IMZ409:INF409"/>
    <mergeCell ref="ING409:INM409"/>
    <mergeCell ref="INN409:INT409"/>
    <mergeCell ref="INU409:IOA409"/>
    <mergeCell ref="IOB409:IOH409"/>
    <mergeCell ref="IOI409:IOO409"/>
    <mergeCell ref="IOP409:IOV409"/>
    <mergeCell ref="IOW409:IPC409"/>
    <mergeCell ref="IPD409:IPJ409"/>
    <mergeCell ref="IPK409:IPQ409"/>
    <mergeCell ref="IPR409:IPX409"/>
    <mergeCell ref="IPY409:IQE409"/>
    <mergeCell ref="IQF409:IQL409"/>
    <mergeCell ref="IQM409:IQS409"/>
    <mergeCell ref="IQT409:IQZ409"/>
    <mergeCell ref="IRA409:IRG409"/>
    <mergeCell ref="IRH409:IRN409"/>
    <mergeCell ref="IRO409:IRU409"/>
    <mergeCell ref="IRV409:ISB409"/>
    <mergeCell ref="ISC409:ISI409"/>
    <mergeCell ref="ISJ409:ISP409"/>
    <mergeCell ref="ISQ409:ISW409"/>
    <mergeCell ref="ISX409:ITD409"/>
    <mergeCell ref="ITE409:ITK409"/>
    <mergeCell ref="ITL409:ITR409"/>
    <mergeCell ref="ITS409:ITY409"/>
    <mergeCell ref="ITZ409:IUF409"/>
    <mergeCell ref="IUG409:IUM409"/>
    <mergeCell ref="IUN409:IUT409"/>
    <mergeCell ref="IUU409:IVA409"/>
    <mergeCell ref="IVB409:IVH409"/>
    <mergeCell ref="IVI409:IVO409"/>
    <mergeCell ref="IVP409:IVV409"/>
    <mergeCell ref="IVW409:IWC409"/>
    <mergeCell ref="IWD409:IWJ409"/>
    <mergeCell ref="IWK409:IWQ409"/>
    <mergeCell ref="IWR409:IWX409"/>
    <mergeCell ref="IWY409:IXE409"/>
    <mergeCell ref="IXF409:IXL409"/>
    <mergeCell ref="IXM409:IXS409"/>
    <mergeCell ref="IXT409:IXZ409"/>
    <mergeCell ref="IYA409:IYG409"/>
    <mergeCell ref="IYH409:IYN409"/>
    <mergeCell ref="IYO409:IYU409"/>
    <mergeCell ref="IYV409:IZB409"/>
    <mergeCell ref="IZC409:IZI409"/>
    <mergeCell ref="IZJ409:IZP409"/>
    <mergeCell ref="IZQ409:IZW409"/>
    <mergeCell ref="IZX409:JAD409"/>
    <mergeCell ref="JAE409:JAK409"/>
    <mergeCell ref="JAL409:JAR409"/>
    <mergeCell ref="JAS409:JAY409"/>
    <mergeCell ref="JAZ409:JBF409"/>
    <mergeCell ref="JBG409:JBM409"/>
    <mergeCell ref="JBN409:JBT409"/>
    <mergeCell ref="JBU409:JCA409"/>
    <mergeCell ref="JCB409:JCH409"/>
    <mergeCell ref="JCI409:JCO409"/>
    <mergeCell ref="JCP409:JCV409"/>
    <mergeCell ref="JCW409:JDC409"/>
    <mergeCell ref="JDD409:JDJ409"/>
    <mergeCell ref="JDK409:JDQ409"/>
    <mergeCell ref="JDR409:JDX409"/>
    <mergeCell ref="JDY409:JEE409"/>
    <mergeCell ref="JEF409:JEL409"/>
    <mergeCell ref="JEM409:JES409"/>
    <mergeCell ref="JET409:JEZ409"/>
    <mergeCell ref="JFA409:JFG409"/>
    <mergeCell ref="JFH409:JFN409"/>
    <mergeCell ref="JFO409:JFU409"/>
    <mergeCell ref="JFV409:JGB409"/>
    <mergeCell ref="JGC409:JGI409"/>
    <mergeCell ref="JGJ409:JGP409"/>
    <mergeCell ref="JGQ409:JGW409"/>
    <mergeCell ref="JGX409:JHD409"/>
    <mergeCell ref="JHE409:JHK409"/>
    <mergeCell ref="JHL409:JHR409"/>
    <mergeCell ref="JHS409:JHY409"/>
    <mergeCell ref="JHZ409:JIF409"/>
    <mergeCell ref="JIG409:JIM409"/>
    <mergeCell ref="JIN409:JIT409"/>
    <mergeCell ref="JIU409:JJA409"/>
    <mergeCell ref="JJB409:JJH409"/>
    <mergeCell ref="JJI409:JJO409"/>
    <mergeCell ref="JJP409:JJV409"/>
    <mergeCell ref="JJW409:JKC409"/>
    <mergeCell ref="JKD409:JKJ409"/>
    <mergeCell ref="JKK409:JKQ409"/>
    <mergeCell ref="JKR409:JKX409"/>
    <mergeCell ref="JKY409:JLE409"/>
    <mergeCell ref="JLF409:JLL409"/>
    <mergeCell ref="JLM409:JLS409"/>
    <mergeCell ref="JLT409:JLZ409"/>
    <mergeCell ref="JMA409:JMG409"/>
    <mergeCell ref="JMH409:JMN409"/>
    <mergeCell ref="JMO409:JMU409"/>
    <mergeCell ref="JMV409:JNB409"/>
    <mergeCell ref="JNC409:JNI409"/>
    <mergeCell ref="JNJ409:JNP409"/>
    <mergeCell ref="JNQ409:JNW409"/>
    <mergeCell ref="JNX409:JOD409"/>
    <mergeCell ref="JOE409:JOK409"/>
    <mergeCell ref="JOL409:JOR409"/>
    <mergeCell ref="JOS409:JOY409"/>
    <mergeCell ref="JOZ409:JPF409"/>
    <mergeCell ref="JPG409:JPM409"/>
    <mergeCell ref="JPN409:JPT409"/>
    <mergeCell ref="JPU409:JQA409"/>
    <mergeCell ref="JQB409:JQH409"/>
    <mergeCell ref="JQI409:JQO409"/>
    <mergeCell ref="JQP409:JQV409"/>
    <mergeCell ref="JQW409:JRC409"/>
    <mergeCell ref="JRD409:JRJ409"/>
    <mergeCell ref="JRK409:JRQ409"/>
    <mergeCell ref="JRR409:JRX409"/>
    <mergeCell ref="JRY409:JSE409"/>
    <mergeCell ref="JSF409:JSL409"/>
    <mergeCell ref="JSM409:JSS409"/>
    <mergeCell ref="JST409:JSZ409"/>
    <mergeCell ref="JTA409:JTG409"/>
    <mergeCell ref="JTH409:JTN409"/>
    <mergeCell ref="JTO409:JTU409"/>
    <mergeCell ref="JTV409:JUB409"/>
    <mergeCell ref="JUC409:JUI409"/>
    <mergeCell ref="JUJ409:JUP409"/>
    <mergeCell ref="JUQ409:JUW409"/>
    <mergeCell ref="JUX409:JVD409"/>
    <mergeCell ref="JVE409:JVK409"/>
    <mergeCell ref="JVL409:JVR409"/>
    <mergeCell ref="JVS409:JVY409"/>
    <mergeCell ref="JVZ409:JWF409"/>
    <mergeCell ref="JWG409:JWM409"/>
    <mergeCell ref="JWN409:JWT409"/>
    <mergeCell ref="JWU409:JXA409"/>
    <mergeCell ref="JXB409:JXH409"/>
    <mergeCell ref="JXI409:JXO409"/>
    <mergeCell ref="JXP409:JXV409"/>
    <mergeCell ref="JXW409:JYC409"/>
    <mergeCell ref="JYD409:JYJ409"/>
    <mergeCell ref="JYK409:JYQ409"/>
    <mergeCell ref="JYR409:JYX409"/>
    <mergeCell ref="JYY409:JZE409"/>
    <mergeCell ref="JZF409:JZL409"/>
    <mergeCell ref="JZM409:JZS409"/>
    <mergeCell ref="JZT409:JZZ409"/>
    <mergeCell ref="KAA409:KAG409"/>
    <mergeCell ref="KAH409:KAN409"/>
    <mergeCell ref="KAO409:KAU409"/>
    <mergeCell ref="KAV409:KBB409"/>
    <mergeCell ref="KBC409:KBI409"/>
    <mergeCell ref="KBJ409:KBP409"/>
    <mergeCell ref="KBQ409:KBW409"/>
    <mergeCell ref="KBX409:KCD409"/>
    <mergeCell ref="KCE409:KCK409"/>
    <mergeCell ref="KCL409:KCR409"/>
    <mergeCell ref="KCS409:KCY409"/>
    <mergeCell ref="KCZ409:KDF409"/>
    <mergeCell ref="KDG409:KDM409"/>
    <mergeCell ref="KDN409:KDT409"/>
    <mergeCell ref="KDU409:KEA409"/>
    <mergeCell ref="KEB409:KEH409"/>
    <mergeCell ref="KEI409:KEO409"/>
    <mergeCell ref="KEP409:KEV409"/>
    <mergeCell ref="KEW409:KFC409"/>
    <mergeCell ref="KFD409:KFJ409"/>
    <mergeCell ref="KFK409:KFQ409"/>
    <mergeCell ref="KFR409:KFX409"/>
    <mergeCell ref="KFY409:KGE409"/>
    <mergeCell ref="KGF409:KGL409"/>
    <mergeCell ref="KGM409:KGS409"/>
    <mergeCell ref="KGT409:KGZ409"/>
    <mergeCell ref="KHA409:KHG409"/>
    <mergeCell ref="KHH409:KHN409"/>
    <mergeCell ref="KHO409:KHU409"/>
    <mergeCell ref="KHV409:KIB409"/>
    <mergeCell ref="KIC409:KII409"/>
    <mergeCell ref="KIJ409:KIP409"/>
    <mergeCell ref="KIQ409:KIW409"/>
    <mergeCell ref="KIX409:KJD409"/>
    <mergeCell ref="KJE409:KJK409"/>
    <mergeCell ref="KJL409:KJR409"/>
    <mergeCell ref="KJS409:KJY409"/>
    <mergeCell ref="KJZ409:KKF409"/>
    <mergeCell ref="KKG409:KKM409"/>
    <mergeCell ref="KKN409:KKT409"/>
    <mergeCell ref="KKU409:KLA409"/>
    <mergeCell ref="KLB409:KLH409"/>
    <mergeCell ref="KLI409:KLO409"/>
    <mergeCell ref="KLP409:KLV409"/>
    <mergeCell ref="KLW409:KMC409"/>
    <mergeCell ref="KMD409:KMJ409"/>
    <mergeCell ref="KMK409:KMQ409"/>
    <mergeCell ref="KMR409:KMX409"/>
    <mergeCell ref="KMY409:KNE409"/>
    <mergeCell ref="KNF409:KNL409"/>
    <mergeCell ref="KNM409:KNS409"/>
    <mergeCell ref="KNT409:KNZ409"/>
    <mergeCell ref="KOA409:KOG409"/>
    <mergeCell ref="KOH409:KON409"/>
    <mergeCell ref="KOO409:KOU409"/>
    <mergeCell ref="KOV409:KPB409"/>
    <mergeCell ref="KPC409:KPI409"/>
    <mergeCell ref="KPJ409:KPP409"/>
    <mergeCell ref="KPQ409:KPW409"/>
    <mergeCell ref="KPX409:KQD409"/>
    <mergeCell ref="KQE409:KQK409"/>
    <mergeCell ref="KQL409:KQR409"/>
    <mergeCell ref="KQS409:KQY409"/>
    <mergeCell ref="KQZ409:KRF409"/>
    <mergeCell ref="KRG409:KRM409"/>
    <mergeCell ref="KRN409:KRT409"/>
    <mergeCell ref="KRU409:KSA409"/>
    <mergeCell ref="KSB409:KSH409"/>
    <mergeCell ref="KSI409:KSO409"/>
    <mergeCell ref="KSP409:KSV409"/>
    <mergeCell ref="KSW409:KTC409"/>
    <mergeCell ref="KTD409:KTJ409"/>
    <mergeCell ref="KTK409:KTQ409"/>
    <mergeCell ref="KTR409:KTX409"/>
    <mergeCell ref="KTY409:KUE409"/>
    <mergeCell ref="KUF409:KUL409"/>
    <mergeCell ref="KUM409:KUS409"/>
    <mergeCell ref="KUT409:KUZ409"/>
    <mergeCell ref="KVA409:KVG409"/>
    <mergeCell ref="KVH409:KVN409"/>
    <mergeCell ref="KVO409:KVU409"/>
    <mergeCell ref="KVV409:KWB409"/>
    <mergeCell ref="KWC409:KWI409"/>
    <mergeCell ref="KWJ409:KWP409"/>
    <mergeCell ref="KWQ409:KWW409"/>
    <mergeCell ref="KWX409:KXD409"/>
    <mergeCell ref="KXE409:KXK409"/>
    <mergeCell ref="KXL409:KXR409"/>
    <mergeCell ref="KXS409:KXY409"/>
    <mergeCell ref="KXZ409:KYF409"/>
    <mergeCell ref="KYG409:KYM409"/>
    <mergeCell ref="KYN409:KYT409"/>
    <mergeCell ref="KYU409:KZA409"/>
    <mergeCell ref="KZB409:KZH409"/>
    <mergeCell ref="KZI409:KZO409"/>
    <mergeCell ref="KZP409:KZV409"/>
    <mergeCell ref="KZW409:LAC409"/>
    <mergeCell ref="LAD409:LAJ409"/>
    <mergeCell ref="LAK409:LAQ409"/>
    <mergeCell ref="LAR409:LAX409"/>
    <mergeCell ref="LAY409:LBE409"/>
    <mergeCell ref="LBF409:LBL409"/>
    <mergeCell ref="LBM409:LBS409"/>
    <mergeCell ref="LBT409:LBZ409"/>
    <mergeCell ref="LCA409:LCG409"/>
    <mergeCell ref="LCH409:LCN409"/>
    <mergeCell ref="LCO409:LCU409"/>
    <mergeCell ref="LCV409:LDB409"/>
    <mergeCell ref="LDC409:LDI409"/>
    <mergeCell ref="LDJ409:LDP409"/>
    <mergeCell ref="LDQ409:LDW409"/>
    <mergeCell ref="LDX409:LED409"/>
    <mergeCell ref="LEE409:LEK409"/>
    <mergeCell ref="LEL409:LER409"/>
    <mergeCell ref="LES409:LEY409"/>
    <mergeCell ref="LEZ409:LFF409"/>
    <mergeCell ref="LFG409:LFM409"/>
    <mergeCell ref="LFN409:LFT409"/>
    <mergeCell ref="LFU409:LGA409"/>
    <mergeCell ref="LGB409:LGH409"/>
    <mergeCell ref="LGI409:LGO409"/>
    <mergeCell ref="LGP409:LGV409"/>
    <mergeCell ref="LGW409:LHC409"/>
    <mergeCell ref="LHD409:LHJ409"/>
    <mergeCell ref="LHK409:LHQ409"/>
    <mergeCell ref="LHR409:LHX409"/>
    <mergeCell ref="LHY409:LIE409"/>
    <mergeCell ref="LIF409:LIL409"/>
    <mergeCell ref="LIM409:LIS409"/>
    <mergeCell ref="LIT409:LIZ409"/>
    <mergeCell ref="LJA409:LJG409"/>
    <mergeCell ref="LJH409:LJN409"/>
    <mergeCell ref="LJO409:LJU409"/>
    <mergeCell ref="LJV409:LKB409"/>
    <mergeCell ref="LKC409:LKI409"/>
    <mergeCell ref="LKJ409:LKP409"/>
    <mergeCell ref="LKQ409:LKW409"/>
    <mergeCell ref="LKX409:LLD409"/>
    <mergeCell ref="LLE409:LLK409"/>
    <mergeCell ref="LLL409:LLR409"/>
    <mergeCell ref="LLS409:LLY409"/>
    <mergeCell ref="LLZ409:LMF409"/>
    <mergeCell ref="LMG409:LMM409"/>
    <mergeCell ref="LMN409:LMT409"/>
    <mergeCell ref="LMU409:LNA409"/>
    <mergeCell ref="LNB409:LNH409"/>
    <mergeCell ref="LNI409:LNO409"/>
    <mergeCell ref="LNP409:LNV409"/>
    <mergeCell ref="LNW409:LOC409"/>
    <mergeCell ref="LOD409:LOJ409"/>
    <mergeCell ref="LOK409:LOQ409"/>
    <mergeCell ref="LOR409:LOX409"/>
    <mergeCell ref="LOY409:LPE409"/>
    <mergeCell ref="LPF409:LPL409"/>
    <mergeCell ref="LPM409:LPS409"/>
    <mergeCell ref="LPT409:LPZ409"/>
    <mergeCell ref="LQA409:LQG409"/>
    <mergeCell ref="LQH409:LQN409"/>
    <mergeCell ref="LQO409:LQU409"/>
    <mergeCell ref="LQV409:LRB409"/>
    <mergeCell ref="LRC409:LRI409"/>
    <mergeCell ref="LRJ409:LRP409"/>
    <mergeCell ref="LRQ409:LRW409"/>
    <mergeCell ref="LRX409:LSD409"/>
    <mergeCell ref="LSE409:LSK409"/>
    <mergeCell ref="LSL409:LSR409"/>
    <mergeCell ref="LSS409:LSY409"/>
    <mergeCell ref="LSZ409:LTF409"/>
    <mergeCell ref="LTG409:LTM409"/>
    <mergeCell ref="LTN409:LTT409"/>
    <mergeCell ref="LTU409:LUA409"/>
    <mergeCell ref="LUB409:LUH409"/>
    <mergeCell ref="LUI409:LUO409"/>
    <mergeCell ref="LUP409:LUV409"/>
    <mergeCell ref="LUW409:LVC409"/>
    <mergeCell ref="LVD409:LVJ409"/>
    <mergeCell ref="LVK409:LVQ409"/>
    <mergeCell ref="LVR409:LVX409"/>
    <mergeCell ref="LVY409:LWE409"/>
    <mergeCell ref="LWF409:LWL409"/>
    <mergeCell ref="LWM409:LWS409"/>
    <mergeCell ref="LWT409:LWZ409"/>
    <mergeCell ref="LXA409:LXG409"/>
    <mergeCell ref="LXH409:LXN409"/>
    <mergeCell ref="LXO409:LXU409"/>
    <mergeCell ref="LXV409:LYB409"/>
    <mergeCell ref="LYC409:LYI409"/>
    <mergeCell ref="LYJ409:LYP409"/>
    <mergeCell ref="LYQ409:LYW409"/>
    <mergeCell ref="LYX409:LZD409"/>
    <mergeCell ref="LZE409:LZK409"/>
    <mergeCell ref="LZL409:LZR409"/>
    <mergeCell ref="LZS409:LZY409"/>
    <mergeCell ref="LZZ409:MAF409"/>
    <mergeCell ref="MAG409:MAM409"/>
    <mergeCell ref="MAN409:MAT409"/>
    <mergeCell ref="MAU409:MBA409"/>
    <mergeCell ref="MBB409:MBH409"/>
    <mergeCell ref="MBI409:MBO409"/>
    <mergeCell ref="MBP409:MBV409"/>
    <mergeCell ref="MBW409:MCC409"/>
    <mergeCell ref="MCD409:MCJ409"/>
    <mergeCell ref="MCK409:MCQ409"/>
    <mergeCell ref="MCR409:MCX409"/>
    <mergeCell ref="MCY409:MDE409"/>
    <mergeCell ref="MDF409:MDL409"/>
    <mergeCell ref="MDM409:MDS409"/>
    <mergeCell ref="MDT409:MDZ409"/>
    <mergeCell ref="MEA409:MEG409"/>
    <mergeCell ref="MEH409:MEN409"/>
    <mergeCell ref="MEO409:MEU409"/>
    <mergeCell ref="MEV409:MFB409"/>
    <mergeCell ref="MFC409:MFI409"/>
    <mergeCell ref="MFJ409:MFP409"/>
    <mergeCell ref="MFQ409:MFW409"/>
    <mergeCell ref="MFX409:MGD409"/>
    <mergeCell ref="MGE409:MGK409"/>
    <mergeCell ref="MGL409:MGR409"/>
    <mergeCell ref="MGS409:MGY409"/>
    <mergeCell ref="MGZ409:MHF409"/>
    <mergeCell ref="MHG409:MHM409"/>
    <mergeCell ref="MHN409:MHT409"/>
    <mergeCell ref="MHU409:MIA409"/>
    <mergeCell ref="MIB409:MIH409"/>
    <mergeCell ref="MII409:MIO409"/>
    <mergeCell ref="MIP409:MIV409"/>
    <mergeCell ref="MIW409:MJC409"/>
    <mergeCell ref="MJD409:MJJ409"/>
    <mergeCell ref="MJK409:MJQ409"/>
    <mergeCell ref="MJR409:MJX409"/>
    <mergeCell ref="MJY409:MKE409"/>
    <mergeCell ref="MKF409:MKL409"/>
    <mergeCell ref="MKM409:MKS409"/>
    <mergeCell ref="MKT409:MKZ409"/>
    <mergeCell ref="MLA409:MLG409"/>
    <mergeCell ref="MLH409:MLN409"/>
    <mergeCell ref="MLO409:MLU409"/>
    <mergeCell ref="MLV409:MMB409"/>
    <mergeCell ref="MMC409:MMI409"/>
    <mergeCell ref="MMJ409:MMP409"/>
    <mergeCell ref="MMQ409:MMW409"/>
    <mergeCell ref="MMX409:MND409"/>
    <mergeCell ref="MNE409:MNK409"/>
    <mergeCell ref="MNL409:MNR409"/>
    <mergeCell ref="MNS409:MNY409"/>
    <mergeCell ref="MNZ409:MOF409"/>
    <mergeCell ref="MOG409:MOM409"/>
    <mergeCell ref="MON409:MOT409"/>
    <mergeCell ref="MOU409:MPA409"/>
    <mergeCell ref="MPB409:MPH409"/>
    <mergeCell ref="MPI409:MPO409"/>
    <mergeCell ref="MPP409:MPV409"/>
    <mergeCell ref="MPW409:MQC409"/>
    <mergeCell ref="MQD409:MQJ409"/>
    <mergeCell ref="MQK409:MQQ409"/>
    <mergeCell ref="MQR409:MQX409"/>
    <mergeCell ref="MQY409:MRE409"/>
    <mergeCell ref="MRF409:MRL409"/>
    <mergeCell ref="MRM409:MRS409"/>
    <mergeCell ref="MRT409:MRZ409"/>
    <mergeCell ref="MSA409:MSG409"/>
    <mergeCell ref="MSH409:MSN409"/>
    <mergeCell ref="MSO409:MSU409"/>
    <mergeCell ref="MSV409:MTB409"/>
    <mergeCell ref="MTC409:MTI409"/>
    <mergeCell ref="MTJ409:MTP409"/>
    <mergeCell ref="MTQ409:MTW409"/>
    <mergeCell ref="MTX409:MUD409"/>
    <mergeCell ref="MUE409:MUK409"/>
    <mergeCell ref="MUL409:MUR409"/>
    <mergeCell ref="MUS409:MUY409"/>
    <mergeCell ref="MUZ409:MVF409"/>
    <mergeCell ref="MVG409:MVM409"/>
    <mergeCell ref="MVN409:MVT409"/>
    <mergeCell ref="MVU409:MWA409"/>
    <mergeCell ref="MWB409:MWH409"/>
    <mergeCell ref="MWI409:MWO409"/>
    <mergeCell ref="MWP409:MWV409"/>
    <mergeCell ref="MWW409:MXC409"/>
    <mergeCell ref="MXD409:MXJ409"/>
    <mergeCell ref="MXK409:MXQ409"/>
    <mergeCell ref="MXR409:MXX409"/>
    <mergeCell ref="MXY409:MYE409"/>
    <mergeCell ref="MYF409:MYL409"/>
    <mergeCell ref="MYM409:MYS409"/>
    <mergeCell ref="MYT409:MYZ409"/>
    <mergeCell ref="MZA409:MZG409"/>
    <mergeCell ref="MZH409:MZN409"/>
    <mergeCell ref="MZO409:MZU409"/>
    <mergeCell ref="MZV409:NAB409"/>
    <mergeCell ref="NAC409:NAI409"/>
    <mergeCell ref="NAJ409:NAP409"/>
    <mergeCell ref="NAQ409:NAW409"/>
    <mergeCell ref="NAX409:NBD409"/>
    <mergeCell ref="NBE409:NBK409"/>
    <mergeCell ref="NBL409:NBR409"/>
    <mergeCell ref="NBS409:NBY409"/>
    <mergeCell ref="NBZ409:NCF409"/>
    <mergeCell ref="NCG409:NCM409"/>
    <mergeCell ref="NCN409:NCT409"/>
    <mergeCell ref="NCU409:NDA409"/>
    <mergeCell ref="NDB409:NDH409"/>
    <mergeCell ref="NDI409:NDO409"/>
    <mergeCell ref="NDP409:NDV409"/>
    <mergeCell ref="NDW409:NEC409"/>
    <mergeCell ref="NED409:NEJ409"/>
    <mergeCell ref="NEK409:NEQ409"/>
    <mergeCell ref="NER409:NEX409"/>
    <mergeCell ref="NEY409:NFE409"/>
    <mergeCell ref="NFF409:NFL409"/>
    <mergeCell ref="NFM409:NFS409"/>
    <mergeCell ref="NFT409:NFZ409"/>
    <mergeCell ref="NGA409:NGG409"/>
    <mergeCell ref="NGH409:NGN409"/>
    <mergeCell ref="NGO409:NGU409"/>
    <mergeCell ref="NGV409:NHB409"/>
    <mergeCell ref="NHC409:NHI409"/>
    <mergeCell ref="NHJ409:NHP409"/>
    <mergeCell ref="NHQ409:NHW409"/>
    <mergeCell ref="NHX409:NID409"/>
    <mergeCell ref="NIE409:NIK409"/>
    <mergeCell ref="NIL409:NIR409"/>
    <mergeCell ref="NIS409:NIY409"/>
    <mergeCell ref="NIZ409:NJF409"/>
    <mergeCell ref="NJG409:NJM409"/>
    <mergeCell ref="NJN409:NJT409"/>
    <mergeCell ref="NJU409:NKA409"/>
    <mergeCell ref="NKB409:NKH409"/>
    <mergeCell ref="NKI409:NKO409"/>
    <mergeCell ref="NKP409:NKV409"/>
    <mergeCell ref="NKW409:NLC409"/>
    <mergeCell ref="NLD409:NLJ409"/>
    <mergeCell ref="NLK409:NLQ409"/>
    <mergeCell ref="NLR409:NLX409"/>
    <mergeCell ref="NLY409:NME409"/>
    <mergeCell ref="NMF409:NML409"/>
    <mergeCell ref="NMM409:NMS409"/>
    <mergeCell ref="NMT409:NMZ409"/>
    <mergeCell ref="NNA409:NNG409"/>
    <mergeCell ref="NNH409:NNN409"/>
    <mergeCell ref="NNO409:NNU409"/>
    <mergeCell ref="NNV409:NOB409"/>
    <mergeCell ref="NOC409:NOI409"/>
    <mergeCell ref="NOJ409:NOP409"/>
    <mergeCell ref="NOQ409:NOW409"/>
    <mergeCell ref="NOX409:NPD409"/>
    <mergeCell ref="NPE409:NPK409"/>
    <mergeCell ref="NPL409:NPR409"/>
    <mergeCell ref="NPS409:NPY409"/>
    <mergeCell ref="NPZ409:NQF409"/>
    <mergeCell ref="NQG409:NQM409"/>
    <mergeCell ref="NQN409:NQT409"/>
    <mergeCell ref="NQU409:NRA409"/>
    <mergeCell ref="NRB409:NRH409"/>
    <mergeCell ref="NRI409:NRO409"/>
    <mergeCell ref="NRP409:NRV409"/>
    <mergeCell ref="NRW409:NSC409"/>
    <mergeCell ref="NSD409:NSJ409"/>
    <mergeCell ref="NSK409:NSQ409"/>
    <mergeCell ref="NSR409:NSX409"/>
    <mergeCell ref="NSY409:NTE409"/>
    <mergeCell ref="NTF409:NTL409"/>
    <mergeCell ref="NTM409:NTS409"/>
    <mergeCell ref="NTT409:NTZ409"/>
    <mergeCell ref="NUA409:NUG409"/>
    <mergeCell ref="NUH409:NUN409"/>
    <mergeCell ref="NUO409:NUU409"/>
    <mergeCell ref="NUV409:NVB409"/>
    <mergeCell ref="NVC409:NVI409"/>
    <mergeCell ref="NVJ409:NVP409"/>
    <mergeCell ref="NVQ409:NVW409"/>
    <mergeCell ref="NVX409:NWD409"/>
    <mergeCell ref="NWE409:NWK409"/>
    <mergeCell ref="NWL409:NWR409"/>
    <mergeCell ref="NWS409:NWY409"/>
    <mergeCell ref="NWZ409:NXF409"/>
    <mergeCell ref="NXG409:NXM409"/>
    <mergeCell ref="NXN409:NXT409"/>
    <mergeCell ref="NXU409:NYA409"/>
    <mergeCell ref="NYB409:NYH409"/>
    <mergeCell ref="NYI409:NYO409"/>
    <mergeCell ref="NYP409:NYV409"/>
    <mergeCell ref="NYW409:NZC409"/>
    <mergeCell ref="NZD409:NZJ409"/>
    <mergeCell ref="NZK409:NZQ409"/>
    <mergeCell ref="NZR409:NZX409"/>
    <mergeCell ref="NZY409:OAE409"/>
    <mergeCell ref="OAF409:OAL409"/>
    <mergeCell ref="OAM409:OAS409"/>
    <mergeCell ref="OAT409:OAZ409"/>
    <mergeCell ref="OBA409:OBG409"/>
    <mergeCell ref="OBH409:OBN409"/>
    <mergeCell ref="OBO409:OBU409"/>
    <mergeCell ref="OBV409:OCB409"/>
    <mergeCell ref="OCC409:OCI409"/>
    <mergeCell ref="OCJ409:OCP409"/>
    <mergeCell ref="OCQ409:OCW409"/>
    <mergeCell ref="OCX409:ODD409"/>
    <mergeCell ref="ODE409:ODK409"/>
    <mergeCell ref="ODL409:ODR409"/>
    <mergeCell ref="ODS409:ODY409"/>
    <mergeCell ref="ODZ409:OEF409"/>
    <mergeCell ref="OEG409:OEM409"/>
    <mergeCell ref="OEN409:OET409"/>
    <mergeCell ref="OEU409:OFA409"/>
    <mergeCell ref="OFB409:OFH409"/>
    <mergeCell ref="OFI409:OFO409"/>
    <mergeCell ref="OFP409:OFV409"/>
    <mergeCell ref="OFW409:OGC409"/>
    <mergeCell ref="OGD409:OGJ409"/>
    <mergeCell ref="OGK409:OGQ409"/>
    <mergeCell ref="OGR409:OGX409"/>
    <mergeCell ref="OGY409:OHE409"/>
    <mergeCell ref="OHF409:OHL409"/>
    <mergeCell ref="OHM409:OHS409"/>
    <mergeCell ref="OHT409:OHZ409"/>
    <mergeCell ref="OIA409:OIG409"/>
    <mergeCell ref="OIH409:OIN409"/>
    <mergeCell ref="OIO409:OIU409"/>
    <mergeCell ref="OIV409:OJB409"/>
    <mergeCell ref="OJC409:OJI409"/>
    <mergeCell ref="OJJ409:OJP409"/>
    <mergeCell ref="OJQ409:OJW409"/>
    <mergeCell ref="OJX409:OKD409"/>
    <mergeCell ref="OKE409:OKK409"/>
    <mergeCell ref="OKL409:OKR409"/>
    <mergeCell ref="OKS409:OKY409"/>
    <mergeCell ref="OKZ409:OLF409"/>
    <mergeCell ref="OLG409:OLM409"/>
    <mergeCell ref="OLN409:OLT409"/>
    <mergeCell ref="OLU409:OMA409"/>
    <mergeCell ref="OMB409:OMH409"/>
    <mergeCell ref="OMI409:OMO409"/>
    <mergeCell ref="OMP409:OMV409"/>
    <mergeCell ref="OMW409:ONC409"/>
    <mergeCell ref="OND409:ONJ409"/>
    <mergeCell ref="ONK409:ONQ409"/>
    <mergeCell ref="ONR409:ONX409"/>
    <mergeCell ref="ONY409:OOE409"/>
    <mergeCell ref="OOF409:OOL409"/>
    <mergeCell ref="OOM409:OOS409"/>
    <mergeCell ref="OOT409:OOZ409"/>
    <mergeCell ref="OPA409:OPG409"/>
    <mergeCell ref="OPH409:OPN409"/>
    <mergeCell ref="OPO409:OPU409"/>
    <mergeCell ref="OPV409:OQB409"/>
    <mergeCell ref="OQC409:OQI409"/>
    <mergeCell ref="OQJ409:OQP409"/>
    <mergeCell ref="OQQ409:OQW409"/>
    <mergeCell ref="OQX409:ORD409"/>
    <mergeCell ref="ORE409:ORK409"/>
    <mergeCell ref="ORL409:ORR409"/>
    <mergeCell ref="ORS409:ORY409"/>
    <mergeCell ref="ORZ409:OSF409"/>
    <mergeCell ref="OSG409:OSM409"/>
    <mergeCell ref="OSN409:OST409"/>
    <mergeCell ref="OSU409:OTA409"/>
    <mergeCell ref="OTB409:OTH409"/>
    <mergeCell ref="OTI409:OTO409"/>
    <mergeCell ref="OTP409:OTV409"/>
    <mergeCell ref="OTW409:OUC409"/>
    <mergeCell ref="OUD409:OUJ409"/>
    <mergeCell ref="OUK409:OUQ409"/>
    <mergeCell ref="OUR409:OUX409"/>
    <mergeCell ref="OUY409:OVE409"/>
    <mergeCell ref="OVF409:OVL409"/>
    <mergeCell ref="OVM409:OVS409"/>
    <mergeCell ref="OVT409:OVZ409"/>
    <mergeCell ref="OWA409:OWG409"/>
    <mergeCell ref="OWH409:OWN409"/>
    <mergeCell ref="OWO409:OWU409"/>
    <mergeCell ref="OWV409:OXB409"/>
    <mergeCell ref="OXC409:OXI409"/>
    <mergeCell ref="OXJ409:OXP409"/>
    <mergeCell ref="OXQ409:OXW409"/>
    <mergeCell ref="OXX409:OYD409"/>
    <mergeCell ref="OYE409:OYK409"/>
    <mergeCell ref="OYL409:OYR409"/>
    <mergeCell ref="OYS409:OYY409"/>
    <mergeCell ref="OYZ409:OZF409"/>
    <mergeCell ref="OZG409:OZM409"/>
    <mergeCell ref="OZN409:OZT409"/>
    <mergeCell ref="OZU409:PAA409"/>
    <mergeCell ref="PAB409:PAH409"/>
    <mergeCell ref="PAI409:PAO409"/>
    <mergeCell ref="PAP409:PAV409"/>
    <mergeCell ref="PAW409:PBC409"/>
    <mergeCell ref="PBD409:PBJ409"/>
    <mergeCell ref="PBK409:PBQ409"/>
    <mergeCell ref="PBR409:PBX409"/>
    <mergeCell ref="PBY409:PCE409"/>
    <mergeCell ref="PCF409:PCL409"/>
    <mergeCell ref="PCM409:PCS409"/>
    <mergeCell ref="PCT409:PCZ409"/>
    <mergeCell ref="PDA409:PDG409"/>
    <mergeCell ref="PDH409:PDN409"/>
    <mergeCell ref="PDO409:PDU409"/>
    <mergeCell ref="PDV409:PEB409"/>
    <mergeCell ref="PEC409:PEI409"/>
    <mergeCell ref="PEJ409:PEP409"/>
    <mergeCell ref="PEQ409:PEW409"/>
    <mergeCell ref="PEX409:PFD409"/>
    <mergeCell ref="PFE409:PFK409"/>
    <mergeCell ref="PFL409:PFR409"/>
    <mergeCell ref="PFS409:PFY409"/>
    <mergeCell ref="PFZ409:PGF409"/>
    <mergeCell ref="PGG409:PGM409"/>
    <mergeCell ref="PGN409:PGT409"/>
    <mergeCell ref="PGU409:PHA409"/>
    <mergeCell ref="PHB409:PHH409"/>
    <mergeCell ref="PHI409:PHO409"/>
    <mergeCell ref="PHP409:PHV409"/>
    <mergeCell ref="PHW409:PIC409"/>
    <mergeCell ref="PID409:PIJ409"/>
    <mergeCell ref="PIK409:PIQ409"/>
    <mergeCell ref="PIR409:PIX409"/>
    <mergeCell ref="PIY409:PJE409"/>
    <mergeCell ref="PJF409:PJL409"/>
    <mergeCell ref="PJM409:PJS409"/>
    <mergeCell ref="PJT409:PJZ409"/>
    <mergeCell ref="PKA409:PKG409"/>
    <mergeCell ref="PKH409:PKN409"/>
    <mergeCell ref="PKO409:PKU409"/>
    <mergeCell ref="PKV409:PLB409"/>
    <mergeCell ref="PLC409:PLI409"/>
    <mergeCell ref="PLJ409:PLP409"/>
    <mergeCell ref="PLQ409:PLW409"/>
    <mergeCell ref="PLX409:PMD409"/>
    <mergeCell ref="PME409:PMK409"/>
    <mergeCell ref="PML409:PMR409"/>
    <mergeCell ref="PMS409:PMY409"/>
    <mergeCell ref="PMZ409:PNF409"/>
    <mergeCell ref="PNG409:PNM409"/>
    <mergeCell ref="PNN409:PNT409"/>
    <mergeCell ref="PNU409:POA409"/>
    <mergeCell ref="POB409:POH409"/>
    <mergeCell ref="POI409:POO409"/>
    <mergeCell ref="POP409:POV409"/>
    <mergeCell ref="POW409:PPC409"/>
    <mergeCell ref="PPD409:PPJ409"/>
    <mergeCell ref="PPK409:PPQ409"/>
    <mergeCell ref="PPR409:PPX409"/>
    <mergeCell ref="PPY409:PQE409"/>
    <mergeCell ref="PQF409:PQL409"/>
    <mergeCell ref="PQM409:PQS409"/>
    <mergeCell ref="PQT409:PQZ409"/>
    <mergeCell ref="PRA409:PRG409"/>
    <mergeCell ref="PRH409:PRN409"/>
    <mergeCell ref="PRO409:PRU409"/>
    <mergeCell ref="PRV409:PSB409"/>
    <mergeCell ref="PSC409:PSI409"/>
    <mergeCell ref="PSJ409:PSP409"/>
    <mergeCell ref="PSQ409:PSW409"/>
    <mergeCell ref="PSX409:PTD409"/>
    <mergeCell ref="PTE409:PTK409"/>
    <mergeCell ref="PTL409:PTR409"/>
    <mergeCell ref="PTS409:PTY409"/>
    <mergeCell ref="PTZ409:PUF409"/>
    <mergeCell ref="PUG409:PUM409"/>
    <mergeCell ref="PUN409:PUT409"/>
    <mergeCell ref="PUU409:PVA409"/>
    <mergeCell ref="PVB409:PVH409"/>
    <mergeCell ref="PVI409:PVO409"/>
    <mergeCell ref="PVP409:PVV409"/>
    <mergeCell ref="PVW409:PWC409"/>
    <mergeCell ref="PWD409:PWJ409"/>
    <mergeCell ref="PWK409:PWQ409"/>
    <mergeCell ref="PWR409:PWX409"/>
    <mergeCell ref="PWY409:PXE409"/>
    <mergeCell ref="PXF409:PXL409"/>
    <mergeCell ref="PXM409:PXS409"/>
    <mergeCell ref="PXT409:PXZ409"/>
    <mergeCell ref="PYA409:PYG409"/>
    <mergeCell ref="PYH409:PYN409"/>
    <mergeCell ref="PYO409:PYU409"/>
    <mergeCell ref="PYV409:PZB409"/>
    <mergeCell ref="PZC409:PZI409"/>
    <mergeCell ref="PZJ409:PZP409"/>
    <mergeCell ref="PZQ409:PZW409"/>
    <mergeCell ref="PZX409:QAD409"/>
    <mergeCell ref="QAE409:QAK409"/>
    <mergeCell ref="QAL409:QAR409"/>
    <mergeCell ref="QAS409:QAY409"/>
    <mergeCell ref="QAZ409:QBF409"/>
    <mergeCell ref="QBG409:QBM409"/>
    <mergeCell ref="QBN409:QBT409"/>
    <mergeCell ref="QBU409:QCA409"/>
    <mergeCell ref="QCB409:QCH409"/>
    <mergeCell ref="QCI409:QCO409"/>
    <mergeCell ref="QCP409:QCV409"/>
    <mergeCell ref="QCW409:QDC409"/>
    <mergeCell ref="QDD409:QDJ409"/>
    <mergeCell ref="QDK409:QDQ409"/>
    <mergeCell ref="QDR409:QDX409"/>
    <mergeCell ref="QDY409:QEE409"/>
    <mergeCell ref="QEF409:QEL409"/>
    <mergeCell ref="QEM409:QES409"/>
    <mergeCell ref="QET409:QEZ409"/>
    <mergeCell ref="QFA409:QFG409"/>
    <mergeCell ref="QFH409:QFN409"/>
    <mergeCell ref="QFO409:QFU409"/>
    <mergeCell ref="QFV409:QGB409"/>
    <mergeCell ref="QGC409:QGI409"/>
    <mergeCell ref="QGJ409:QGP409"/>
    <mergeCell ref="QGQ409:QGW409"/>
    <mergeCell ref="QGX409:QHD409"/>
    <mergeCell ref="QHE409:QHK409"/>
    <mergeCell ref="QHL409:QHR409"/>
    <mergeCell ref="QHS409:QHY409"/>
    <mergeCell ref="QHZ409:QIF409"/>
    <mergeCell ref="QIG409:QIM409"/>
    <mergeCell ref="QIN409:QIT409"/>
    <mergeCell ref="QIU409:QJA409"/>
    <mergeCell ref="QJB409:QJH409"/>
    <mergeCell ref="QJI409:QJO409"/>
    <mergeCell ref="QJP409:QJV409"/>
    <mergeCell ref="QJW409:QKC409"/>
    <mergeCell ref="QKD409:QKJ409"/>
    <mergeCell ref="QKK409:QKQ409"/>
    <mergeCell ref="QKR409:QKX409"/>
    <mergeCell ref="QKY409:QLE409"/>
    <mergeCell ref="QLF409:QLL409"/>
    <mergeCell ref="QLM409:QLS409"/>
    <mergeCell ref="QLT409:QLZ409"/>
    <mergeCell ref="QMA409:QMG409"/>
    <mergeCell ref="QMH409:QMN409"/>
    <mergeCell ref="QMO409:QMU409"/>
    <mergeCell ref="QMV409:QNB409"/>
    <mergeCell ref="QNC409:QNI409"/>
    <mergeCell ref="QNJ409:QNP409"/>
    <mergeCell ref="QNQ409:QNW409"/>
    <mergeCell ref="QNX409:QOD409"/>
    <mergeCell ref="QOE409:QOK409"/>
    <mergeCell ref="QOL409:QOR409"/>
    <mergeCell ref="QOS409:QOY409"/>
    <mergeCell ref="QOZ409:QPF409"/>
    <mergeCell ref="QPG409:QPM409"/>
    <mergeCell ref="QPN409:QPT409"/>
    <mergeCell ref="QPU409:QQA409"/>
    <mergeCell ref="QQB409:QQH409"/>
    <mergeCell ref="QQI409:QQO409"/>
    <mergeCell ref="QQP409:QQV409"/>
    <mergeCell ref="QQW409:QRC409"/>
    <mergeCell ref="QRD409:QRJ409"/>
    <mergeCell ref="QRK409:QRQ409"/>
    <mergeCell ref="QRR409:QRX409"/>
    <mergeCell ref="QRY409:QSE409"/>
    <mergeCell ref="QSF409:QSL409"/>
    <mergeCell ref="QSM409:QSS409"/>
    <mergeCell ref="QST409:QSZ409"/>
    <mergeCell ref="QTA409:QTG409"/>
    <mergeCell ref="QTH409:QTN409"/>
    <mergeCell ref="QTO409:QTU409"/>
    <mergeCell ref="QTV409:QUB409"/>
    <mergeCell ref="QUC409:QUI409"/>
    <mergeCell ref="QUJ409:QUP409"/>
    <mergeCell ref="QUQ409:QUW409"/>
    <mergeCell ref="QUX409:QVD409"/>
    <mergeCell ref="QVE409:QVK409"/>
    <mergeCell ref="QVL409:QVR409"/>
    <mergeCell ref="QVS409:QVY409"/>
    <mergeCell ref="QVZ409:QWF409"/>
    <mergeCell ref="QWG409:QWM409"/>
    <mergeCell ref="QWN409:QWT409"/>
    <mergeCell ref="QWU409:QXA409"/>
    <mergeCell ref="QXB409:QXH409"/>
    <mergeCell ref="QXI409:QXO409"/>
    <mergeCell ref="QXP409:QXV409"/>
    <mergeCell ref="QXW409:QYC409"/>
    <mergeCell ref="QYD409:QYJ409"/>
    <mergeCell ref="QYK409:QYQ409"/>
    <mergeCell ref="QYR409:QYX409"/>
    <mergeCell ref="QYY409:QZE409"/>
    <mergeCell ref="QZF409:QZL409"/>
    <mergeCell ref="QZM409:QZS409"/>
    <mergeCell ref="QZT409:QZZ409"/>
    <mergeCell ref="RAA409:RAG409"/>
    <mergeCell ref="RAH409:RAN409"/>
    <mergeCell ref="RAO409:RAU409"/>
    <mergeCell ref="RAV409:RBB409"/>
    <mergeCell ref="RBC409:RBI409"/>
    <mergeCell ref="RBJ409:RBP409"/>
    <mergeCell ref="RBQ409:RBW409"/>
    <mergeCell ref="RBX409:RCD409"/>
    <mergeCell ref="RCE409:RCK409"/>
    <mergeCell ref="RCL409:RCR409"/>
    <mergeCell ref="RCS409:RCY409"/>
    <mergeCell ref="RCZ409:RDF409"/>
    <mergeCell ref="RDG409:RDM409"/>
    <mergeCell ref="RDN409:RDT409"/>
    <mergeCell ref="RDU409:REA409"/>
    <mergeCell ref="REB409:REH409"/>
    <mergeCell ref="REI409:REO409"/>
    <mergeCell ref="REP409:REV409"/>
    <mergeCell ref="REW409:RFC409"/>
    <mergeCell ref="RFD409:RFJ409"/>
    <mergeCell ref="RFK409:RFQ409"/>
    <mergeCell ref="RFR409:RFX409"/>
    <mergeCell ref="RFY409:RGE409"/>
    <mergeCell ref="RGF409:RGL409"/>
    <mergeCell ref="RGM409:RGS409"/>
    <mergeCell ref="RGT409:RGZ409"/>
    <mergeCell ref="RHA409:RHG409"/>
    <mergeCell ref="RHH409:RHN409"/>
    <mergeCell ref="RHO409:RHU409"/>
    <mergeCell ref="RHV409:RIB409"/>
    <mergeCell ref="RIC409:RII409"/>
    <mergeCell ref="RIJ409:RIP409"/>
    <mergeCell ref="RIQ409:RIW409"/>
    <mergeCell ref="RIX409:RJD409"/>
    <mergeCell ref="RJE409:RJK409"/>
    <mergeCell ref="RJL409:RJR409"/>
    <mergeCell ref="RJS409:RJY409"/>
    <mergeCell ref="RJZ409:RKF409"/>
    <mergeCell ref="RKG409:RKM409"/>
    <mergeCell ref="RKN409:RKT409"/>
    <mergeCell ref="RKU409:RLA409"/>
    <mergeCell ref="RLB409:RLH409"/>
    <mergeCell ref="RLI409:RLO409"/>
    <mergeCell ref="RLP409:RLV409"/>
    <mergeCell ref="RLW409:RMC409"/>
    <mergeCell ref="RMD409:RMJ409"/>
    <mergeCell ref="RMK409:RMQ409"/>
    <mergeCell ref="RMR409:RMX409"/>
    <mergeCell ref="RMY409:RNE409"/>
    <mergeCell ref="RNF409:RNL409"/>
    <mergeCell ref="RNM409:RNS409"/>
    <mergeCell ref="RNT409:RNZ409"/>
    <mergeCell ref="ROA409:ROG409"/>
    <mergeCell ref="ROH409:RON409"/>
    <mergeCell ref="ROO409:ROU409"/>
    <mergeCell ref="ROV409:RPB409"/>
    <mergeCell ref="RPC409:RPI409"/>
    <mergeCell ref="RPJ409:RPP409"/>
    <mergeCell ref="RPQ409:RPW409"/>
    <mergeCell ref="RPX409:RQD409"/>
    <mergeCell ref="RQE409:RQK409"/>
    <mergeCell ref="RQL409:RQR409"/>
    <mergeCell ref="RQS409:RQY409"/>
    <mergeCell ref="RQZ409:RRF409"/>
    <mergeCell ref="RRG409:RRM409"/>
    <mergeCell ref="RRN409:RRT409"/>
    <mergeCell ref="RRU409:RSA409"/>
    <mergeCell ref="RSB409:RSH409"/>
    <mergeCell ref="RSI409:RSO409"/>
    <mergeCell ref="RSP409:RSV409"/>
    <mergeCell ref="RSW409:RTC409"/>
    <mergeCell ref="RTD409:RTJ409"/>
    <mergeCell ref="RTK409:RTQ409"/>
    <mergeCell ref="RTR409:RTX409"/>
    <mergeCell ref="RTY409:RUE409"/>
    <mergeCell ref="RUF409:RUL409"/>
    <mergeCell ref="RUM409:RUS409"/>
    <mergeCell ref="RUT409:RUZ409"/>
    <mergeCell ref="RVA409:RVG409"/>
    <mergeCell ref="RVH409:RVN409"/>
    <mergeCell ref="RVO409:RVU409"/>
    <mergeCell ref="RVV409:RWB409"/>
    <mergeCell ref="RWC409:RWI409"/>
    <mergeCell ref="RWJ409:RWP409"/>
    <mergeCell ref="RWQ409:RWW409"/>
    <mergeCell ref="RWX409:RXD409"/>
    <mergeCell ref="RXE409:RXK409"/>
    <mergeCell ref="RXL409:RXR409"/>
    <mergeCell ref="RXS409:RXY409"/>
    <mergeCell ref="RXZ409:RYF409"/>
    <mergeCell ref="RYG409:RYM409"/>
    <mergeCell ref="RYN409:RYT409"/>
    <mergeCell ref="RYU409:RZA409"/>
    <mergeCell ref="RZB409:RZH409"/>
    <mergeCell ref="RZI409:RZO409"/>
    <mergeCell ref="RZP409:RZV409"/>
    <mergeCell ref="RZW409:SAC409"/>
    <mergeCell ref="SAD409:SAJ409"/>
    <mergeCell ref="SAK409:SAQ409"/>
    <mergeCell ref="SAR409:SAX409"/>
    <mergeCell ref="SAY409:SBE409"/>
    <mergeCell ref="SBF409:SBL409"/>
    <mergeCell ref="SBM409:SBS409"/>
    <mergeCell ref="SBT409:SBZ409"/>
    <mergeCell ref="SCA409:SCG409"/>
    <mergeCell ref="SCH409:SCN409"/>
    <mergeCell ref="SCO409:SCU409"/>
    <mergeCell ref="SCV409:SDB409"/>
    <mergeCell ref="SDC409:SDI409"/>
    <mergeCell ref="SDJ409:SDP409"/>
    <mergeCell ref="SDQ409:SDW409"/>
    <mergeCell ref="SDX409:SED409"/>
    <mergeCell ref="SEE409:SEK409"/>
    <mergeCell ref="SEL409:SER409"/>
    <mergeCell ref="SES409:SEY409"/>
    <mergeCell ref="SEZ409:SFF409"/>
    <mergeCell ref="SFG409:SFM409"/>
    <mergeCell ref="SFN409:SFT409"/>
    <mergeCell ref="SFU409:SGA409"/>
    <mergeCell ref="SGB409:SGH409"/>
    <mergeCell ref="SGI409:SGO409"/>
    <mergeCell ref="SGP409:SGV409"/>
    <mergeCell ref="SGW409:SHC409"/>
    <mergeCell ref="SHD409:SHJ409"/>
    <mergeCell ref="SHK409:SHQ409"/>
    <mergeCell ref="SHR409:SHX409"/>
    <mergeCell ref="SHY409:SIE409"/>
    <mergeCell ref="SIF409:SIL409"/>
    <mergeCell ref="SIM409:SIS409"/>
    <mergeCell ref="SIT409:SIZ409"/>
    <mergeCell ref="SJA409:SJG409"/>
    <mergeCell ref="SJH409:SJN409"/>
    <mergeCell ref="SJO409:SJU409"/>
    <mergeCell ref="SJV409:SKB409"/>
    <mergeCell ref="SKC409:SKI409"/>
    <mergeCell ref="SKJ409:SKP409"/>
    <mergeCell ref="SKQ409:SKW409"/>
    <mergeCell ref="SKX409:SLD409"/>
    <mergeCell ref="SLE409:SLK409"/>
    <mergeCell ref="SLL409:SLR409"/>
    <mergeCell ref="SLS409:SLY409"/>
    <mergeCell ref="SLZ409:SMF409"/>
    <mergeCell ref="SMG409:SMM409"/>
    <mergeCell ref="SMN409:SMT409"/>
    <mergeCell ref="SMU409:SNA409"/>
    <mergeCell ref="SNB409:SNH409"/>
    <mergeCell ref="SNI409:SNO409"/>
    <mergeCell ref="SNP409:SNV409"/>
    <mergeCell ref="SNW409:SOC409"/>
    <mergeCell ref="SOD409:SOJ409"/>
    <mergeCell ref="SOK409:SOQ409"/>
    <mergeCell ref="SOR409:SOX409"/>
    <mergeCell ref="SOY409:SPE409"/>
    <mergeCell ref="SPF409:SPL409"/>
    <mergeCell ref="SPM409:SPS409"/>
    <mergeCell ref="SPT409:SPZ409"/>
    <mergeCell ref="SQA409:SQG409"/>
    <mergeCell ref="SQH409:SQN409"/>
    <mergeCell ref="SQO409:SQU409"/>
    <mergeCell ref="SQV409:SRB409"/>
    <mergeCell ref="SRC409:SRI409"/>
    <mergeCell ref="SRJ409:SRP409"/>
    <mergeCell ref="SRQ409:SRW409"/>
    <mergeCell ref="SRX409:SSD409"/>
    <mergeCell ref="SSE409:SSK409"/>
    <mergeCell ref="SSL409:SSR409"/>
    <mergeCell ref="SSS409:SSY409"/>
    <mergeCell ref="SSZ409:STF409"/>
    <mergeCell ref="STG409:STM409"/>
    <mergeCell ref="STN409:STT409"/>
    <mergeCell ref="STU409:SUA409"/>
    <mergeCell ref="SUB409:SUH409"/>
    <mergeCell ref="SUI409:SUO409"/>
    <mergeCell ref="SUP409:SUV409"/>
    <mergeCell ref="SUW409:SVC409"/>
    <mergeCell ref="SVD409:SVJ409"/>
    <mergeCell ref="SVK409:SVQ409"/>
    <mergeCell ref="SVR409:SVX409"/>
    <mergeCell ref="SVY409:SWE409"/>
    <mergeCell ref="SWF409:SWL409"/>
    <mergeCell ref="SWM409:SWS409"/>
    <mergeCell ref="SWT409:SWZ409"/>
    <mergeCell ref="SXA409:SXG409"/>
    <mergeCell ref="SXH409:SXN409"/>
    <mergeCell ref="SXO409:SXU409"/>
    <mergeCell ref="SXV409:SYB409"/>
    <mergeCell ref="SYC409:SYI409"/>
    <mergeCell ref="SYJ409:SYP409"/>
    <mergeCell ref="SYQ409:SYW409"/>
    <mergeCell ref="SYX409:SZD409"/>
    <mergeCell ref="SZE409:SZK409"/>
    <mergeCell ref="SZL409:SZR409"/>
    <mergeCell ref="SZS409:SZY409"/>
    <mergeCell ref="SZZ409:TAF409"/>
    <mergeCell ref="TAG409:TAM409"/>
    <mergeCell ref="TAN409:TAT409"/>
    <mergeCell ref="TAU409:TBA409"/>
    <mergeCell ref="TBB409:TBH409"/>
    <mergeCell ref="TBI409:TBO409"/>
    <mergeCell ref="TBP409:TBV409"/>
    <mergeCell ref="TBW409:TCC409"/>
    <mergeCell ref="TCD409:TCJ409"/>
    <mergeCell ref="TCK409:TCQ409"/>
    <mergeCell ref="TCR409:TCX409"/>
    <mergeCell ref="TCY409:TDE409"/>
    <mergeCell ref="TDF409:TDL409"/>
    <mergeCell ref="TDM409:TDS409"/>
    <mergeCell ref="TDT409:TDZ409"/>
    <mergeCell ref="TEA409:TEG409"/>
    <mergeCell ref="TEH409:TEN409"/>
    <mergeCell ref="TEO409:TEU409"/>
    <mergeCell ref="TEV409:TFB409"/>
    <mergeCell ref="TFC409:TFI409"/>
    <mergeCell ref="TFJ409:TFP409"/>
    <mergeCell ref="TFQ409:TFW409"/>
    <mergeCell ref="TFX409:TGD409"/>
    <mergeCell ref="TGE409:TGK409"/>
    <mergeCell ref="TGL409:TGR409"/>
    <mergeCell ref="TGS409:TGY409"/>
    <mergeCell ref="TGZ409:THF409"/>
    <mergeCell ref="THG409:THM409"/>
    <mergeCell ref="THN409:THT409"/>
    <mergeCell ref="THU409:TIA409"/>
    <mergeCell ref="TIB409:TIH409"/>
    <mergeCell ref="TII409:TIO409"/>
    <mergeCell ref="TIP409:TIV409"/>
    <mergeCell ref="TIW409:TJC409"/>
    <mergeCell ref="TJD409:TJJ409"/>
    <mergeCell ref="TJK409:TJQ409"/>
    <mergeCell ref="TJR409:TJX409"/>
    <mergeCell ref="TJY409:TKE409"/>
    <mergeCell ref="TKF409:TKL409"/>
    <mergeCell ref="TKM409:TKS409"/>
    <mergeCell ref="TKT409:TKZ409"/>
    <mergeCell ref="TLA409:TLG409"/>
    <mergeCell ref="TLH409:TLN409"/>
    <mergeCell ref="TLO409:TLU409"/>
    <mergeCell ref="TLV409:TMB409"/>
    <mergeCell ref="TMC409:TMI409"/>
    <mergeCell ref="TMJ409:TMP409"/>
    <mergeCell ref="TMQ409:TMW409"/>
    <mergeCell ref="TMX409:TND409"/>
    <mergeCell ref="TNE409:TNK409"/>
    <mergeCell ref="TNL409:TNR409"/>
    <mergeCell ref="TNS409:TNY409"/>
    <mergeCell ref="TNZ409:TOF409"/>
    <mergeCell ref="TOG409:TOM409"/>
    <mergeCell ref="TON409:TOT409"/>
    <mergeCell ref="TOU409:TPA409"/>
    <mergeCell ref="TPB409:TPH409"/>
    <mergeCell ref="TPI409:TPO409"/>
    <mergeCell ref="TPP409:TPV409"/>
    <mergeCell ref="TPW409:TQC409"/>
    <mergeCell ref="TQD409:TQJ409"/>
    <mergeCell ref="TQK409:TQQ409"/>
    <mergeCell ref="TQR409:TQX409"/>
    <mergeCell ref="TQY409:TRE409"/>
    <mergeCell ref="TRF409:TRL409"/>
    <mergeCell ref="TRM409:TRS409"/>
    <mergeCell ref="TRT409:TRZ409"/>
    <mergeCell ref="TSA409:TSG409"/>
    <mergeCell ref="TSH409:TSN409"/>
    <mergeCell ref="TSO409:TSU409"/>
    <mergeCell ref="TSV409:TTB409"/>
    <mergeCell ref="TTC409:TTI409"/>
    <mergeCell ref="TTJ409:TTP409"/>
    <mergeCell ref="TTQ409:TTW409"/>
    <mergeCell ref="TTX409:TUD409"/>
    <mergeCell ref="TUE409:TUK409"/>
    <mergeCell ref="TUL409:TUR409"/>
    <mergeCell ref="TUS409:TUY409"/>
    <mergeCell ref="TUZ409:TVF409"/>
    <mergeCell ref="TVG409:TVM409"/>
    <mergeCell ref="TVN409:TVT409"/>
    <mergeCell ref="TVU409:TWA409"/>
    <mergeCell ref="TWB409:TWH409"/>
    <mergeCell ref="TWI409:TWO409"/>
    <mergeCell ref="TWP409:TWV409"/>
    <mergeCell ref="TWW409:TXC409"/>
    <mergeCell ref="TXD409:TXJ409"/>
    <mergeCell ref="TXK409:TXQ409"/>
    <mergeCell ref="TXR409:TXX409"/>
    <mergeCell ref="TXY409:TYE409"/>
    <mergeCell ref="TYF409:TYL409"/>
    <mergeCell ref="TYM409:TYS409"/>
    <mergeCell ref="TYT409:TYZ409"/>
    <mergeCell ref="TZA409:TZG409"/>
    <mergeCell ref="TZH409:TZN409"/>
    <mergeCell ref="TZO409:TZU409"/>
    <mergeCell ref="TZV409:UAB409"/>
    <mergeCell ref="UAC409:UAI409"/>
    <mergeCell ref="UAJ409:UAP409"/>
    <mergeCell ref="UAQ409:UAW409"/>
    <mergeCell ref="UAX409:UBD409"/>
    <mergeCell ref="UBE409:UBK409"/>
    <mergeCell ref="UBL409:UBR409"/>
    <mergeCell ref="UBS409:UBY409"/>
    <mergeCell ref="UBZ409:UCF409"/>
    <mergeCell ref="UCG409:UCM409"/>
    <mergeCell ref="UCN409:UCT409"/>
    <mergeCell ref="UCU409:UDA409"/>
    <mergeCell ref="UDB409:UDH409"/>
    <mergeCell ref="UDI409:UDO409"/>
    <mergeCell ref="UDP409:UDV409"/>
    <mergeCell ref="UDW409:UEC409"/>
    <mergeCell ref="UED409:UEJ409"/>
    <mergeCell ref="UEK409:UEQ409"/>
    <mergeCell ref="UER409:UEX409"/>
    <mergeCell ref="UEY409:UFE409"/>
    <mergeCell ref="UFF409:UFL409"/>
    <mergeCell ref="UFM409:UFS409"/>
    <mergeCell ref="UFT409:UFZ409"/>
    <mergeCell ref="UGA409:UGG409"/>
    <mergeCell ref="UGH409:UGN409"/>
    <mergeCell ref="UGO409:UGU409"/>
    <mergeCell ref="UGV409:UHB409"/>
    <mergeCell ref="UHC409:UHI409"/>
    <mergeCell ref="UHJ409:UHP409"/>
    <mergeCell ref="UHQ409:UHW409"/>
    <mergeCell ref="UHX409:UID409"/>
    <mergeCell ref="UIE409:UIK409"/>
    <mergeCell ref="UIL409:UIR409"/>
    <mergeCell ref="UIS409:UIY409"/>
    <mergeCell ref="UIZ409:UJF409"/>
    <mergeCell ref="UJG409:UJM409"/>
    <mergeCell ref="UJN409:UJT409"/>
    <mergeCell ref="UJU409:UKA409"/>
    <mergeCell ref="UKB409:UKH409"/>
    <mergeCell ref="UKI409:UKO409"/>
    <mergeCell ref="UKP409:UKV409"/>
    <mergeCell ref="UKW409:ULC409"/>
    <mergeCell ref="ULD409:ULJ409"/>
    <mergeCell ref="ULK409:ULQ409"/>
    <mergeCell ref="ULR409:ULX409"/>
    <mergeCell ref="ULY409:UME409"/>
    <mergeCell ref="UMF409:UML409"/>
    <mergeCell ref="UMM409:UMS409"/>
    <mergeCell ref="UMT409:UMZ409"/>
    <mergeCell ref="UNA409:UNG409"/>
    <mergeCell ref="UNH409:UNN409"/>
    <mergeCell ref="UNO409:UNU409"/>
    <mergeCell ref="UNV409:UOB409"/>
    <mergeCell ref="UOC409:UOI409"/>
    <mergeCell ref="UOJ409:UOP409"/>
    <mergeCell ref="UOQ409:UOW409"/>
    <mergeCell ref="UOX409:UPD409"/>
    <mergeCell ref="UPE409:UPK409"/>
    <mergeCell ref="UPL409:UPR409"/>
    <mergeCell ref="UPS409:UPY409"/>
    <mergeCell ref="UPZ409:UQF409"/>
    <mergeCell ref="UQG409:UQM409"/>
    <mergeCell ref="UQN409:UQT409"/>
    <mergeCell ref="UQU409:URA409"/>
    <mergeCell ref="URB409:URH409"/>
    <mergeCell ref="URI409:URO409"/>
    <mergeCell ref="URP409:URV409"/>
    <mergeCell ref="URW409:USC409"/>
    <mergeCell ref="USD409:USJ409"/>
    <mergeCell ref="USK409:USQ409"/>
    <mergeCell ref="USR409:USX409"/>
    <mergeCell ref="USY409:UTE409"/>
    <mergeCell ref="UTF409:UTL409"/>
    <mergeCell ref="UTM409:UTS409"/>
    <mergeCell ref="UTT409:UTZ409"/>
    <mergeCell ref="UUA409:UUG409"/>
    <mergeCell ref="UUH409:UUN409"/>
    <mergeCell ref="UUO409:UUU409"/>
    <mergeCell ref="UUV409:UVB409"/>
    <mergeCell ref="UVC409:UVI409"/>
    <mergeCell ref="UVJ409:UVP409"/>
    <mergeCell ref="UVQ409:UVW409"/>
    <mergeCell ref="UVX409:UWD409"/>
    <mergeCell ref="UWE409:UWK409"/>
    <mergeCell ref="UWL409:UWR409"/>
    <mergeCell ref="UWS409:UWY409"/>
    <mergeCell ref="UWZ409:UXF409"/>
    <mergeCell ref="UXG409:UXM409"/>
    <mergeCell ref="UXN409:UXT409"/>
    <mergeCell ref="UXU409:UYA409"/>
    <mergeCell ref="UYB409:UYH409"/>
    <mergeCell ref="UYI409:UYO409"/>
    <mergeCell ref="UYP409:UYV409"/>
    <mergeCell ref="UYW409:UZC409"/>
    <mergeCell ref="UZD409:UZJ409"/>
    <mergeCell ref="UZK409:UZQ409"/>
    <mergeCell ref="UZR409:UZX409"/>
    <mergeCell ref="UZY409:VAE409"/>
    <mergeCell ref="VAF409:VAL409"/>
    <mergeCell ref="VAM409:VAS409"/>
    <mergeCell ref="VAT409:VAZ409"/>
    <mergeCell ref="VBA409:VBG409"/>
    <mergeCell ref="VBH409:VBN409"/>
    <mergeCell ref="VBO409:VBU409"/>
    <mergeCell ref="VBV409:VCB409"/>
    <mergeCell ref="VCC409:VCI409"/>
    <mergeCell ref="VCJ409:VCP409"/>
    <mergeCell ref="VCQ409:VCW409"/>
    <mergeCell ref="VCX409:VDD409"/>
    <mergeCell ref="VDE409:VDK409"/>
    <mergeCell ref="VDL409:VDR409"/>
    <mergeCell ref="VDS409:VDY409"/>
    <mergeCell ref="VDZ409:VEF409"/>
    <mergeCell ref="VEG409:VEM409"/>
    <mergeCell ref="VEN409:VET409"/>
    <mergeCell ref="VEU409:VFA409"/>
    <mergeCell ref="VFB409:VFH409"/>
    <mergeCell ref="VFI409:VFO409"/>
    <mergeCell ref="VFP409:VFV409"/>
    <mergeCell ref="VFW409:VGC409"/>
    <mergeCell ref="VGD409:VGJ409"/>
    <mergeCell ref="VGK409:VGQ409"/>
    <mergeCell ref="VGR409:VGX409"/>
    <mergeCell ref="VGY409:VHE409"/>
    <mergeCell ref="VHF409:VHL409"/>
    <mergeCell ref="VHM409:VHS409"/>
    <mergeCell ref="VHT409:VHZ409"/>
    <mergeCell ref="VIA409:VIG409"/>
    <mergeCell ref="VIH409:VIN409"/>
    <mergeCell ref="VIO409:VIU409"/>
    <mergeCell ref="VIV409:VJB409"/>
    <mergeCell ref="VJC409:VJI409"/>
    <mergeCell ref="VJJ409:VJP409"/>
    <mergeCell ref="VJQ409:VJW409"/>
    <mergeCell ref="VJX409:VKD409"/>
    <mergeCell ref="VKE409:VKK409"/>
    <mergeCell ref="VKL409:VKR409"/>
    <mergeCell ref="VKS409:VKY409"/>
    <mergeCell ref="VKZ409:VLF409"/>
    <mergeCell ref="VLG409:VLM409"/>
    <mergeCell ref="VLN409:VLT409"/>
    <mergeCell ref="VLU409:VMA409"/>
    <mergeCell ref="VMB409:VMH409"/>
    <mergeCell ref="VMI409:VMO409"/>
    <mergeCell ref="VMP409:VMV409"/>
    <mergeCell ref="VMW409:VNC409"/>
    <mergeCell ref="VND409:VNJ409"/>
    <mergeCell ref="VNK409:VNQ409"/>
    <mergeCell ref="VNR409:VNX409"/>
    <mergeCell ref="VNY409:VOE409"/>
    <mergeCell ref="VOF409:VOL409"/>
    <mergeCell ref="VOM409:VOS409"/>
    <mergeCell ref="VOT409:VOZ409"/>
    <mergeCell ref="VPA409:VPG409"/>
    <mergeCell ref="VPH409:VPN409"/>
    <mergeCell ref="VPO409:VPU409"/>
    <mergeCell ref="VPV409:VQB409"/>
    <mergeCell ref="VQC409:VQI409"/>
    <mergeCell ref="VQJ409:VQP409"/>
    <mergeCell ref="VQQ409:VQW409"/>
    <mergeCell ref="VQX409:VRD409"/>
    <mergeCell ref="VRE409:VRK409"/>
    <mergeCell ref="VRL409:VRR409"/>
    <mergeCell ref="VRS409:VRY409"/>
    <mergeCell ref="VRZ409:VSF409"/>
    <mergeCell ref="VSG409:VSM409"/>
    <mergeCell ref="VSN409:VST409"/>
    <mergeCell ref="VSU409:VTA409"/>
    <mergeCell ref="VTB409:VTH409"/>
    <mergeCell ref="VTI409:VTO409"/>
    <mergeCell ref="VTP409:VTV409"/>
    <mergeCell ref="VTW409:VUC409"/>
    <mergeCell ref="VUD409:VUJ409"/>
    <mergeCell ref="VUK409:VUQ409"/>
    <mergeCell ref="VUR409:VUX409"/>
    <mergeCell ref="VUY409:VVE409"/>
    <mergeCell ref="VVF409:VVL409"/>
    <mergeCell ref="VVM409:VVS409"/>
    <mergeCell ref="VVT409:VVZ409"/>
    <mergeCell ref="VWA409:VWG409"/>
    <mergeCell ref="VWH409:VWN409"/>
    <mergeCell ref="VWO409:VWU409"/>
    <mergeCell ref="VWV409:VXB409"/>
    <mergeCell ref="VXC409:VXI409"/>
    <mergeCell ref="VXJ409:VXP409"/>
    <mergeCell ref="VXQ409:VXW409"/>
    <mergeCell ref="VXX409:VYD409"/>
    <mergeCell ref="VYE409:VYK409"/>
    <mergeCell ref="VYL409:VYR409"/>
    <mergeCell ref="VYS409:VYY409"/>
    <mergeCell ref="VYZ409:VZF409"/>
    <mergeCell ref="VZG409:VZM409"/>
    <mergeCell ref="VZN409:VZT409"/>
    <mergeCell ref="VZU409:WAA409"/>
    <mergeCell ref="WAB409:WAH409"/>
    <mergeCell ref="WAI409:WAO409"/>
    <mergeCell ref="WAP409:WAV409"/>
    <mergeCell ref="WAW409:WBC409"/>
    <mergeCell ref="WBD409:WBJ409"/>
    <mergeCell ref="WBK409:WBQ409"/>
    <mergeCell ref="WBR409:WBX409"/>
    <mergeCell ref="WBY409:WCE409"/>
    <mergeCell ref="WCF409:WCL409"/>
    <mergeCell ref="WCM409:WCS409"/>
    <mergeCell ref="WCT409:WCZ409"/>
    <mergeCell ref="WDA409:WDG409"/>
    <mergeCell ref="WDH409:WDN409"/>
    <mergeCell ref="WDO409:WDU409"/>
    <mergeCell ref="WDV409:WEB409"/>
    <mergeCell ref="WEC409:WEI409"/>
    <mergeCell ref="WEJ409:WEP409"/>
    <mergeCell ref="WEQ409:WEW409"/>
    <mergeCell ref="WEX409:WFD409"/>
    <mergeCell ref="WFE409:WFK409"/>
    <mergeCell ref="WFL409:WFR409"/>
    <mergeCell ref="WFS409:WFY409"/>
    <mergeCell ref="WFZ409:WGF409"/>
    <mergeCell ref="WGG409:WGM409"/>
    <mergeCell ref="WGN409:WGT409"/>
    <mergeCell ref="WGU409:WHA409"/>
    <mergeCell ref="WHB409:WHH409"/>
    <mergeCell ref="WHI409:WHO409"/>
    <mergeCell ref="WHP409:WHV409"/>
    <mergeCell ref="WHW409:WIC409"/>
    <mergeCell ref="WID409:WIJ409"/>
    <mergeCell ref="WIK409:WIQ409"/>
    <mergeCell ref="WIR409:WIX409"/>
    <mergeCell ref="WIY409:WJE409"/>
    <mergeCell ref="WJF409:WJL409"/>
    <mergeCell ref="WJM409:WJS409"/>
    <mergeCell ref="WJT409:WJZ409"/>
    <mergeCell ref="WKA409:WKG409"/>
    <mergeCell ref="WKH409:WKN409"/>
    <mergeCell ref="WKO409:WKU409"/>
    <mergeCell ref="WKV409:WLB409"/>
    <mergeCell ref="WLC409:WLI409"/>
    <mergeCell ref="WLJ409:WLP409"/>
    <mergeCell ref="WLQ409:WLW409"/>
    <mergeCell ref="WLX409:WMD409"/>
    <mergeCell ref="WME409:WMK409"/>
    <mergeCell ref="WML409:WMR409"/>
    <mergeCell ref="WMS409:WMY409"/>
    <mergeCell ref="WMZ409:WNF409"/>
    <mergeCell ref="WNG409:WNM409"/>
    <mergeCell ref="WNN409:WNT409"/>
    <mergeCell ref="WNU409:WOA409"/>
    <mergeCell ref="WOB409:WOH409"/>
    <mergeCell ref="WOI409:WOO409"/>
    <mergeCell ref="WOP409:WOV409"/>
    <mergeCell ref="WOW409:WPC409"/>
    <mergeCell ref="WPD409:WPJ409"/>
    <mergeCell ref="WPK409:WPQ409"/>
    <mergeCell ref="WPR409:WPX409"/>
    <mergeCell ref="WPY409:WQE409"/>
    <mergeCell ref="WQF409:WQL409"/>
    <mergeCell ref="WQM409:WQS409"/>
    <mergeCell ref="WQT409:WQZ409"/>
    <mergeCell ref="WRA409:WRG409"/>
    <mergeCell ref="WRH409:WRN409"/>
    <mergeCell ref="WRO409:WRU409"/>
    <mergeCell ref="WRV409:WSB409"/>
    <mergeCell ref="WSC409:WSI409"/>
    <mergeCell ref="WSJ409:WSP409"/>
    <mergeCell ref="WSQ409:WSW409"/>
    <mergeCell ref="WSX409:WTD409"/>
    <mergeCell ref="WTE409:WTK409"/>
    <mergeCell ref="WTL409:WTR409"/>
    <mergeCell ref="WTS409:WTY409"/>
    <mergeCell ref="WTZ409:WUF409"/>
    <mergeCell ref="WUG409:WUM409"/>
    <mergeCell ref="WUN409:WUT409"/>
    <mergeCell ref="WUU409:WVA409"/>
    <mergeCell ref="WVB409:WVH409"/>
    <mergeCell ref="WVI409:WVO409"/>
    <mergeCell ref="WVP409:WVV409"/>
    <mergeCell ref="WVW409:WWC409"/>
    <mergeCell ref="WWD409:WWJ409"/>
    <mergeCell ref="WWK409:WWQ409"/>
    <mergeCell ref="WWR409:WWX409"/>
    <mergeCell ref="WWY409:WXE409"/>
    <mergeCell ref="WXF409:WXL409"/>
    <mergeCell ref="WXM409:WXS409"/>
    <mergeCell ref="WXT409:WXZ409"/>
    <mergeCell ref="WYA409:WYG409"/>
    <mergeCell ref="WYH409:WYN409"/>
    <mergeCell ref="WYO409:WYU409"/>
    <mergeCell ref="XDK409:XDQ409"/>
    <mergeCell ref="XDR409:XDX409"/>
    <mergeCell ref="XDY409:XEE409"/>
    <mergeCell ref="XEF409:XEL409"/>
    <mergeCell ref="XEM409:XES409"/>
    <mergeCell ref="XET409:XEZ409"/>
    <mergeCell ref="XFA409:XFD409"/>
    <mergeCell ref="WYV409:WZB409"/>
    <mergeCell ref="WZC409:WZI409"/>
    <mergeCell ref="WZJ409:WZP409"/>
    <mergeCell ref="WZQ409:WZW409"/>
    <mergeCell ref="WZX409:XAD409"/>
    <mergeCell ref="XAE409:XAK409"/>
    <mergeCell ref="XAL409:XAR409"/>
    <mergeCell ref="XAS409:XAY409"/>
    <mergeCell ref="XAZ409:XBF409"/>
    <mergeCell ref="XBG409:XBM409"/>
    <mergeCell ref="XBN409:XBT409"/>
    <mergeCell ref="XBU409:XCA409"/>
    <mergeCell ref="XCB409:XCH409"/>
    <mergeCell ref="XCI409:XCO409"/>
    <mergeCell ref="XCP409:XCV409"/>
    <mergeCell ref="XCW409:XDC409"/>
    <mergeCell ref="XDD409:XDJ409"/>
  </mergeCells>
  <pageMargins left="0.7" right="0.4375" top="0.75" bottom="0.75" header="0.3" footer="0.3"/>
  <pageSetup paperSize="9" orientation="portrait" horizontalDpi="4294967292" verticalDpi="4294967292"/>
  <headerFooter>
    <oddHeader xml:space="preserve">&amp;CCOMPRAS SAN TOMAS
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150" zoomScaleNormal="150" workbookViewId="0">
      <selection activeCell="G7" sqref="G7"/>
    </sheetView>
  </sheetViews>
  <sheetFormatPr baseColWidth="10" defaultRowHeight="15" x14ac:dyDescent="0.2"/>
  <cols>
    <col min="1" max="1" width="13.83203125" customWidth="1"/>
    <col min="2" max="2" width="21" customWidth="1"/>
    <col min="3" max="3" width="12.83203125" bestFit="1" customWidth="1"/>
    <col min="4" max="5" width="13.1640625" bestFit="1" customWidth="1"/>
  </cols>
  <sheetData>
    <row r="1" spans="1:5" x14ac:dyDescent="0.2">
      <c r="A1" s="8" t="s">
        <v>0</v>
      </c>
      <c r="B1" s="3" t="s">
        <v>1</v>
      </c>
      <c r="C1" s="3" t="s">
        <v>16</v>
      </c>
      <c r="D1" s="3" t="s">
        <v>2</v>
      </c>
      <c r="E1" s="3"/>
    </row>
    <row r="2" spans="1:5" x14ac:dyDescent="0.2">
      <c r="A2" s="2"/>
      <c r="B2" s="1"/>
      <c r="C2" s="1"/>
      <c r="D2" s="5"/>
      <c r="E2" s="1"/>
    </row>
    <row r="3" spans="1:5" x14ac:dyDescent="0.2">
      <c r="A3" s="2" t="s">
        <v>289</v>
      </c>
      <c r="B3" s="1" t="s">
        <v>290</v>
      </c>
      <c r="C3" s="1"/>
      <c r="D3" s="5"/>
      <c r="E3" s="1">
        <v>146650</v>
      </c>
    </row>
    <row r="4" spans="1:5" x14ac:dyDescent="0.2">
      <c r="A4" s="2"/>
      <c r="B4" s="1" t="s">
        <v>353</v>
      </c>
      <c r="C4" s="1"/>
      <c r="D4" s="5"/>
      <c r="E4" s="1">
        <v>135000</v>
      </c>
    </row>
    <row r="5" spans="1:5" x14ac:dyDescent="0.2">
      <c r="A5" s="2"/>
      <c r="B5" s="1"/>
      <c r="C5" s="1"/>
      <c r="D5" s="4"/>
      <c r="E5" s="1"/>
    </row>
    <row r="6" spans="1:5" x14ac:dyDescent="0.2">
      <c r="A6" s="2"/>
      <c r="B6" s="1"/>
      <c r="C6" s="1"/>
      <c r="D6" s="4"/>
      <c r="E6" s="1"/>
    </row>
    <row r="7" spans="1:5" x14ac:dyDescent="0.2">
      <c r="A7" s="2"/>
      <c r="B7" s="1"/>
      <c r="C7" s="1"/>
      <c r="D7" s="4"/>
      <c r="E7" s="1"/>
    </row>
    <row r="8" spans="1:5" x14ac:dyDescent="0.2">
      <c r="A8" s="126"/>
      <c r="B8" s="126"/>
      <c r="C8" s="126"/>
      <c r="D8" s="9">
        <f>SUM(D3:D7)</f>
        <v>0</v>
      </c>
    </row>
  </sheetData>
  <mergeCells count="1">
    <mergeCell ref="A8:C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3"/>
  <sheetViews>
    <sheetView zoomScale="125" zoomScaleNormal="125" zoomScalePageLayoutView="125" workbookViewId="0">
      <selection activeCell="C17" sqref="C17"/>
    </sheetView>
  </sheetViews>
  <sheetFormatPr baseColWidth="10" defaultRowHeight="15" x14ac:dyDescent="0.2"/>
  <cols>
    <col min="1" max="1" width="10.6640625" style="13" bestFit="1" customWidth="1"/>
    <col min="2" max="2" width="27" style="13" bestFit="1" customWidth="1"/>
    <col min="3" max="3" width="16.83203125" style="13" bestFit="1" customWidth="1"/>
    <col min="4" max="4" width="51.6640625" style="13" customWidth="1"/>
    <col min="5" max="5" width="13.5" style="13" bestFit="1" customWidth="1"/>
    <col min="6" max="6" width="9.5" style="13" customWidth="1"/>
    <col min="7" max="7" width="13.1640625" style="13" bestFit="1" customWidth="1"/>
    <col min="8" max="8" width="14.5" style="13" customWidth="1"/>
    <col min="9" max="16384" width="10.83203125" style="13"/>
  </cols>
  <sheetData>
    <row r="1" spans="1:7" ht="16.5" customHeight="1" x14ac:dyDescent="0.2">
      <c r="A1" s="12" t="s">
        <v>0</v>
      </c>
      <c r="B1" s="12" t="s">
        <v>1</v>
      </c>
      <c r="C1" s="12" t="s">
        <v>3</v>
      </c>
      <c r="D1" s="12" t="s">
        <v>6</v>
      </c>
      <c r="E1" s="12" t="s">
        <v>2</v>
      </c>
      <c r="F1" s="12" t="s">
        <v>4</v>
      </c>
      <c r="G1" s="12" t="s">
        <v>5</v>
      </c>
    </row>
    <row r="2" spans="1:7" ht="16.5" customHeight="1" x14ac:dyDescent="0.2">
      <c r="A2" s="12"/>
      <c r="B2" s="12"/>
      <c r="C2" s="12"/>
      <c r="D2" s="12" t="s">
        <v>18</v>
      </c>
      <c r="E2" s="12"/>
      <c r="F2" s="12"/>
      <c r="G2" s="12"/>
    </row>
    <row r="3" spans="1:7" ht="16.5" customHeight="1" x14ac:dyDescent="0.2">
      <c r="A3" s="110">
        <v>45879</v>
      </c>
      <c r="B3" s="12" t="s">
        <v>194</v>
      </c>
      <c r="C3" s="12"/>
      <c r="D3" s="12" t="s">
        <v>195</v>
      </c>
      <c r="E3" s="12"/>
      <c r="F3" s="12"/>
      <c r="G3" s="12">
        <v>150000</v>
      </c>
    </row>
    <row r="4" spans="1:7" ht="16.5" customHeight="1" x14ac:dyDescent="0.2">
      <c r="A4" s="12"/>
      <c r="B4" s="12"/>
      <c r="C4" s="12"/>
      <c r="D4" s="12"/>
      <c r="E4" s="12"/>
      <c r="F4" s="12"/>
      <c r="G4" s="12"/>
    </row>
    <row r="5" spans="1:7" ht="16.5" customHeight="1" x14ac:dyDescent="0.2">
      <c r="A5" s="35"/>
      <c r="B5" s="14"/>
      <c r="C5" s="24"/>
      <c r="D5" s="14"/>
      <c r="E5" s="34"/>
      <c r="F5" s="34"/>
      <c r="G5" s="15"/>
    </row>
    <row r="6" spans="1:7" x14ac:dyDescent="0.2">
      <c r="A6" s="119" t="s">
        <v>196</v>
      </c>
      <c r="B6" s="120"/>
      <c r="C6" s="120"/>
      <c r="D6" s="120"/>
      <c r="E6" s="120"/>
      <c r="F6" s="121"/>
      <c r="G6" s="16">
        <f>SUM(G3:G5)</f>
        <v>150000</v>
      </c>
    </row>
    <row r="7" spans="1:7" x14ac:dyDescent="0.2">
      <c r="A7" s="23"/>
      <c r="B7" s="14"/>
      <c r="C7" s="24"/>
      <c r="D7" s="14"/>
      <c r="E7" s="15"/>
      <c r="F7" s="15"/>
      <c r="G7" s="15"/>
    </row>
    <row r="8" spans="1:7" x14ac:dyDescent="0.2">
      <c r="A8" s="23">
        <v>45889</v>
      </c>
      <c r="B8" s="104" t="s">
        <v>280</v>
      </c>
      <c r="C8" s="105"/>
      <c r="D8" s="106" t="s">
        <v>281</v>
      </c>
      <c r="E8" s="105"/>
      <c r="F8" s="15"/>
      <c r="G8" s="15">
        <v>307900</v>
      </c>
    </row>
    <row r="9" spans="1:7" x14ac:dyDescent="0.2">
      <c r="A9" s="23"/>
      <c r="B9" s="14"/>
      <c r="C9" s="24"/>
      <c r="D9" s="14"/>
      <c r="E9" s="15"/>
      <c r="F9" s="15"/>
      <c r="G9" s="15"/>
    </row>
    <row r="10" spans="1:7" x14ac:dyDescent="0.2">
      <c r="A10" s="79"/>
      <c r="B10" s="44"/>
      <c r="C10" s="64"/>
      <c r="D10" s="44"/>
      <c r="E10" s="46"/>
      <c r="F10" s="47"/>
      <c r="G10" s="15"/>
    </row>
    <row r="11" spans="1:7" x14ac:dyDescent="0.2">
      <c r="A11" s="119" t="s">
        <v>282</v>
      </c>
      <c r="B11" s="120"/>
      <c r="C11" s="120"/>
      <c r="D11" s="120"/>
      <c r="E11" s="120"/>
      <c r="F11" s="121"/>
      <c r="G11" s="16">
        <f>SUM(G8:G10)</f>
        <v>307900</v>
      </c>
    </row>
    <row r="12" spans="1:7" x14ac:dyDescent="0.2">
      <c r="A12" s="23"/>
      <c r="B12" s="14"/>
      <c r="C12" s="24"/>
      <c r="D12" s="14"/>
      <c r="E12" s="15"/>
      <c r="F12" s="15"/>
      <c r="G12" s="15"/>
    </row>
    <row r="13" spans="1:7" x14ac:dyDescent="0.2">
      <c r="A13" s="23">
        <v>45896</v>
      </c>
      <c r="B13" s="14" t="s">
        <v>354</v>
      </c>
      <c r="C13" s="24"/>
      <c r="D13" s="14" t="s">
        <v>195</v>
      </c>
      <c r="E13" s="15"/>
      <c r="F13" s="15"/>
      <c r="G13" s="15">
        <v>150000</v>
      </c>
    </row>
    <row r="14" spans="1:7" x14ac:dyDescent="0.2">
      <c r="A14" s="79"/>
      <c r="B14" s="44"/>
      <c r="C14" s="64"/>
      <c r="D14" s="44"/>
      <c r="E14" s="46"/>
      <c r="F14" s="47"/>
      <c r="G14" s="15"/>
    </row>
    <row r="15" spans="1:7" x14ac:dyDescent="0.2">
      <c r="A15" s="119" t="s">
        <v>355</v>
      </c>
      <c r="B15" s="120"/>
      <c r="C15" s="120"/>
      <c r="D15" s="120"/>
      <c r="E15" s="120"/>
      <c r="F15" s="121"/>
      <c r="G15" s="16">
        <f>SUM(G13:G14)</f>
        <v>150000</v>
      </c>
    </row>
    <row r="16" spans="1:7" x14ac:dyDescent="0.2">
      <c r="A16" s="23"/>
      <c r="B16" s="14"/>
      <c r="C16" s="24"/>
      <c r="D16" s="14"/>
      <c r="E16" s="15"/>
      <c r="F16" s="15"/>
      <c r="G16" s="15"/>
    </row>
    <row r="17" spans="1:7" x14ac:dyDescent="0.2">
      <c r="A17" s="23"/>
      <c r="B17" s="14"/>
      <c r="C17" s="24"/>
      <c r="D17" s="14"/>
      <c r="E17" s="15"/>
      <c r="F17" s="15"/>
      <c r="G17" s="38"/>
    </row>
    <row r="18" spans="1:7" x14ac:dyDescent="0.2">
      <c r="A18" s="23"/>
      <c r="B18" s="14"/>
      <c r="C18" s="24"/>
      <c r="D18" s="14"/>
      <c r="E18" s="15"/>
      <c r="F18" s="15"/>
      <c r="G18" s="15"/>
    </row>
    <row r="19" spans="1:7" x14ac:dyDescent="0.2">
      <c r="A19" s="119"/>
      <c r="B19" s="120"/>
      <c r="C19" s="120"/>
      <c r="D19" s="120"/>
      <c r="E19" s="120"/>
      <c r="F19" s="121"/>
      <c r="G19" s="16"/>
    </row>
    <row r="20" spans="1:7" x14ac:dyDescent="0.2">
      <c r="A20" s="23"/>
      <c r="B20" s="14"/>
      <c r="C20" s="24"/>
      <c r="D20" s="14"/>
      <c r="E20" s="15"/>
      <c r="F20" s="15"/>
      <c r="G20" s="15"/>
    </row>
    <row r="21" spans="1:7" x14ac:dyDescent="0.2">
      <c r="A21" s="23"/>
      <c r="B21" s="44"/>
      <c r="C21" s="64"/>
      <c r="D21" s="44"/>
      <c r="E21" s="15"/>
      <c r="F21" s="15"/>
      <c r="G21" s="15"/>
    </row>
    <row r="22" spans="1:7" x14ac:dyDescent="0.2">
      <c r="A22" s="79"/>
      <c r="B22" s="44"/>
      <c r="C22" s="64"/>
      <c r="D22" s="44"/>
      <c r="E22" s="46"/>
      <c r="F22" s="47"/>
      <c r="G22" s="15"/>
    </row>
    <row r="23" spans="1:7" x14ac:dyDescent="0.2">
      <c r="A23" s="79"/>
      <c r="B23" s="44"/>
      <c r="C23" s="64"/>
      <c r="D23" s="44"/>
      <c r="E23" s="46"/>
      <c r="F23" s="47"/>
      <c r="G23" s="15"/>
    </row>
    <row r="24" spans="1:7" x14ac:dyDescent="0.2">
      <c r="A24" s="119"/>
      <c r="B24" s="120"/>
      <c r="C24" s="120"/>
      <c r="D24" s="120"/>
      <c r="E24" s="120"/>
      <c r="F24" s="121"/>
      <c r="G24" s="16"/>
    </row>
    <row r="25" spans="1:7" x14ac:dyDescent="0.2">
      <c r="A25" s="23"/>
      <c r="B25" s="14"/>
      <c r="C25" s="24"/>
      <c r="D25" s="14"/>
      <c r="E25" s="15"/>
      <c r="F25" s="15"/>
      <c r="G25" s="15"/>
    </row>
    <row r="26" spans="1:7" x14ac:dyDescent="0.2">
      <c r="A26" s="23"/>
      <c r="B26" s="44"/>
      <c r="C26" s="64"/>
      <c r="D26" s="14"/>
      <c r="E26" s="15"/>
      <c r="F26" s="15"/>
      <c r="G26" s="15"/>
    </row>
    <row r="27" spans="1:7" x14ac:dyDescent="0.2">
      <c r="A27" s="23"/>
      <c r="B27" s="44"/>
      <c r="C27" s="64"/>
      <c r="D27" s="44"/>
      <c r="E27" s="15"/>
      <c r="F27" s="15"/>
      <c r="G27" s="15"/>
    </row>
    <row r="28" spans="1:7" x14ac:dyDescent="0.2">
      <c r="A28" s="119"/>
      <c r="B28" s="120"/>
      <c r="C28" s="120"/>
      <c r="D28" s="120"/>
      <c r="E28" s="120"/>
      <c r="F28" s="121"/>
      <c r="G28" s="16"/>
    </row>
    <row r="29" spans="1:7" x14ac:dyDescent="0.2">
      <c r="A29" s="23"/>
      <c r="B29" s="14"/>
      <c r="C29" s="24"/>
      <c r="D29" s="14"/>
      <c r="E29" s="15"/>
      <c r="F29" s="15"/>
      <c r="G29" s="15"/>
    </row>
    <row r="30" spans="1:7" x14ac:dyDescent="0.2">
      <c r="A30" s="23"/>
      <c r="B30" s="44"/>
      <c r="C30" s="64"/>
      <c r="D30" s="14"/>
      <c r="E30" s="15"/>
      <c r="F30" s="15"/>
      <c r="G30" s="15"/>
    </row>
    <row r="31" spans="1:7" x14ac:dyDescent="0.2">
      <c r="A31" s="23"/>
      <c r="C31" s="24"/>
      <c r="D31" s="14"/>
      <c r="E31" s="15"/>
      <c r="F31" s="15"/>
      <c r="G31" s="15"/>
    </row>
    <row r="32" spans="1:7" x14ac:dyDescent="0.2">
      <c r="A32" s="23"/>
      <c r="B32" s="14"/>
      <c r="C32" s="24"/>
      <c r="D32" s="14"/>
      <c r="E32" s="15"/>
      <c r="F32" s="15"/>
      <c r="G32" s="15"/>
    </row>
    <row r="33" spans="1:7" x14ac:dyDescent="0.2">
      <c r="A33" s="79"/>
      <c r="B33" s="44"/>
      <c r="C33" s="64"/>
      <c r="D33" s="44"/>
      <c r="E33" s="46"/>
      <c r="F33" s="47"/>
      <c r="G33" s="15"/>
    </row>
    <row r="34" spans="1:7" x14ac:dyDescent="0.2">
      <c r="A34" s="113"/>
      <c r="B34" s="114"/>
      <c r="C34" s="114"/>
      <c r="D34" s="114"/>
      <c r="E34" s="114"/>
      <c r="F34" s="115"/>
      <c r="G34" s="16"/>
    </row>
    <row r="35" spans="1:7" x14ac:dyDescent="0.2">
      <c r="A35" s="23"/>
      <c r="B35" s="14"/>
      <c r="C35" s="24"/>
      <c r="D35" s="14"/>
      <c r="E35" s="15"/>
      <c r="F35" s="15"/>
      <c r="G35" s="15"/>
    </row>
    <row r="36" spans="1:7" x14ac:dyDescent="0.2">
      <c r="A36" s="23"/>
      <c r="B36" s="14"/>
      <c r="C36" s="24"/>
      <c r="D36" s="14"/>
      <c r="E36" s="15"/>
      <c r="F36" s="15"/>
      <c r="G36" s="15"/>
    </row>
    <row r="37" spans="1:7" x14ac:dyDescent="0.2">
      <c r="A37" s="23"/>
      <c r="B37" s="14"/>
      <c r="C37" s="24"/>
      <c r="D37" s="14"/>
      <c r="E37" s="15"/>
      <c r="F37" s="15"/>
      <c r="G37" s="15"/>
    </row>
    <row r="38" spans="1:7" x14ac:dyDescent="0.2">
      <c r="A38" s="79"/>
      <c r="B38" s="44"/>
      <c r="C38" s="64"/>
      <c r="D38" s="44"/>
      <c r="E38" s="46"/>
      <c r="F38" s="47"/>
      <c r="G38" s="15"/>
    </row>
    <row r="39" spans="1:7" x14ac:dyDescent="0.2">
      <c r="A39" s="119"/>
      <c r="B39" s="120"/>
      <c r="C39" s="120"/>
      <c r="D39" s="120"/>
      <c r="E39" s="120"/>
      <c r="F39" s="121"/>
      <c r="G39" s="16"/>
    </row>
    <row r="40" spans="1:7" x14ac:dyDescent="0.2">
      <c r="A40" s="23"/>
      <c r="B40" s="23"/>
      <c r="C40" s="24"/>
      <c r="D40" s="14"/>
      <c r="E40" s="15"/>
      <c r="F40" s="15"/>
      <c r="G40" s="15"/>
    </row>
    <row r="41" spans="1:7" x14ac:dyDescent="0.2">
      <c r="A41" s="23"/>
      <c r="B41" s="14"/>
      <c r="C41" s="24"/>
      <c r="D41" s="14"/>
      <c r="E41" s="15"/>
      <c r="F41" s="15"/>
      <c r="G41" s="15"/>
    </row>
    <row r="42" spans="1:7" x14ac:dyDescent="0.2">
      <c r="A42" s="79"/>
      <c r="B42" s="44"/>
      <c r="C42" s="64"/>
      <c r="D42" s="44"/>
      <c r="E42" s="46"/>
      <c r="F42" s="47"/>
      <c r="G42" s="15"/>
    </row>
    <row r="43" spans="1:7" x14ac:dyDescent="0.2">
      <c r="A43" s="119"/>
      <c r="B43" s="120"/>
      <c r="C43" s="120"/>
      <c r="D43" s="120"/>
      <c r="E43" s="120"/>
      <c r="F43" s="121"/>
      <c r="G43" s="16"/>
    </row>
    <row r="44" spans="1:7" x14ac:dyDescent="0.2">
      <c r="A44" s="23"/>
      <c r="B44" s="23"/>
      <c r="C44" s="24"/>
      <c r="D44" s="14"/>
      <c r="E44" s="15"/>
      <c r="F44" s="15"/>
      <c r="G44" s="15"/>
    </row>
    <row r="45" spans="1:7" x14ac:dyDescent="0.2">
      <c r="A45" s="23"/>
      <c r="B45" s="14"/>
      <c r="C45" s="24"/>
      <c r="D45" s="14"/>
      <c r="E45" s="15"/>
      <c r="F45" s="15"/>
      <c r="G45" s="15"/>
    </row>
    <row r="46" spans="1:7" x14ac:dyDescent="0.2">
      <c r="A46" s="23"/>
      <c r="B46" s="14"/>
      <c r="C46" s="24"/>
      <c r="D46" s="14"/>
      <c r="E46" s="15"/>
      <c r="F46" s="15"/>
      <c r="G46" s="15"/>
    </row>
    <row r="47" spans="1:7" x14ac:dyDescent="0.2">
      <c r="A47" s="119"/>
      <c r="B47" s="120"/>
      <c r="C47" s="120"/>
      <c r="D47" s="120"/>
      <c r="E47" s="120"/>
      <c r="F47" s="121"/>
      <c r="G47" s="16"/>
    </row>
    <row r="48" spans="1:7" x14ac:dyDescent="0.2">
      <c r="A48" s="23"/>
      <c r="B48" s="23"/>
      <c r="C48" s="24"/>
      <c r="D48" s="14"/>
      <c r="E48" s="15"/>
      <c r="F48" s="15"/>
      <c r="G48" s="15"/>
    </row>
    <row r="49" spans="1:7" x14ac:dyDescent="0.2">
      <c r="A49" s="23"/>
      <c r="B49" s="14"/>
      <c r="C49" s="24"/>
      <c r="D49" s="14"/>
      <c r="E49" s="15"/>
      <c r="F49" s="15"/>
      <c r="G49" s="15"/>
    </row>
    <row r="50" spans="1:7" x14ac:dyDescent="0.2">
      <c r="A50" s="79"/>
      <c r="B50" s="44"/>
      <c r="C50" s="64"/>
      <c r="D50" s="44"/>
      <c r="E50" s="46"/>
      <c r="F50" s="47"/>
      <c r="G50" s="15"/>
    </row>
    <row r="51" spans="1:7" x14ac:dyDescent="0.2">
      <c r="A51" s="119"/>
      <c r="B51" s="120"/>
      <c r="C51" s="120"/>
      <c r="D51" s="120"/>
      <c r="E51" s="120"/>
      <c r="F51" s="121"/>
      <c r="G51" s="16"/>
    </row>
    <row r="52" spans="1:7" x14ac:dyDescent="0.2">
      <c r="A52" s="23"/>
      <c r="B52" s="23"/>
      <c r="C52" s="24"/>
      <c r="D52" s="14"/>
      <c r="E52" s="15"/>
      <c r="F52" s="15"/>
      <c r="G52" s="15"/>
    </row>
    <row r="53" spans="1:7" x14ac:dyDescent="0.2">
      <c r="A53" s="23"/>
      <c r="B53" s="44"/>
      <c r="C53" s="64"/>
      <c r="D53" s="44"/>
      <c r="E53" s="15"/>
      <c r="F53" s="15"/>
      <c r="G53" s="15"/>
    </row>
    <row r="54" spans="1:7" x14ac:dyDescent="0.2">
      <c r="A54" s="23"/>
      <c r="B54" s="44"/>
      <c r="C54" s="64"/>
      <c r="D54" s="44"/>
      <c r="E54" s="15"/>
      <c r="F54" s="15"/>
      <c r="G54" s="15"/>
    </row>
    <row r="55" spans="1:7" x14ac:dyDescent="0.2">
      <c r="A55" s="79"/>
      <c r="B55" s="44"/>
      <c r="C55" s="64"/>
      <c r="D55" s="44"/>
      <c r="E55" s="46"/>
      <c r="F55" s="47"/>
      <c r="G55" s="15"/>
    </row>
    <row r="56" spans="1:7" x14ac:dyDescent="0.2">
      <c r="A56" s="119"/>
      <c r="B56" s="120"/>
      <c r="C56" s="120"/>
      <c r="D56" s="120"/>
      <c r="E56" s="120"/>
      <c r="F56" s="121"/>
      <c r="G56" s="16"/>
    </row>
    <row r="57" spans="1:7" x14ac:dyDescent="0.2">
      <c r="A57" s="23"/>
      <c r="B57" s="23"/>
      <c r="C57" s="24"/>
      <c r="D57" s="14"/>
      <c r="E57" s="15"/>
      <c r="F57" s="15"/>
      <c r="G57" s="15"/>
    </row>
    <row r="58" spans="1:7" x14ac:dyDescent="0.2">
      <c r="A58" s="23"/>
      <c r="B58" s="80"/>
      <c r="C58" s="81"/>
      <c r="D58" s="95"/>
      <c r="E58" s="15"/>
      <c r="F58" s="15"/>
      <c r="G58" s="15"/>
    </row>
    <row r="59" spans="1:7" x14ac:dyDescent="0.2">
      <c r="A59" s="23"/>
      <c r="B59" s="14"/>
      <c r="C59" s="14"/>
      <c r="D59" s="14"/>
      <c r="E59" s="15"/>
      <c r="F59" s="15"/>
      <c r="G59" s="15"/>
    </row>
    <row r="60" spans="1:7" x14ac:dyDescent="0.2">
      <c r="A60" s="119"/>
      <c r="B60" s="120"/>
      <c r="C60" s="120"/>
      <c r="D60" s="120"/>
      <c r="E60" s="120"/>
      <c r="F60" s="121"/>
      <c r="G60" s="16"/>
    </row>
    <row r="61" spans="1:7" x14ac:dyDescent="0.2">
      <c r="A61" s="23"/>
      <c r="B61" s="23"/>
      <c r="C61" s="24"/>
      <c r="D61" s="14"/>
      <c r="E61" s="15"/>
      <c r="F61" s="15"/>
      <c r="G61" s="15"/>
    </row>
    <row r="62" spans="1:7" x14ac:dyDescent="0.2">
      <c r="A62" s="23"/>
      <c r="B62" s="14"/>
      <c r="C62" s="24"/>
      <c r="D62" s="14"/>
      <c r="E62" s="15"/>
      <c r="F62" s="15"/>
      <c r="G62" s="15"/>
    </row>
    <row r="63" spans="1:7" x14ac:dyDescent="0.2">
      <c r="A63" s="79"/>
      <c r="B63" s="44"/>
      <c r="C63" s="64"/>
      <c r="D63" s="44"/>
      <c r="E63" s="46"/>
      <c r="F63" s="47"/>
      <c r="G63" s="15"/>
    </row>
    <row r="64" spans="1:7" x14ac:dyDescent="0.2">
      <c r="A64" s="79"/>
      <c r="B64" s="44"/>
      <c r="C64" s="64"/>
      <c r="D64" s="44"/>
      <c r="E64" s="46"/>
      <c r="F64" s="47"/>
      <c r="G64" s="15"/>
    </row>
    <row r="65" spans="1:7" x14ac:dyDescent="0.2">
      <c r="A65" s="79"/>
      <c r="B65" s="44"/>
      <c r="C65" s="64"/>
      <c r="D65" s="44"/>
      <c r="E65" s="46"/>
      <c r="F65" s="47"/>
      <c r="G65" s="15"/>
    </row>
    <row r="66" spans="1:7" x14ac:dyDescent="0.2">
      <c r="A66" s="119"/>
      <c r="B66" s="120"/>
      <c r="C66" s="120"/>
      <c r="D66" s="120"/>
      <c r="E66" s="120"/>
      <c r="F66" s="121"/>
      <c r="G66" s="16"/>
    </row>
    <row r="67" spans="1:7" x14ac:dyDescent="0.2">
      <c r="A67" s="23"/>
      <c r="B67" s="14"/>
      <c r="C67" s="24"/>
      <c r="D67" s="14"/>
      <c r="E67" s="15"/>
      <c r="F67" s="15"/>
      <c r="G67" s="15"/>
    </row>
    <row r="68" spans="1:7" x14ac:dyDescent="0.2">
      <c r="A68" s="23"/>
      <c r="B68" s="14"/>
      <c r="C68" s="24"/>
      <c r="D68" s="14"/>
      <c r="E68" s="15"/>
      <c r="F68" s="15"/>
      <c r="G68" s="15"/>
    </row>
    <row r="69" spans="1:7" x14ac:dyDescent="0.2">
      <c r="A69" s="23"/>
      <c r="B69" s="14"/>
      <c r="C69" s="24"/>
      <c r="D69" s="14"/>
      <c r="E69" s="15"/>
      <c r="F69" s="15"/>
      <c r="G69" s="15"/>
    </row>
    <row r="70" spans="1:7" x14ac:dyDescent="0.2">
      <c r="A70" s="23"/>
      <c r="C70" s="64"/>
      <c r="D70" s="44"/>
      <c r="E70" s="46"/>
      <c r="F70" s="47"/>
      <c r="G70" s="15"/>
    </row>
    <row r="71" spans="1:7" x14ac:dyDescent="0.2">
      <c r="A71" s="79"/>
      <c r="B71" s="44"/>
      <c r="C71" s="64"/>
      <c r="D71" s="44"/>
      <c r="E71" s="46"/>
      <c r="F71" s="47"/>
      <c r="G71" s="15"/>
    </row>
    <row r="72" spans="1:7" x14ac:dyDescent="0.2">
      <c r="A72" s="113"/>
      <c r="B72" s="114"/>
      <c r="C72" s="114"/>
      <c r="D72" s="114"/>
      <c r="E72" s="114"/>
      <c r="F72" s="115"/>
      <c r="G72" s="16"/>
    </row>
    <row r="73" spans="1:7" x14ac:dyDescent="0.2">
      <c r="A73" s="23"/>
      <c r="B73" s="14"/>
      <c r="C73" s="24"/>
      <c r="D73" s="14"/>
      <c r="E73" s="15"/>
      <c r="F73" s="15"/>
      <c r="G73" s="15"/>
    </row>
    <row r="74" spans="1:7" x14ac:dyDescent="0.2">
      <c r="A74" s="23"/>
      <c r="B74" s="14"/>
      <c r="C74" s="24"/>
      <c r="D74" s="14"/>
      <c r="E74" s="15"/>
      <c r="F74" s="15"/>
      <c r="G74" s="15"/>
    </row>
    <row r="75" spans="1:7" x14ac:dyDescent="0.2">
      <c r="A75" s="23"/>
      <c r="B75" s="44"/>
      <c r="C75" s="64"/>
      <c r="D75" s="44"/>
      <c r="E75" s="46"/>
      <c r="F75" s="47"/>
      <c r="G75" s="15"/>
    </row>
    <row r="76" spans="1:7" x14ac:dyDescent="0.2">
      <c r="A76" s="23"/>
      <c r="B76" s="44"/>
      <c r="C76" s="64"/>
      <c r="D76" s="44"/>
      <c r="E76" s="46"/>
      <c r="F76" s="47"/>
      <c r="G76" s="15"/>
    </row>
    <row r="77" spans="1:7" x14ac:dyDescent="0.2">
      <c r="A77" s="63"/>
      <c r="B77" s="44"/>
      <c r="C77" s="64"/>
      <c r="D77" s="44"/>
      <c r="E77" s="46"/>
      <c r="F77" s="47"/>
      <c r="G77" s="15"/>
    </row>
    <row r="78" spans="1:7" x14ac:dyDescent="0.2">
      <c r="A78" s="113"/>
      <c r="B78" s="114"/>
      <c r="C78" s="114"/>
      <c r="D78" s="114"/>
      <c r="E78" s="114"/>
      <c r="F78" s="115"/>
      <c r="G78" s="16"/>
    </row>
    <row r="79" spans="1:7" x14ac:dyDescent="0.2">
      <c r="A79" s="23"/>
      <c r="B79" s="14"/>
      <c r="C79" s="24"/>
      <c r="D79" s="14"/>
      <c r="E79" s="15"/>
      <c r="F79" s="15"/>
      <c r="G79" s="15"/>
    </row>
    <row r="80" spans="1:7" x14ac:dyDescent="0.2">
      <c r="A80" s="23"/>
      <c r="B80" s="14"/>
      <c r="C80" s="14"/>
      <c r="D80" s="14"/>
      <c r="E80" s="15"/>
      <c r="F80" s="15"/>
      <c r="G80" s="15"/>
    </row>
    <row r="81" spans="1:7" x14ac:dyDescent="0.2">
      <c r="A81" s="23"/>
      <c r="B81" s="14"/>
      <c r="C81" s="24"/>
      <c r="D81" s="14"/>
      <c r="E81" s="15"/>
      <c r="F81" s="15"/>
      <c r="G81" s="15"/>
    </row>
    <row r="82" spans="1:7" x14ac:dyDescent="0.2">
      <c r="A82" s="23"/>
      <c r="B82" s="14"/>
      <c r="C82" s="24"/>
      <c r="D82" s="14"/>
      <c r="E82" s="15"/>
      <c r="F82" s="15"/>
      <c r="G82" s="15"/>
    </row>
    <row r="83" spans="1:7" x14ac:dyDescent="0.2">
      <c r="A83" s="113"/>
      <c r="B83" s="114"/>
      <c r="C83" s="114"/>
      <c r="D83" s="114"/>
      <c r="E83" s="114"/>
      <c r="F83" s="115"/>
      <c r="G83" s="16"/>
    </row>
    <row r="84" spans="1:7" x14ac:dyDescent="0.2">
      <c r="A84" s="23"/>
      <c r="B84" s="14"/>
      <c r="C84" s="24"/>
      <c r="D84" s="14"/>
      <c r="E84" s="15"/>
      <c r="F84" s="15"/>
      <c r="G84" s="15"/>
    </row>
    <row r="85" spans="1:7" x14ac:dyDescent="0.2">
      <c r="A85" s="23"/>
      <c r="B85" s="14"/>
      <c r="C85" s="24"/>
      <c r="D85" s="14"/>
      <c r="E85" s="15"/>
      <c r="F85" s="15"/>
      <c r="G85" s="15"/>
    </row>
    <row r="86" spans="1:7" x14ac:dyDescent="0.2">
      <c r="A86" s="23"/>
      <c r="B86" s="44"/>
      <c r="C86" s="64"/>
      <c r="D86" s="44"/>
      <c r="E86" s="15"/>
      <c r="F86" s="15"/>
      <c r="G86" s="15"/>
    </row>
    <row r="87" spans="1:7" x14ac:dyDescent="0.2">
      <c r="A87" s="23"/>
      <c r="B87" s="14"/>
      <c r="C87" s="24"/>
      <c r="D87" s="14"/>
      <c r="E87" s="15"/>
      <c r="F87" s="15"/>
      <c r="G87" s="15"/>
    </row>
    <row r="88" spans="1:7" x14ac:dyDescent="0.2">
      <c r="A88" s="113"/>
      <c r="B88" s="114"/>
      <c r="C88" s="114"/>
      <c r="D88" s="114"/>
      <c r="E88" s="114"/>
      <c r="F88" s="115"/>
      <c r="G88" s="16"/>
    </row>
    <row r="89" spans="1:7" x14ac:dyDescent="0.2">
      <c r="A89" s="23"/>
      <c r="B89" s="14"/>
      <c r="C89" s="24"/>
      <c r="D89" s="14"/>
      <c r="E89" s="15"/>
      <c r="F89" s="15"/>
      <c r="G89" s="15"/>
    </row>
    <row r="90" spans="1:7" x14ac:dyDescent="0.2">
      <c r="A90" s="23"/>
      <c r="B90" s="14"/>
      <c r="C90" s="14"/>
      <c r="D90" s="14"/>
      <c r="E90" s="15"/>
      <c r="F90" s="15"/>
      <c r="G90" s="15"/>
    </row>
    <row r="91" spans="1:7" x14ac:dyDescent="0.2">
      <c r="A91" s="23"/>
      <c r="B91" s="14"/>
      <c r="C91" s="70"/>
      <c r="D91" s="11"/>
      <c r="E91" s="15"/>
      <c r="F91" s="15"/>
      <c r="G91" s="15"/>
    </row>
    <row r="92" spans="1:7" x14ac:dyDescent="0.2">
      <c r="A92" s="23"/>
      <c r="B92" s="14"/>
      <c r="C92" s="24"/>
      <c r="D92" s="14"/>
      <c r="E92" s="15"/>
      <c r="F92" s="15"/>
      <c r="G92" s="15"/>
    </row>
    <row r="93" spans="1:7" x14ac:dyDescent="0.2">
      <c r="A93" s="113"/>
      <c r="B93" s="114"/>
      <c r="C93" s="114"/>
      <c r="D93" s="114"/>
      <c r="E93" s="114"/>
      <c r="F93" s="115"/>
      <c r="G93" s="16"/>
    </row>
    <row r="94" spans="1:7" x14ac:dyDescent="0.2">
      <c r="A94" s="23"/>
      <c r="B94" s="14"/>
      <c r="C94" s="24"/>
      <c r="D94" s="14"/>
      <c r="E94" s="15"/>
      <c r="F94" s="15"/>
      <c r="G94" s="15"/>
    </row>
    <row r="95" spans="1:7" x14ac:dyDescent="0.2">
      <c r="A95" s="23"/>
      <c r="B95" s="14"/>
      <c r="C95" s="24"/>
      <c r="D95" s="11"/>
      <c r="E95" s="15"/>
      <c r="F95" s="15"/>
      <c r="G95" s="15"/>
    </row>
    <row r="96" spans="1:7" x14ac:dyDescent="0.2">
      <c r="A96" s="23"/>
      <c r="B96" s="44"/>
      <c r="C96" s="64"/>
      <c r="D96" s="14"/>
      <c r="E96" s="15"/>
      <c r="F96" s="15"/>
      <c r="G96" s="15"/>
    </row>
    <row r="97" spans="1:7" x14ac:dyDescent="0.2">
      <c r="A97" s="23"/>
      <c r="B97" s="14"/>
      <c r="C97" s="24"/>
      <c r="D97" s="14"/>
      <c r="E97" s="15"/>
      <c r="F97" s="15"/>
      <c r="G97" s="15"/>
    </row>
    <row r="98" spans="1:7" x14ac:dyDescent="0.2">
      <c r="A98" s="113"/>
      <c r="B98" s="114"/>
      <c r="C98" s="114"/>
      <c r="D98" s="114"/>
      <c r="E98" s="114"/>
      <c r="F98" s="115"/>
      <c r="G98" s="16"/>
    </row>
    <row r="100" spans="1:7" x14ac:dyDescent="0.2">
      <c r="A100" s="23"/>
      <c r="B100" s="14"/>
      <c r="C100" s="24"/>
      <c r="D100" s="14"/>
      <c r="E100" s="15"/>
      <c r="F100" s="14"/>
      <c r="G100" s="15"/>
    </row>
    <row r="101" spans="1:7" x14ac:dyDescent="0.2">
      <c r="A101" s="23"/>
      <c r="B101" s="14"/>
      <c r="C101" s="24"/>
      <c r="D101" s="14"/>
      <c r="E101" s="15"/>
      <c r="F101" s="14"/>
      <c r="G101" s="15"/>
    </row>
    <row r="102" spans="1:7" x14ac:dyDescent="0.2">
      <c r="A102" s="23"/>
      <c r="B102" s="44"/>
      <c r="C102" s="64"/>
      <c r="D102" s="14"/>
      <c r="E102" s="15"/>
      <c r="F102" s="15"/>
      <c r="G102" s="15"/>
    </row>
    <row r="103" spans="1:7" x14ac:dyDescent="0.2">
      <c r="A103" s="23"/>
      <c r="C103" s="64"/>
      <c r="D103" s="44"/>
      <c r="E103" s="46"/>
      <c r="F103" s="83"/>
      <c r="G103" s="15"/>
    </row>
    <row r="104" spans="1:7" x14ac:dyDescent="0.2">
      <c r="A104" s="79"/>
      <c r="B104" s="44"/>
      <c r="C104" s="64"/>
      <c r="D104" s="44"/>
      <c r="E104" s="46"/>
      <c r="F104" s="83"/>
      <c r="G104" s="15"/>
    </row>
    <row r="105" spans="1:7" x14ac:dyDescent="0.2">
      <c r="A105" s="113"/>
      <c r="B105" s="114"/>
      <c r="C105" s="114"/>
      <c r="D105" s="114"/>
      <c r="E105" s="114"/>
      <c r="F105" s="115"/>
      <c r="G105" s="16"/>
    </row>
    <row r="107" spans="1:7" x14ac:dyDescent="0.2">
      <c r="A107" s="23"/>
      <c r="B107" s="14"/>
      <c r="C107" s="24"/>
      <c r="D107" s="14"/>
      <c r="E107" s="15"/>
      <c r="F107" s="14"/>
      <c r="G107" s="15"/>
    </row>
    <row r="108" spans="1:7" x14ac:dyDescent="0.2">
      <c r="A108" s="23"/>
      <c r="B108" s="14"/>
      <c r="C108" s="24"/>
      <c r="D108" s="14"/>
      <c r="E108" s="15"/>
      <c r="F108" s="15"/>
      <c r="G108" s="15"/>
    </row>
    <row r="109" spans="1:7" x14ac:dyDescent="0.2">
      <c r="A109" s="23"/>
      <c r="B109" s="44"/>
      <c r="C109" s="64"/>
      <c r="D109" s="14"/>
      <c r="E109" s="46"/>
      <c r="F109" s="83"/>
      <c r="G109" s="15"/>
    </row>
    <row r="110" spans="1:7" x14ac:dyDescent="0.2">
      <c r="A110" s="23"/>
      <c r="B110" s="44"/>
      <c r="C110" s="44"/>
      <c r="D110" s="62"/>
      <c r="E110" s="46"/>
      <c r="F110" s="83"/>
      <c r="G110" s="15"/>
    </row>
    <row r="111" spans="1:7" x14ac:dyDescent="0.2">
      <c r="A111" s="79"/>
      <c r="B111" s="44"/>
      <c r="C111" s="44"/>
      <c r="D111" s="62"/>
      <c r="E111" s="46"/>
      <c r="F111" s="83"/>
      <c r="G111" s="15"/>
    </row>
    <row r="112" spans="1:7" x14ac:dyDescent="0.2">
      <c r="A112" s="113"/>
      <c r="B112" s="114"/>
      <c r="C112" s="114"/>
      <c r="D112" s="114"/>
      <c r="E112" s="114"/>
      <c r="F112" s="115"/>
      <c r="G112" s="16"/>
    </row>
    <row r="114" spans="1:7" x14ac:dyDescent="0.2">
      <c r="A114" s="23"/>
      <c r="B114" s="14"/>
      <c r="C114" s="24"/>
      <c r="D114" s="14"/>
      <c r="E114" s="15"/>
      <c r="F114" s="15"/>
      <c r="G114" s="15"/>
    </row>
    <row r="115" spans="1:7" x14ac:dyDescent="0.2">
      <c r="A115" s="23"/>
      <c r="B115" s="1"/>
      <c r="C115" s="24"/>
      <c r="D115" s="14"/>
      <c r="E115" s="15"/>
      <c r="F115" s="15"/>
      <c r="G115" s="15"/>
    </row>
    <row r="116" spans="1:7" x14ac:dyDescent="0.2">
      <c r="A116" s="23"/>
      <c r="B116" s="14"/>
      <c r="C116" s="24"/>
      <c r="D116" s="14"/>
      <c r="E116" s="15"/>
      <c r="F116" s="15"/>
      <c r="G116" s="15"/>
    </row>
    <row r="117" spans="1:7" x14ac:dyDescent="0.2">
      <c r="A117" s="113"/>
      <c r="B117" s="114"/>
      <c r="C117" s="114"/>
      <c r="D117" s="114"/>
      <c r="E117" s="114"/>
      <c r="F117" s="115"/>
      <c r="G117" s="16"/>
    </row>
    <row r="118" spans="1:7" x14ac:dyDescent="0.2">
      <c r="A118" s="23"/>
      <c r="B118" s="14"/>
      <c r="C118" s="24"/>
      <c r="D118" s="14"/>
      <c r="E118" s="15"/>
      <c r="F118" s="15"/>
      <c r="G118" s="15"/>
    </row>
    <row r="119" spans="1:7" x14ac:dyDescent="0.2">
      <c r="A119" s="23"/>
      <c r="B119" s="44"/>
      <c r="C119" s="64"/>
      <c r="D119" s="56"/>
      <c r="E119" s="15"/>
      <c r="F119" s="15"/>
      <c r="G119" s="15"/>
    </row>
    <row r="120" spans="1:7" x14ac:dyDescent="0.2">
      <c r="A120" s="23"/>
      <c r="B120" s="14"/>
      <c r="C120" s="24"/>
      <c r="D120" s="14"/>
      <c r="E120" s="15"/>
      <c r="F120" s="15"/>
      <c r="G120" s="15"/>
    </row>
    <row r="121" spans="1:7" x14ac:dyDescent="0.2">
      <c r="A121" s="23"/>
      <c r="B121" s="14"/>
      <c r="C121" s="24"/>
      <c r="D121" s="14"/>
      <c r="E121" s="15"/>
      <c r="F121" s="15"/>
      <c r="G121" s="15"/>
    </row>
    <row r="122" spans="1:7" x14ac:dyDescent="0.2">
      <c r="A122" s="113"/>
      <c r="B122" s="114"/>
      <c r="C122" s="114"/>
      <c r="D122" s="114"/>
      <c r="E122" s="114"/>
      <c r="F122" s="115"/>
      <c r="G122" s="16"/>
    </row>
    <row r="123" spans="1:7" x14ac:dyDescent="0.2">
      <c r="E123" s="15"/>
    </row>
    <row r="124" spans="1:7" x14ac:dyDescent="0.2">
      <c r="A124" s="23"/>
      <c r="B124" s="14"/>
      <c r="C124" s="24"/>
      <c r="D124" s="14"/>
      <c r="E124" s="15"/>
      <c r="F124" s="14"/>
      <c r="G124" s="15"/>
    </row>
    <row r="125" spans="1:7" x14ac:dyDescent="0.2">
      <c r="A125" s="23"/>
      <c r="B125" s="44"/>
      <c r="C125" s="64"/>
      <c r="D125" s="14"/>
      <c r="E125" s="15"/>
      <c r="F125" s="14"/>
      <c r="G125" s="15"/>
    </row>
    <row r="126" spans="1:7" x14ac:dyDescent="0.2">
      <c r="A126" s="23"/>
      <c r="B126" s="44"/>
      <c r="C126" s="64"/>
      <c r="D126" s="44"/>
      <c r="E126" s="46"/>
      <c r="F126" s="83"/>
      <c r="G126" s="15"/>
    </row>
    <row r="127" spans="1:7" x14ac:dyDescent="0.2">
      <c r="A127" s="23"/>
      <c r="B127" s="44"/>
      <c r="C127" s="64"/>
      <c r="D127" s="44"/>
      <c r="E127" s="46"/>
      <c r="F127" s="83"/>
      <c r="G127" s="15"/>
    </row>
    <row r="128" spans="1:7" x14ac:dyDescent="0.2">
      <c r="A128" s="79"/>
      <c r="B128" s="44"/>
      <c r="C128" s="64"/>
      <c r="D128" s="44"/>
      <c r="E128" s="46"/>
      <c r="F128" s="83"/>
      <c r="G128" s="15"/>
    </row>
    <row r="129" spans="1:7" x14ac:dyDescent="0.2">
      <c r="A129" s="113"/>
      <c r="B129" s="114"/>
      <c r="C129" s="114"/>
      <c r="D129" s="114"/>
      <c r="E129" s="114"/>
      <c r="F129" s="115"/>
      <c r="G129" s="16"/>
    </row>
    <row r="130" spans="1:7" x14ac:dyDescent="0.2">
      <c r="A130" s="23"/>
      <c r="B130" s="14"/>
      <c r="C130" s="24"/>
      <c r="D130" s="14"/>
      <c r="E130" s="15"/>
      <c r="F130" s="14"/>
      <c r="G130" s="15"/>
    </row>
    <row r="131" spans="1:7" x14ac:dyDescent="0.2">
      <c r="A131" s="23"/>
      <c r="B131" s="14"/>
      <c r="C131" s="24"/>
      <c r="D131" s="14"/>
      <c r="E131" s="15"/>
      <c r="F131" s="14"/>
      <c r="G131" s="15"/>
    </row>
    <row r="132" spans="1:7" x14ac:dyDescent="0.2">
      <c r="A132" s="23"/>
      <c r="B132" s="14"/>
      <c r="C132" s="14"/>
      <c r="D132" s="11"/>
      <c r="E132" s="15"/>
      <c r="F132" s="14"/>
      <c r="G132" s="15"/>
    </row>
    <row r="133" spans="1:7" x14ac:dyDescent="0.2">
      <c r="A133" s="23"/>
      <c r="B133" s="14"/>
      <c r="C133" s="24"/>
      <c r="D133" s="14"/>
      <c r="E133" s="15"/>
      <c r="F133" s="14"/>
      <c r="G133" s="15"/>
    </row>
    <row r="134" spans="1:7" x14ac:dyDescent="0.2">
      <c r="A134" s="113"/>
      <c r="B134" s="114"/>
      <c r="C134" s="114"/>
      <c r="D134" s="114"/>
      <c r="E134" s="114"/>
      <c r="F134" s="115"/>
      <c r="G134" s="16"/>
    </row>
    <row r="135" spans="1:7" x14ac:dyDescent="0.2">
      <c r="A135" s="23"/>
      <c r="B135" s="14"/>
      <c r="C135" s="24"/>
      <c r="D135" s="14"/>
      <c r="E135" s="15"/>
      <c r="F135" s="14"/>
      <c r="G135" s="15"/>
    </row>
    <row r="136" spans="1:7" x14ac:dyDescent="0.2">
      <c r="A136" s="23"/>
      <c r="B136" s="14"/>
      <c r="C136" s="24"/>
      <c r="D136" s="14"/>
      <c r="E136" s="15"/>
      <c r="F136" s="15"/>
      <c r="G136" s="15"/>
    </row>
    <row r="137" spans="1:7" x14ac:dyDescent="0.2">
      <c r="A137" s="23"/>
      <c r="B137" s="14"/>
      <c r="C137" s="24"/>
      <c r="D137" s="14"/>
      <c r="E137" s="15"/>
      <c r="F137" s="14"/>
      <c r="G137" s="15"/>
    </row>
    <row r="138" spans="1:7" x14ac:dyDescent="0.2">
      <c r="A138" s="113"/>
      <c r="B138" s="114"/>
      <c r="C138" s="114"/>
      <c r="D138" s="114"/>
      <c r="E138" s="114"/>
      <c r="F138" s="115"/>
      <c r="G138" s="16"/>
    </row>
    <row r="139" spans="1:7" x14ac:dyDescent="0.2">
      <c r="A139" s="23"/>
      <c r="B139" s="14"/>
      <c r="C139" s="24"/>
      <c r="D139" s="14"/>
      <c r="E139" s="15"/>
      <c r="F139" s="14"/>
      <c r="G139" s="15"/>
    </row>
    <row r="140" spans="1:7" x14ac:dyDescent="0.2">
      <c r="A140" s="23"/>
      <c r="B140" s="1"/>
      <c r="C140" s="24"/>
      <c r="D140" s="14"/>
      <c r="E140" s="15"/>
      <c r="F140" s="15"/>
      <c r="G140" s="15"/>
    </row>
    <row r="141" spans="1:7" x14ac:dyDescent="0.2">
      <c r="A141" s="23"/>
      <c r="B141" s="14"/>
      <c r="C141" s="24"/>
      <c r="D141" s="14"/>
      <c r="E141" s="15"/>
      <c r="F141" s="14"/>
      <c r="G141" s="15"/>
    </row>
    <row r="142" spans="1:7" x14ac:dyDescent="0.2">
      <c r="A142" s="119"/>
      <c r="B142" s="120"/>
      <c r="C142" s="120"/>
      <c r="D142" s="120"/>
      <c r="E142" s="120"/>
      <c r="F142" s="121"/>
      <c r="G142" s="16"/>
    </row>
    <row r="143" spans="1:7" x14ac:dyDescent="0.2">
      <c r="A143" s="23"/>
      <c r="B143" s="14"/>
      <c r="C143" s="24"/>
      <c r="D143" s="14"/>
      <c r="E143" s="15"/>
      <c r="F143" s="14"/>
      <c r="G143" s="15"/>
    </row>
    <row r="144" spans="1:7" x14ac:dyDescent="0.2">
      <c r="A144" s="23"/>
      <c r="B144" s="14"/>
      <c r="C144" s="24"/>
      <c r="D144" s="14"/>
      <c r="E144" s="15"/>
      <c r="F144" s="14"/>
      <c r="G144" s="15"/>
    </row>
    <row r="145" spans="1:7" x14ac:dyDescent="0.2">
      <c r="A145" s="23"/>
      <c r="B145" s="14"/>
      <c r="C145" s="24"/>
      <c r="D145" s="14"/>
      <c r="E145" s="15"/>
      <c r="F145" s="14"/>
      <c r="G145" s="15"/>
    </row>
    <row r="146" spans="1:7" x14ac:dyDescent="0.2">
      <c r="A146" s="23"/>
      <c r="B146" s="14"/>
      <c r="C146" s="24"/>
      <c r="D146" s="14"/>
      <c r="E146" s="15"/>
      <c r="F146" s="14"/>
      <c r="G146" s="15"/>
    </row>
    <row r="147" spans="1:7" x14ac:dyDescent="0.2">
      <c r="A147" s="23"/>
      <c r="B147" s="14"/>
      <c r="C147" s="24"/>
      <c r="D147" s="14"/>
      <c r="E147" s="15"/>
      <c r="F147" s="14"/>
      <c r="G147" s="15"/>
    </row>
    <row r="148" spans="1:7" x14ac:dyDescent="0.2">
      <c r="A148" s="119"/>
      <c r="B148" s="120"/>
      <c r="C148" s="120"/>
      <c r="D148" s="120"/>
      <c r="E148" s="120"/>
      <c r="F148" s="121"/>
      <c r="G148" s="16">
        <f>SUM(G5:G147)/2</f>
        <v>532900</v>
      </c>
    </row>
    <row r="149" spans="1:7" x14ac:dyDescent="0.2">
      <c r="A149" s="23"/>
      <c r="B149" s="14" t="s">
        <v>18</v>
      </c>
      <c r="C149" s="24"/>
      <c r="D149" s="14"/>
      <c r="E149" s="15"/>
      <c r="F149" s="14"/>
      <c r="G149" s="15"/>
    </row>
    <row r="150" spans="1:7" x14ac:dyDescent="0.2">
      <c r="B150" s="13" t="s">
        <v>18</v>
      </c>
    </row>
    <row r="151" spans="1:7" x14ac:dyDescent="0.2">
      <c r="B151" s="13" t="s">
        <v>18</v>
      </c>
    </row>
    <row r="152" spans="1:7" x14ac:dyDescent="0.2">
      <c r="B152" s="13" t="s">
        <v>18</v>
      </c>
    </row>
    <row r="153" spans="1:7" x14ac:dyDescent="0.2">
      <c r="B153" s="13" t="s">
        <v>18</v>
      </c>
    </row>
  </sheetData>
  <mergeCells count="29">
    <mergeCell ref="A6:F6"/>
    <mergeCell ref="A11:F11"/>
    <mergeCell ref="A15:F15"/>
    <mergeCell ref="A43:F43"/>
    <mergeCell ref="A39:F39"/>
    <mergeCell ref="A28:F28"/>
    <mergeCell ref="A34:F34"/>
    <mergeCell ref="A19:F19"/>
    <mergeCell ref="A24:F24"/>
    <mergeCell ref="A47:F47"/>
    <mergeCell ref="A51:F51"/>
    <mergeCell ref="A56:F56"/>
    <mergeCell ref="A66:F66"/>
    <mergeCell ref="A60:F60"/>
    <mergeCell ref="A138:F138"/>
    <mergeCell ref="A148:F148"/>
    <mergeCell ref="A134:F134"/>
    <mergeCell ref="A72:F72"/>
    <mergeCell ref="A105:F105"/>
    <mergeCell ref="A98:F98"/>
    <mergeCell ref="A78:F78"/>
    <mergeCell ref="A88:F88"/>
    <mergeCell ref="A93:F93"/>
    <mergeCell ref="A129:F129"/>
    <mergeCell ref="A117:F117"/>
    <mergeCell ref="A83:F83"/>
    <mergeCell ref="A122:F122"/>
    <mergeCell ref="A112:F112"/>
    <mergeCell ref="A142:F142"/>
  </mergeCells>
  <pageMargins left="0.7" right="1.0416666666666666E-2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8"/>
  <sheetViews>
    <sheetView topLeftCell="A9" zoomScale="125" zoomScaleNormal="125" zoomScalePageLayoutView="125" workbookViewId="0">
      <selection activeCell="F27" sqref="F27"/>
    </sheetView>
  </sheetViews>
  <sheetFormatPr baseColWidth="10" defaultRowHeight="15" x14ac:dyDescent="0.2"/>
  <cols>
    <col min="1" max="1" width="21.1640625" style="39" bestFit="1" customWidth="1"/>
    <col min="2" max="2" width="10" style="39" bestFit="1" customWidth="1"/>
    <col min="3" max="3" width="13.5" bestFit="1" customWidth="1"/>
  </cols>
  <sheetData>
    <row r="2" spans="1:4" x14ac:dyDescent="0.2">
      <c r="A2" s="68" t="s">
        <v>20</v>
      </c>
    </row>
    <row r="3" spans="1:4" s="65" customFormat="1" x14ac:dyDescent="0.2">
      <c r="A3" s="69"/>
      <c r="B3" s="66"/>
    </row>
    <row r="4" spans="1:4" x14ac:dyDescent="0.2">
      <c r="A4" s="71" t="s">
        <v>21</v>
      </c>
      <c r="B4" s="72" t="s">
        <v>2</v>
      </c>
    </row>
    <row r="5" spans="1:4" x14ac:dyDescent="0.2">
      <c r="A5" s="71"/>
      <c r="B5" s="72"/>
    </row>
    <row r="6" spans="1:4" x14ac:dyDescent="0.2">
      <c r="A6" s="39" t="s">
        <v>22</v>
      </c>
      <c r="B6" s="73"/>
    </row>
    <row r="7" spans="1:4" x14ac:dyDescent="0.2">
      <c r="A7" s="39" t="s">
        <v>23</v>
      </c>
      <c r="B7" s="73"/>
    </row>
    <row r="8" spans="1:4" x14ac:dyDescent="0.2">
      <c r="A8" s="39" t="s">
        <v>24</v>
      </c>
      <c r="B8"/>
    </row>
    <row r="9" spans="1:4" x14ac:dyDescent="0.2">
      <c r="A9" s="39" t="s">
        <v>24</v>
      </c>
      <c r="B9"/>
    </row>
    <row r="10" spans="1:4" x14ac:dyDescent="0.2">
      <c r="A10" s="39" t="s">
        <v>24</v>
      </c>
      <c r="B10"/>
    </row>
    <row r="11" spans="1:4" x14ac:dyDescent="0.2">
      <c r="A11" s="39" t="s">
        <v>24</v>
      </c>
      <c r="B11"/>
    </row>
    <row r="12" spans="1:4" x14ac:dyDescent="0.2">
      <c r="A12" s="39" t="s">
        <v>25</v>
      </c>
      <c r="B12" s="73"/>
      <c r="D12" s="82"/>
    </row>
    <row r="13" spans="1:4" x14ac:dyDescent="0.2">
      <c r="A13" s="39" t="s">
        <v>25</v>
      </c>
      <c r="B13" s="73"/>
      <c r="D13" s="82"/>
    </row>
    <row r="14" spans="1:4" x14ac:dyDescent="0.2">
      <c r="B14" s="73"/>
    </row>
    <row r="15" spans="1:4" x14ac:dyDescent="0.2">
      <c r="B15" s="73"/>
    </row>
    <row r="16" spans="1:4" x14ac:dyDescent="0.2">
      <c r="B16" s="73"/>
    </row>
    <row r="17" spans="2:2" x14ac:dyDescent="0.2">
      <c r="B17" s="73"/>
    </row>
    <row r="18" spans="2:2" x14ac:dyDescent="0.2">
      <c r="B18" s="73">
        <f>SUM(B6:B17)</f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O38"/>
  <sheetViews>
    <sheetView zoomScale="125" zoomScaleNormal="125" zoomScalePageLayoutView="125" workbookViewId="0">
      <pane xSplit="1" topLeftCell="B1" activePane="topRight" state="frozen"/>
      <selection pane="topRight" activeCell="A6" sqref="A6:XFD6"/>
    </sheetView>
  </sheetViews>
  <sheetFormatPr baseColWidth="10" defaultRowHeight="15" x14ac:dyDescent="0.2"/>
  <cols>
    <col min="2" max="2" width="14.1640625" bestFit="1" customWidth="1"/>
    <col min="3" max="3" width="13.83203125" customWidth="1"/>
    <col min="4" max="4" width="35.5" customWidth="1"/>
    <col min="8" max="8" width="13.1640625" customWidth="1"/>
    <col min="9" max="9" width="22" customWidth="1"/>
    <col min="10" max="10" width="32.33203125" customWidth="1"/>
    <col min="14" max="14" width="13.83203125" customWidth="1"/>
    <col min="15" max="15" width="20.33203125" customWidth="1"/>
    <col min="16" max="16" width="26.6640625" customWidth="1"/>
    <col min="20" max="20" width="15" customWidth="1"/>
    <col min="21" max="21" width="21.5" customWidth="1"/>
    <col min="22" max="22" width="18" customWidth="1"/>
    <col min="27" max="27" width="20" customWidth="1"/>
    <col min="28" max="28" width="22.1640625" customWidth="1"/>
    <col min="33" max="33" width="14.5" customWidth="1"/>
    <col min="34" max="34" width="19.5" customWidth="1"/>
    <col min="38" max="38" width="12.5" bestFit="1" customWidth="1"/>
    <col min="39" max="39" width="18.33203125" customWidth="1"/>
    <col min="40" max="40" width="19" customWidth="1"/>
  </cols>
  <sheetData>
    <row r="2" spans="1:41" x14ac:dyDescent="0.2">
      <c r="C2" s="98" t="s">
        <v>33</v>
      </c>
    </row>
    <row r="4" spans="1:41" x14ac:dyDescent="0.2">
      <c r="B4" s="127" t="s">
        <v>29</v>
      </c>
      <c r="C4" s="127"/>
      <c r="D4" s="127"/>
      <c r="E4" s="127"/>
      <c r="H4" s="127" t="s">
        <v>28</v>
      </c>
      <c r="I4" s="127"/>
      <c r="J4" s="127"/>
      <c r="K4" s="127"/>
      <c r="N4" s="127" t="s">
        <v>34</v>
      </c>
      <c r="O4" s="127"/>
      <c r="P4" s="127"/>
      <c r="Q4" s="127"/>
      <c r="T4" s="127" t="s">
        <v>29</v>
      </c>
      <c r="U4" s="127"/>
      <c r="V4" s="127"/>
      <c r="W4" s="127"/>
      <c r="Z4" s="127" t="s">
        <v>30</v>
      </c>
      <c r="AA4" s="127"/>
      <c r="AB4" s="127"/>
      <c r="AC4" s="127"/>
      <c r="AF4" s="127" t="s">
        <v>31</v>
      </c>
      <c r="AG4" s="127"/>
      <c r="AH4" s="127"/>
      <c r="AI4" s="127"/>
      <c r="AL4" s="127" t="s">
        <v>32</v>
      </c>
      <c r="AM4" s="127"/>
      <c r="AN4" s="127"/>
      <c r="AO4" s="127"/>
    </row>
    <row r="6" spans="1:41" x14ac:dyDescent="0.2">
      <c r="A6" s="74"/>
      <c r="H6" s="76"/>
      <c r="I6" s="77"/>
      <c r="J6" s="1"/>
      <c r="K6" s="5"/>
      <c r="T6" s="1"/>
      <c r="U6" s="5"/>
      <c r="V6" s="1"/>
      <c r="W6" s="5"/>
      <c r="AF6" s="14"/>
      <c r="AG6" s="24"/>
      <c r="AH6" s="1"/>
      <c r="AI6" s="5"/>
      <c r="AL6" s="1"/>
      <c r="AM6" s="5"/>
      <c r="AN6" s="1"/>
      <c r="AO6" s="5"/>
    </row>
    <row r="7" spans="1:41" x14ac:dyDescent="0.2">
      <c r="A7" s="74"/>
      <c r="B7" s="1"/>
      <c r="C7" s="5"/>
      <c r="D7" s="1"/>
      <c r="E7" s="5"/>
      <c r="H7" s="1"/>
      <c r="I7" s="5"/>
      <c r="J7" s="1"/>
      <c r="K7" s="5"/>
      <c r="N7" s="1"/>
      <c r="O7" s="5"/>
      <c r="P7" s="1"/>
      <c r="Q7" s="5"/>
      <c r="T7" s="1"/>
      <c r="U7" s="5"/>
      <c r="V7" s="1"/>
      <c r="W7" s="5"/>
      <c r="Z7" s="14"/>
      <c r="AA7" s="24"/>
      <c r="AB7" s="1"/>
      <c r="AC7" s="5"/>
      <c r="AF7" s="14"/>
      <c r="AG7" s="24"/>
      <c r="AH7" s="1"/>
      <c r="AI7" s="5"/>
      <c r="AL7" s="1"/>
      <c r="AM7" s="5"/>
      <c r="AN7" s="1"/>
      <c r="AO7" s="5"/>
    </row>
    <row r="8" spans="1:41" x14ac:dyDescent="0.2">
      <c r="A8" s="74"/>
      <c r="B8" s="1"/>
      <c r="C8" s="5"/>
      <c r="D8" s="1"/>
      <c r="E8" s="5"/>
      <c r="N8" s="1"/>
      <c r="O8" s="5"/>
      <c r="P8" s="1"/>
      <c r="Q8" s="5"/>
      <c r="T8" s="1"/>
      <c r="U8" s="5"/>
      <c r="V8" s="1"/>
      <c r="W8" s="5"/>
      <c r="Z8" s="1"/>
      <c r="AA8" s="5"/>
      <c r="AB8" s="1"/>
      <c r="AC8" s="5"/>
      <c r="AF8" s="14"/>
      <c r="AG8" s="24"/>
      <c r="AH8" s="1"/>
      <c r="AI8" s="5"/>
      <c r="AL8" s="1"/>
      <c r="AM8" s="5"/>
      <c r="AN8" s="1"/>
      <c r="AO8" s="5"/>
    </row>
    <row r="9" spans="1:41" x14ac:dyDescent="0.2">
      <c r="A9" s="74"/>
      <c r="B9" s="1"/>
      <c r="C9" s="5"/>
      <c r="D9" s="1"/>
      <c r="E9" s="5"/>
      <c r="H9" s="1"/>
      <c r="I9" s="5"/>
      <c r="J9" s="1"/>
      <c r="K9" s="5"/>
      <c r="T9" s="1"/>
      <c r="U9" s="5"/>
      <c r="V9" s="1"/>
      <c r="W9" s="5"/>
      <c r="Z9" s="14"/>
      <c r="AA9" s="24"/>
      <c r="AB9" s="1"/>
      <c r="AC9" s="5"/>
      <c r="AF9" s="14"/>
      <c r="AG9" s="24"/>
      <c r="AH9" s="1"/>
      <c r="AI9" s="5"/>
      <c r="AL9" s="1"/>
      <c r="AM9" s="5"/>
      <c r="AN9" s="1"/>
      <c r="AO9" s="5"/>
    </row>
    <row r="10" spans="1:41" x14ac:dyDescent="0.2">
      <c r="A10" s="74"/>
      <c r="B10" s="1"/>
      <c r="C10" s="5"/>
      <c r="D10" s="1"/>
      <c r="E10" s="5"/>
      <c r="H10" s="1"/>
      <c r="I10" s="5"/>
      <c r="J10" s="1"/>
      <c r="K10" s="5"/>
      <c r="T10" s="1"/>
      <c r="U10" s="5"/>
      <c r="V10" s="1"/>
      <c r="W10" s="5"/>
      <c r="Z10" s="14"/>
      <c r="AA10" s="24"/>
      <c r="AB10" s="1"/>
      <c r="AC10" s="5"/>
      <c r="AF10" s="14"/>
      <c r="AG10" s="24"/>
      <c r="AH10" s="1"/>
      <c r="AI10" s="5"/>
      <c r="AL10" s="1"/>
      <c r="AM10" s="5"/>
      <c r="AN10" s="1"/>
      <c r="AO10" s="5"/>
    </row>
    <row r="11" spans="1:41" x14ac:dyDescent="0.2">
      <c r="A11" s="74"/>
      <c r="B11" s="1"/>
      <c r="C11" s="5"/>
      <c r="D11" s="1"/>
      <c r="E11" s="5"/>
      <c r="T11" s="1"/>
      <c r="U11" s="5"/>
      <c r="V11" s="1"/>
      <c r="W11" s="5"/>
      <c r="Z11" s="1"/>
      <c r="AA11" s="5"/>
      <c r="AB11" s="1"/>
      <c r="AC11" s="5"/>
      <c r="AF11" s="14"/>
      <c r="AG11" s="24"/>
      <c r="AH11" s="1"/>
      <c r="AI11" s="5"/>
      <c r="AL11" s="1"/>
      <c r="AM11" s="5"/>
      <c r="AN11" s="1"/>
      <c r="AO11" s="5"/>
    </row>
    <row r="12" spans="1:41" x14ac:dyDescent="0.2">
      <c r="A12" s="74"/>
      <c r="B12" s="1"/>
      <c r="C12" s="5"/>
      <c r="D12" s="1"/>
      <c r="E12" s="5"/>
      <c r="N12" s="1"/>
      <c r="O12" s="5"/>
      <c r="P12" s="1"/>
      <c r="Q12" s="5"/>
      <c r="T12" s="1"/>
      <c r="U12" s="5"/>
      <c r="V12" s="1"/>
      <c r="W12" s="5"/>
      <c r="Z12" s="14"/>
      <c r="AA12" s="24"/>
      <c r="AB12" s="1"/>
      <c r="AC12" s="5"/>
      <c r="AF12" s="14"/>
      <c r="AG12" s="24"/>
      <c r="AH12" s="1"/>
      <c r="AI12" s="5"/>
      <c r="AL12" s="1"/>
      <c r="AM12" s="5"/>
      <c r="AN12" s="1"/>
      <c r="AO12" s="5"/>
    </row>
    <row r="13" spans="1:41" x14ac:dyDescent="0.2">
      <c r="A13" s="74"/>
      <c r="B13" s="1"/>
      <c r="C13" s="5"/>
      <c r="D13" s="1"/>
      <c r="E13" s="5"/>
      <c r="N13" s="1"/>
      <c r="O13" s="5"/>
      <c r="P13" s="1"/>
      <c r="Q13" s="5"/>
      <c r="T13" s="1"/>
      <c r="U13" s="5"/>
      <c r="V13" s="1"/>
      <c r="W13" s="5"/>
      <c r="Z13" s="14"/>
      <c r="AA13" s="24"/>
      <c r="AB13" s="1"/>
      <c r="AC13" s="5"/>
      <c r="AF13" s="14"/>
      <c r="AG13" s="24"/>
      <c r="AH13" s="1"/>
      <c r="AI13" s="5"/>
    </row>
    <row r="14" spans="1:41" x14ac:dyDescent="0.2">
      <c r="A14" s="74"/>
      <c r="B14" s="1"/>
      <c r="C14" s="5"/>
      <c r="D14" s="1"/>
      <c r="E14" s="5"/>
      <c r="N14" s="1"/>
      <c r="O14" s="5"/>
      <c r="P14" s="1"/>
      <c r="Q14" s="5"/>
      <c r="T14" s="1"/>
      <c r="U14" s="5"/>
      <c r="V14" s="1"/>
      <c r="W14" s="5"/>
      <c r="Z14" s="14"/>
      <c r="AA14" s="24"/>
      <c r="AB14" s="1"/>
      <c r="AC14" s="5"/>
      <c r="AF14" s="14"/>
      <c r="AG14" s="24"/>
      <c r="AH14" s="1"/>
      <c r="AI14" s="5"/>
    </row>
    <row r="15" spans="1:41" x14ac:dyDescent="0.2">
      <c r="A15" s="74"/>
      <c r="B15" s="1"/>
      <c r="C15" s="5"/>
      <c r="D15" s="1"/>
      <c r="E15" s="5"/>
      <c r="N15" s="1"/>
      <c r="O15" s="5"/>
      <c r="P15" s="1"/>
      <c r="Q15" s="5"/>
      <c r="T15" s="1"/>
      <c r="U15" s="5"/>
      <c r="V15" s="1"/>
      <c r="W15" s="5"/>
      <c r="Z15" s="14"/>
      <c r="AA15" s="24"/>
      <c r="AB15" s="1"/>
      <c r="AC15" s="5"/>
      <c r="AL15" s="1"/>
      <c r="AM15" s="5"/>
      <c r="AN15" s="1"/>
      <c r="AO15" s="5"/>
    </row>
    <row r="16" spans="1:41" x14ac:dyDescent="0.2">
      <c r="A16" s="74"/>
      <c r="B16" s="1"/>
      <c r="C16" s="5"/>
      <c r="D16" s="1"/>
      <c r="E16" s="5"/>
      <c r="T16" s="1"/>
      <c r="U16" s="5"/>
      <c r="V16" s="1"/>
      <c r="W16" s="5"/>
      <c r="Z16" s="14"/>
      <c r="AA16" s="24"/>
      <c r="AB16" s="1"/>
      <c r="AC16" s="5"/>
      <c r="AF16" s="14"/>
      <c r="AG16" s="24"/>
      <c r="AH16" s="1"/>
      <c r="AI16" s="5"/>
      <c r="AL16" s="1"/>
      <c r="AM16" s="5"/>
      <c r="AN16" s="1"/>
      <c r="AO16" s="5"/>
    </row>
    <row r="17" spans="1:41" x14ac:dyDescent="0.2">
      <c r="A17" s="74"/>
      <c r="B17" s="1"/>
      <c r="C17" s="5"/>
      <c r="D17" s="1"/>
      <c r="E17" s="5"/>
      <c r="N17" s="1"/>
      <c r="O17" s="5"/>
      <c r="P17" s="1"/>
      <c r="Q17" s="5"/>
      <c r="T17" s="1"/>
      <c r="U17" s="5"/>
      <c r="V17" s="1"/>
      <c r="W17" s="5"/>
      <c r="Z17" s="14"/>
      <c r="AA17" s="24"/>
      <c r="AB17" s="1"/>
      <c r="AC17" s="5"/>
      <c r="AL17" s="1"/>
      <c r="AM17" s="5"/>
      <c r="AN17" s="1"/>
      <c r="AO17" s="5"/>
    </row>
    <row r="18" spans="1:41" x14ac:dyDescent="0.2">
      <c r="A18" s="74"/>
      <c r="B18" s="1"/>
      <c r="C18" s="5"/>
      <c r="D18" s="1"/>
      <c r="E18" s="5"/>
      <c r="T18" s="1"/>
      <c r="U18" s="5"/>
      <c r="V18" s="1"/>
      <c r="W18" s="5"/>
      <c r="AF18" s="14"/>
      <c r="AG18" s="24"/>
      <c r="AH18" s="1"/>
      <c r="AI18" s="5"/>
    </row>
    <row r="19" spans="1:41" x14ac:dyDescent="0.2">
      <c r="A19" s="74"/>
      <c r="B19" s="1"/>
      <c r="C19" s="5"/>
      <c r="D19" s="1"/>
      <c r="E19" s="5"/>
      <c r="H19" s="1"/>
      <c r="I19" s="5"/>
      <c r="J19" s="1"/>
      <c r="K19" s="5"/>
      <c r="T19" s="1"/>
      <c r="U19" s="5"/>
      <c r="V19" s="1"/>
      <c r="W19" s="5"/>
      <c r="Z19" s="1"/>
      <c r="AA19" s="5"/>
      <c r="AB19" s="1"/>
      <c r="AC19" s="5"/>
      <c r="AF19" s="14"/>
      <c r="AG19" s="24"/>
      <c r="AH19" s="1"/>
      <c r="AI19" s="5"/>
    </row>
    <row r="20" spans="1:41" x14ac:dyDescent="0.2">
      <c r="A20" s="74"/>
      <c r="H20" s="1"/>
      <c r="I20" s="5"/>
      <c r="J20" s="1"/>
      <c r="K20" s="5"/>
      <c r="T20" s="1"/>
      <c r="U20" s="5"/>
      <c r="V20" s="1"/>
      <c r="W20" s="5"/>
      <c r="AF20" s="14"/>
      <c r="AG20" s="24"/>
      <c r="AH20" s="1"/>
      <c r="AI20" s="5"/>
    </row>
    <row r="21" spans="1:41" x14ac:dyDescent="0.2">
      <c r="A21" s="74"/>
      <c r="H21" s="1"/>
      <c r="I21" s="5"/>
      <c r="J21" s="1"/>
      <c r="K21" s="5"/>
      <c r="T21" s="1"/>
      <c r="U21" s="5"/>
      <c r="V21" s="1"/>
      <c r="W21" s="5"/>
      <c r="AF21" s="14"/>
      <c r="AG21" s="24"/>
      <c r="AH21" s="1"/>
      <c r="AI21" s="5"/>
      <c r="AL21" s="1"/>
      <c r="AM21" s="5"/>
      <c r="AN21" s="1"/>
      <c r="AO21" s="5"/>
    </row>
    <row r="22" spans="1:41" x14ac:dyDescent="0.2">
      <c r="A22" s="74"/>
      <c r="T22" s="1"/>
      <c r="U22" s="5"/>
      <c r="V22" s="1"/>
      <c r="W22" s="5"/>
      <c r="AF22" s="14"/>
      <c r="AG22" s="24"/>
      <c r="AH22" s="1"/>
      <c r="AI22" s="5"/>
      <c r="AL22" s="1"/>
      <c r="AM22" s="5"/>
      <c r="AN22" s="1"/>
      <c r="AO22" s="5"/>
    </row>
    <row r="23" spans="1:41" x14ac:dyDescent="0.2">
      <c r="A23" s="74"/>
      <c r="H23" s="1"/>
      <c r="I23" s="5"/>
      <c r="J23" s="1"/>
      <c r="K23" s="5"/>
      <c r="T23" s="1"/>
      <c r="U23" s="5"/>
      <c r="V23" s="1"/>
      <c r="W23" s="5"/>
      <c r="AF23" s="14"/>
      <c r="AG23" s="24"/>
      <c r="AH23" s="1"/>
      <c r="AI23" s="5"/>
      <c r="AL23" s="1"/>
      <c r="AM23" s="5"/>
      <c r="AN23" s="1"/>
      <c r="AO23" s="5"/>
    </row>
    <row r="24" spans="1:41" x14ac:dyDescent="0.2">
      <c r="A24" s="74"/>
      <c r="B24" s="104"/>
      <c r="C24" s="105"/>
      <c r="D24" s="106"/>
      <c r="E24" s="5"/>
      <c r="H24" s="1"/>
      <c r="I24" s="5"/>
      <c r="J24" s="1"/>
      <c r="K24" s="5"/>
      <c r="T24" s="1"/>
      <c r="U24" s="5"/>
      <c r="V24" s="1"/>
      <c r="W24" s="5"/>
      <c r="Z24" s="14"/>
      <c r="AA24" s="24"/>
      <c r="AB24" s="1"/>
      <c r="AC24" s="5"/>
      <c r="AL24" s="1"/>
      <c r="AM24" s="5"/>
      <c r="AN24" s="1"/>
      <c r="AO24" s="5"/>
    </row>
    <row r="25" spans="1:41" x14ac:dyDescent="0.2">
      <c r="A25" s="74"/>
      <c r="T25" s="1"/>
      <c r="U25" s="5"/>
      <c r="V25" s="1"/>
      <c r="W25" s="5"/>
      <c r="Z25" s="14"/>
      <c r="AA25" s="24"/>
      <c r="AB25" s="1"/>
      <c r="AC25" s="5"/>
      <c r="AF25" s="14"/>
      <c r="AG25" s="24"/>
      <c r="AH25" s="1"/>
      <c r="AI25" s="5"/>
      <c r="AL25" s="1"/>
      <c r="AM25" s="5"/>
      <c r="AN25" s="1"/>
      <c r="AO25" s="5"/>
    </row>
    <row r="26" spans="1:41" x14ac:dyDescent="0.2">
      <c r="A26" s="74"/>
      <c r="B26" s="104"/>
      <c r="C26" s="105"/>
      <c r="D26" s="106"/>
      <c r="E26" s="37"/>
      <c r="T26" s="1"/>
      <c r="U26" s="5"/>
      <c r="V26" s="1"/>
      <c r="W26" s="5"/>
      <c r="Z26" s="14"/>
      <c r="AA26" s="24"/>
      <c r="AB26" s="1"/>
      <c r="AC26" s="37"/>
      <c r="AF26" s="14"/>
      <c r="AG26" s="24"/>
      <c r="AH26" s="1"/>
      <c r="AI26" s="37"/>
      <c r="AL26" s="1"/>
      <c r="AM26" s="5"/>
      <c r="AN26" s="1"/>
      <c r="AO26" s="5"/>
    </row>
    <row r="27" spans="1:41" x14ac:dyDescent="0.2">
      <c r="A27" s="74"/>
      <c r="H27" s="1"/>
      <c r="I27" s="5"/>
      <c r="J27" s="1"/>
      <c r="K27" s="5"/>
      <c r="T27" s="1"/>
      <c r="U27" s="5"/>
      <c r="V27" s="1"/>
      <c r="W27" s="5"/>
      <c r="AF27" s="14"/>
      <c r="AG27" s="24"/>
      <c r="AH27" s="1"/>
      <c r="AI27" s="5"/>
      <c r="AL27" s="1"/>
      <c r="AM27" s="5"/>
      <c r="AN27" s="1"/>
      <c r="AO27" s="5"/>
    </row>
    <row r="28" spans="1:41" x14ac:dyDescent="0.2">
      <c r="A28" s="74"/>
      <c r="B28" s="104"/>
      <c r="C28" s="105"/>
      <c r="D28" s="106"/>
      <c r="E28" s="5"/>
      <c r="H28" s="1"/>
      <c r="I28" s="5"/>
      <c r="J28" s="1"/>
      <c r="K28" s="5"/>
      <c r="T28" s="1"/>
      <c r="U28" s="5"/>
      <c r="V28" s="1"/>
      <c r="W28" s="5"/>
      <c r="Z28" s="14"/>
      <c r="AA28" s="24"/>
      <c r="AB28" s="1"/>
      <c r="AC28" s="5"/>
      <c r="AF28" s="14"/>
      <c r="AG28" s="24"/>
      <c r="AH28" s="1"/>
      <c r="AI28" s="5"/>
    </row>
    <row r="29" spans="1:41" x14ac:dyDescent="0.2">
      <c r="A29" s="74"/>
      <c r="T29" s="1"/>
      <c r="U29" s="5"/>
      <c r="V29" s="1"/>
      <c r="W29" s="5"/>
      <c r="Z29" s="14"/>
      <c r="AA29" s="24"/>
      <c r="AB29" s="1"/>
      <c r="AC29" s="5"/>
      <c r="AL29" s="1"/>
      <c r="AM29" s="5"/>
      <c r="AN29" s="1"/>
      <c r="AO29" s="5"/>
    </row>
    <row r="30" spans="1:41" x14ac:dyDescent="0.2">
      <c r="A30" s="74"/>
      <c r="T30" s="1"/>
      <c r="U30" s="5"/>
      <c r="V30" s="1"/>
      <c r="W30" s="5"/>
      <c r="Z30" s="14"/>
      <c r="AA30" s="24"/>
      <c r="AB30" s="1"/>
      <c r="AC30" s="5"/>
      <c r="AF30" s="14"/>
      <c r="AG30" s="24"/>
      <c r="AH30" s="1"/>
      <c r="AI30" s="5"/>
      <c r="AL30" s="1"/>
      <c r="AM30" s="5"/>
      <c r="AN30" s="1"/>
      <c r="AO30" s="5"/>
    </row>
    <row r="31" spans="1:41" x14ac:dyDescent="0.2">
      <c r="A31" s="74"/>
      <c r="B31" s="1"/>
      <c r="C31" s="5"/>
      <c r="D31" s="1"/>
      <c r="E31" s="5"/>
      <c r="H31" s="1"/>
      <c r="I31" s="5"/>
      <c r="J31" s="1"/>
      <c r="K31" s="5"/>
      <c r="T31" s="1"/>
      <c r="U31" s="5"/>
      <c r="V31" s="1"/>
      <c r="W31" s="5"/>
      <c r="Z31" s="14"/>
      <c r="AA31" s="24"/>
      <c r="AB31" s="1"/>
      <c r="AC31" s="5"/>
      <c r="AF31" s="14"/>
      <c r="AG31" s="24"/>
      <c r="AH31" s="1"/>
      <c r="AI31" s="5"/>
      <c r="AL31" s="1"/>
      <c r="AM31" s="5"/>
      <c r="AN31" s="1"/>
      <c r="AO31" s="5"/>
    </row>
    <row r="32" spans="1:41" x14ac:dyDescent="0.2">
      <c r="A32" s="74"/>
      <c r="T32" s="1"/>
      <c r="U32" s="5"/>
      <c r="V32" s="1"/>
      <c r="W32" s="5"/>
      <c r="Z32" s="14"/>
      <c r="AA32" s="24"/>
      <c r="AB32" s="1"/>
      <c r="AC32" s="5"/>
      <c r="AF32" s="14"/>
      <c r="AG32" s="24"/>
      <c r="AH32" s="1"/>
      <c r="AI32" s="5"/>
    </row>
    <row r="33" spans="1:41" x14ac:dyDescent="0.2">
      <c r="A33" s="74"/>
      <c r="T33" s="1"/>
      <c r="U33" s="5"/>
      <c r="V33" s="1"/>
      <c r="W33" s="5"/>
      <c r="AF33" s="14"/>
      <c r="AG33" s="24"/>
      <c r="AH33" s="1"/>
      <c r="AI33" s="5"/>
      <c r="AL33" s="1"/>
      <c r="AM33" s="5"/>
      <c r="AN33" s="1"/>
      <c r="AO33" s="5"/>
    </row>
    <row r="34" spans="1:41" x14ac:dyDescent="0.2">
      <c r="A34" s="74"/>
      <c r="T34" s="1"/>
      <c r="U34" s="5"/>
      <c r="V34" s="1"/>
      <c r="W34" s="5"/>
      <c r="AF34" s="14"/>
      <c r="AG34" s="24"/>
      <c r="AH34" s="1"/>
      <c r="AI34" s="5"/>
      <c r="AL34" s="1"/>
      <c r="AM34" s="5"/>
      <c r="AN34" s="1"/>
      <c r="AO34" s="5"/>
    </row>
    <row r="35" spans="1:41" x14ac:dyDescent="0.2">
      <c r="A35" s="74"/>
      <c r="AF35" s="14"/>
      <c r="AG35" s="24"/>
      <c r="AH35" s="1"/>
      <c r="AI35" s="5"/>
      <c r="AL35" s="1"/>
      <c r="AM35" s="5"/>
      <c r="AN35" s="1"/>
      <c r="AO35" s="5"/>
    </row>
    <row r="38" spans="1:41" s="100" customFormat="1" x14ac:dyDescent="0.2">
      <c r="A38" s="99" t="s">
        <v>5</v>
      </c>
      <c r="E38" s="101">
        <f>SUM(E6:E37)</f>
        <v>0</v>
      </c>
      <c r="K38" s="101">
        <f>SUM(K6:K37)</f>
        <v>0</v>
      </c>
      <c r="Q38" s="101">
        <f>SUM(Q6:Q35)</f>
        <v>0</v>
      </c>
      <c r="W38" s="101">
        <f>SUM(W6:W37)</f>
        <v>0</v>
      </c>
      <c r="AC38" s="101">
        <f>SUM(AC6:AC37)</f>
        <v>0</v>
      </c>
      <c r="AI38" s="101">
        <f>SUM(AI6:AI37)</f>
        <v>0</v>
      </c>
      <c r="AO38" s="101">
        <f>SUM(AO6:AO37)</f>
        <v>0</v>
      </c>
    </row>
  </sheetData>
  <mergeCells count="7">
    <mergeCell ref="AF4:AI4"/>
    <mergeCell ref="AL4:AO4"/>
    <mergeCell ref="B4:E4"/>
    <mergeCell ref="H4:K4"/>
    <mergeCell ref="N4:Q4"/>
    <mergeCell ref="T4:W4"/>
    <mergeCell ref="Z4:AC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Cuadre Diario</vt:lpstr>
      <vt:lpstr>Nomina</vt:lpstr>
      <vt:lpstr>Compras</vt:lpstr>
      <vt:lpstr>Servicios</vt:lpstr>
      <vt:lpstr>Otros Pagos</vt:lpstr>
      <vt:lpstr>CUENTA POR PAGAR</vt:lpstr>
      <vt:lpstr>Sueldos_ENERO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cecilia pulecio</cp:lastModifiedBy>
  <dcterms:created xsi:type="dcterms:W3CDTF">2004-06-01T11:03:45Z</dcterms:created>
  <dcterms:modified xsi:type="dcterms:W3CDTF">2025-09-12T15:40:25Z</dcterms:modified>
</cp:coreProperties>
</file>